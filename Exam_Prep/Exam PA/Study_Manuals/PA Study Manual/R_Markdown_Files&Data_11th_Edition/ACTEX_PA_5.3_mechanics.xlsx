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evinwoods/Desktop/ActuarialExams/Exam_Prep/Exam PA/Study_Manuals/PA Study Manual/R_Markdown_Files&amp;Data_11th_Edition/"/>
    </mc:Choice>
  </mc:AlternateContent>
  <xr:revisionPtr revIDLastSave="0" documentId="8_{2A18D6DD-A8DA-0341-BD62-913B5688154C}" xr6:coauthVersionLast="47" xr6:coauthVersionMax="47" xr10:uidLastSave="{00000000-0000-0000-0000-000000000000}"/>
  <bookViews>
    <workbookView xWindow="1200" yWindow="600" windowWidth="34560" windowHeight="21000" activeTab="10" xr2:uid="{00000000-000D-0000-FFFF-FFFF00000000}"/>
  </bookViews>
  <sheets>
    <sheet name="README" sheetId="1" r:id="rId1"/>
    <sheet name="Controls" sheetId="2" r:id="rId2"/>
    <sheet name="Data" sheetId="3" r:id="rId3"/>
    <sheet name="Transform_Tree" sheetId="4" r:id="rId4"/>
    <sheet name="ClassTree" sheetId="5" r:id="rId5"/>
    <sheet name="ROC_Mechanics" sheetId="6" r:id="rId6"/>
    <sheet name="RF_Mechanics" sheetId="7" r:id="rId7"/>
    <sheet name="Boosting_Lite" sheetId="8" r:id="rId8"/>
    <sheet name="CP_Pruning_Mechanics" sheetId="9" r:id="rId9"/>
    <sheet name="RF_CV_Tuning" sheetId="10" r:id="rId10"/>
    <sheet name="RF_Importance_PDP" sheetId="11" r:id="rId11"/>
    <sheet name="XGB_Mechanics" sheetId="12" r:id="rId12"/>
    <sheet name="Summary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B3" i="13"/>
  <c r="B120" i="12"/>
  <c r="A120" i="12"/>
  <c r="B119" i="12"/>
  <c r="A119" i="12"/>
  <c r="B118" i="12"/>
  <c r="A118" i="12"/>
  <c r="B117" i="12"/>
  <c r="A117" i="12"/>
  <c r="B116" i="12"/>
  <c r="A116" i="12"/>
  <c r="B115" i="12"/>
  <c r="A115" i="12"/>
  <c r="B114" i="12"/>
  <c r="A114" i="12"/>
  <c r="B113" i="12"/>
  <c r="A113" i="12"/>
  <c r="B112" i="12"/>
  <c r="A112" i="12"/>
  <c r="B111" i="12"/>
  <c r="A111" i="12"/>
  <c r="B110" i="12"/>
  <c r="A110" i="12"/>
  <c r="B109" i="12"/>
  <c r="A109" i="12"/>
  <c r="B108" i="12"/>
  <c r="A108" i="12"/>
  <c r="B107" i="12"/>
  <c r="A107" i="12"/>
  <c r="B106" i="12"/>
  <c r="A106" i="12"/>
  <c r="B105" i="12"/>
  <c r="A105" i="12"/>
  <c r="B104" i="12"/>
  <c r="A104" i="12"/>
  <c r="B103" i="12"/>
  <c r="A103" i="12"/>
  <c r="B102" i="12"/>
  <c r="A102" i="12"/>
  <c r="B101" i="12"/>
  <c r="A101" i="12"/>
  <c r="B100" i="12"/>
  <c r="A100" i="12"/>
  <c r="B99" i="12"/>
  <c r="A99" i="12"/>
  <c r="B98" i="12"/>
  <c r="A98" i="12"/>
  <c r="B97" i="12"/>
  <c r="A97" i="12"/>
  <c r="B96" i="12"/>
  <c r="A96" i="12"/>
  <c r="B95" i="12"/>
  <c r="A95" i="12"/>
  <c r="B94" i="12"/>
  <c r="A94" i="12"/>
  <c r="B93" i="12"/>
  <c r="A93" i="12"/>
  <c r="B92" i="12"/>
  <c r="A92" i="12"/>
  <c r="B91" i="12"/>
  <c r="A91" i="12"/>
  <c r="B90" i="12"/>
  <c r="A90" i="12"/>
  <c r="B89" i="12"/>
  <c r="A89" i="12"/>
  <c r="B88" i="12"/>
  <c r="A88" i="12"/>
  <c r="B87" i="12"/>
  <c r="A87" i="12"/>
  <c r="B86" i="12"/>
  <c r="A86" i="12"/>
  <c r="B85" i="12"/>
  <c r="A85" i="12"/>
  <c r="B84" i="12"/>
  <c r="A84" i="12"/>
  <c r="B83" i="12"/>
  <c r="A83" i="12"/>
  <c r="B82" i="12"/>
  <c r="A82" i="12"/>
  <c r="B81" i="12"/>
  <c r="A81" i="12"/>
  <c r="B80" i="12"/>
  <c r="A80" i="12"/>
  <c r="B79" i="12"/>
  <c r="A79" i="12"/>
  <c r="B78" i="12"/>
  <c r="A78" i="12"/>
  <c r="B77" i="12"/>
  <c r="A77" i="12"/>
  <c r="B76" i="12"/>
  <c r="A76" i="12"/>
  <c r="B75" i="12"/>
  <c r="A75" i="12"/>
  <c r="B74" i="12"/>
  <c r="A74" i="12"/>
  <c r="B73" i="12"/>
  <c r="A73" i="12"/>
  <c r="B72" i="12"/>
  <c r="A72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3" i="12"/>
  <c r="A63" i="12"/>
  <c r="B62" i="12"/>
  <c r="A62" i="12"/>
  <c r="B61" i="12"/>
  <c r="A61" i="12"/>
  <c r="B60" i="12"/>
  <c r="A60" i="12"/>
  <c r="B59" i="12"/>
  <c r="A59" i="12"/>
  <c r="B58" i="12"/>
  <c r="A58" i="12"/>
  <c r="B57" i="12"/>
  <c r="A57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48" i="12"/>
  <c r="A48" i="12"/>
  <c r="B47" i="12"/>
  <c r="A47" i="12"/>
  <c r="B46" i="12"/>
  <c r="A46" i="12"/>
  <c r="B45" i="12"/>
  <c r="A45" i="12"/>
  <c r="B44" i="12"/>
  <c r="A44" i="12"/>
  <c r="B43" i="12"/>
  <c r="A43" i="12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15" i="11"/>
  <c r="B14" i="11"/>
  <c r="B13" i="11"/>
  <c r="B12" i="11"/>
  <c r="B11" i="11"/>
  <c r="B7" i="11"/>
  <c r="B6" i="11"/>
  <c r="B5" i="11"/>
  <c r="B4" i="11"/>
  <c r="B3" i="11"/>
  <c r="B2" i="11"/>
  <c r="E211" i="10"/>
  <c r="D211" i="10"/>
  <c r="B211" i="10"/>
  <c r="A211" i="10"/>
  <c r="C211" i="10" s="1"/>
  <c r="C210" i="10"/>
  <c r="B210" i="10"/>
  <c r="A210" i="10"/>
  <c r="E210" i="10" s="1"/>
  <c r="E209" i="10"/>
  <c r="D209" i="10"/>
  <c r="B209" i="10"/>
  <c r="A209" i="10"/>
  <c r="C209" i="10" s="1"/>
  <c r="E208" i="10"/>
  <c r="B208" i="10"/>
  <c r="A208" i="10"/>
  <c r="D208" i="10" s="1"/>
  <c r="E207" i="10"/>
  <c r="D207" i="10"/>
  <c r="B207" i="10"/>
  <c r="A207" i="10"/>
  <c r="C207" i="10" s="1"/>
  <c r="B206" i="10"/>
  <c r="A206" i="10"/>
  <c r="E205" i="10"/>
  <c r="D205" i="10"/>
  <c r="B205" i="10"/>
  <c r="A205" i="10"/>
  <c r="C205" i="10" s="1"/>
  <c r="E204" i="10"/>
  <c r="D204" i="10"/>
  <c r="C204" i="10"/>
  <c r="B204" i="10"/>
  <c r="A204" i="10"/>
  <c r="E203" i="10"/>
  <c r="D203" i="10"/>
  <c r="B203" i="10"/>
  <c r="A203" i="10"/>
  <c r="C203" i="10" s="1"/>
  <c r="E202" i="10"/>
  <c r="D202" i="10"/>
  <c r="C202" i="10"/>
  <c r="B202" i="10"/>
  <c r="A202" i="10"/>
  <c r="E201" i="10"/>
  <c r="D201" i="10"/>
  <c r="B201" i="10"/>
  <c r="A201" i="10"/>
  <c r="C201" i="10" s="1"/>
  <c r="E200" i="10"/>
  <c r="C200" i="10"/>
  <c r="B200" i="10"/>
  <c r="A200" i="10"/>
  <c r="D200" i="10" s="1"/>
  <c r="E199" i="10"/>
  <c r="D199" i="10"/>
  <c r="B199" i="10"/>
  <c r="A199" i="10"/>
  <c r="C199" i="10" s="1"/>
  <c r="E198" i="10"/>
  <c r="D198" i="10"/>
  <c r="C198" i="10"/>
  <c r="B198" i="10"/>
  <c r="A198" i="10"/>
  <c r="E197" i="10"/>
  <c r="D197" i="10"/>
  <c r="B197" i="10"/>
  <c r="A197" i="10"/>
  <c r="C197" i="10" s="1"/>
  <c r="C196" i="10"/>
  <c r="B196" i="10"/>
  <c r="A196" i="10"/>
  <c r="E195" i="10"/>
  <c r="D195" i="10"/>
  <c r="B195" i="10"/>
  <c r="A195" i="10"/>
  <c r="C195" i="10" s="1"/>
  <c r="C194" i="10"/>
  <c r="B194" i="10"/>
  <c r="A194" i="10"/>
  <c r="E193" i="10"/>
  <c r="D193" i="10"/>
  <c r="B193" i="10"/>
  <c r="A193" i="10"/>
  <c r="C193" i="10" s="1"/>
  <c r="B192" i="10"/>
  <c r="A192" i="10"/>
  <c r="E191" i="10"/>
  <c r="D191" i="10"/>
  <c r="B191" i="10"/>
  <c r="A191" i="10"/>
  <c r="C191" i="10" s="1"/>
  <c r="B190" i="10"/>
  <c r="A190" i="10"/>
  <c r="E189" i="10"/>
  <c r="D189" i="10"/>
  <c r="B189" i="10"/>
  <c r="A189" i="10"/>
  <c r="C189" i="10" s="1"/>
  <c r="D188" i="10"/>
  <c r="B188" i="10"/>
  <c r="A188" i="10"/>
  <c r="E188" i="10" s="1"/>
  <c r="E187" i="10"/>
  <c r="D187" i="10"/>
  <c r="B187" i="10"/>
  <c r="A187" i="10"/>
  <c r="C187" i="10" s="1"/>
  <c r="C186" i="10"/>
  <c r="B186" i="10"/>
  <c r="A186" i="10"/>
  <c r="E186" i="10" s="1"/>
  <c r="E185" i="10"/>
  <c r="D185" i="10"/>
  <c r="B185" i="10"/>
  <c r="A185" i="10"/>
  <c r="C185" i="10" s="1"/>
  <c r="E184" i="10"/>
  <c r="B184" i="10"/>
  <c r="A184" i="10"/>
  <c r="D184" i="10" s="1"/>
  <c r="E183" i="10"/>
  <c r="D183" i="10"/>
  <c r="B183" i="10"/>
  <c r="A183" i="10"/>
  <c r="C183" i="10" s="1"/>
  <c r="B182" i="10"/>
  <c r="A182" i="10"/>
  <c r="E181" i="10"/>
  <c r="D181" i="10"/>
  <c r="B181" i="10"/>
  <c r="A181" i="10"/>
  <c r="C181" i="10" s="1"/>
  <c r="E180" i="10"/>
  <c r="D180" i="10"/>
  <c r="C180" i="10"/>
  <c r="B180" i="10"/>
  <c r="A180" i="10"/>
  <c r="E179" i="10"/>
  <c r="D179" i="10"/>
  <c r="B179" i="10"/>
  <c r="A179" i="10"/>
  <c r="C179" i="10" s="1"/>
  <c r="E178" i="10"/>
  <c r="D178" i="10"/>
  <c r="C178" i="10"/>
  <c r="B178" i="10"/>
  <c r="A178" i="10"/>
  <c r="E177" i="10"/>
  <c r="D177" i="10"/>
  <c r="B177" i="10"/>
  <c r="A177" i="10"/>
  <c r="C177" i="10" s="1"/>
  <c r="E176" i="10"/>
  <c r="D176" i="10"/>
  <c r="B176" i="10"/>
  <c r="A176" i="10"/>
  <c r="C176" i="10" s="1"/>
  <c r="E175" i="10"/>
  <c r="D175" i="10"/>
  <c r="B175" i="10"/>
  <c r="A175" i="10"/>
  <c r="C175" i="10" s="1"/>
  <c r="B174" i="10"/>
  <c r="A174" i="10"/>
  <c r="E174" i="10" s="1"/>
  <c r="E173" i="10"/>
  <c r="D173" i="10"/>
  <c r="B173" i="10"/>
  <c r="A173" i="10"/>
  <c r="C173" i="10" s="1"/>
  <c r="B172" i="10"/>
  <c r="A172" i="10"/>
  <c r="E171" i="10"/>
  <c r="D171" i="10"/>
  <c r="B171" i="10"/>
  <c r="A171" i="10"/>
  <c r="C171" i="10" s="1"/>
  <c r="C170" i="10"/>
  <c r="B170" i="10"/>
  <c r="A170" i="10"/>
  <c r="E169" i="10"/>
  <c r="D169" i="10"/>
  <c r="B169" i="10"/>
  <c r="A169" i="10"/>
  <c r="C169" i="10" s="1"/>
  <c r="B168" i="10"/>
  <c r="A168" i="10"/>
  <c r="E167" i="10"/>
  <c r="D167" i="10"/>
  <c r="B167" i="10"/>
  <c r="A167" i="10"/>
  <c r="C167" i="10" s="1"/>
  <c r="B166" i="10"/>
  <c r="A166" i="10"/>
  <c r="E165" i="10"/>
  <c r="D165" i="10"/>
  <c r="B165" i="10"/>
  <c r="A165" i="10"/>
  <c r="C165" i="10" s="1"/>
  <c r="D164" i="10"/>
  <c r="B164" i="10"/>
  <c r="A164" i="10"/>
  <c r="E164" i="10" s="1"/>
  <c r="E163" i="10"/>
  <c r="D163" i="10"/>
  <c r="B163" i="10"/>
  <c r="A163" i="10"/>
  <c r="C163" i="10" s="1"/>
  <c r="C162" i="10"/>
  <c r="B162" i="10"/>
  <c r="A162" i="10"/>
  <c r="E162" i="10" s="1"/>
  <c r="E161" i="10"/>
  <c r="D161" i="10"/>
  <c r="B161" i="10"/>
  <c r="A161" i="10"/>
  <c r="C161" i="10" s="1"/>
  <c r="E160" i="10"/>
  <c r="B160" i="10"/>
  <c r="A160" i="10"/>
  <c r="D160" i="10" s="1"/>
  <c r="E159" i="10"/>
  <c r="D159" i="10"/>
  <c r="B159" i="10"/>
  <c r="A159" i="10"/>
  <c r="C159" i="10" s="1"/>
  <c r="B158" i="10"/>
  <c r="A158" i="10"/>
  <c r="C158" i="10" s="1"/>
  <c r="E157" i="10"/>
  <c r="D157" i="10"/>
  <c r="B157" i="10"/>
  <c r="A157" i="10"/>
  <c r="C157" i="10" s="1"/>
  <c r="E156" i="10"/>
  <c r="D156" i="10"/>
  <c r="C156" i="10"/>
  <c r="B156" i="10"/>
  <c r="A156" i="10"/>
  <c r="E155" i="10"/>
  <c r="D155" i="10"/>
  <c r="B155" i="10"/>
  <c r="A155" i="10"/>
  <c r="C155" i="10" s="1"/>
  <c r="E154" i="10"/>
  <c r="D154" i="10"/>
  <c r="C154" i="10"/>
  <c r="B154" i="10"/>
  <c r="A154" i="10"/>
  <c r="E153" i="10"/>
  <c r="D153" i="10"/>
  <c r="B153" i="10"/>
  <c r="A153" i="10"/>
  <c r="C153" i="10" s="1"/>
  <c r="E152" i="10"/>
  <c r="D152" i="10"/>
  <c r="C152" i="10"/>
  <c r="B152" i="10"/>
  <c r="A152" i="10"/>
  <c r="E151" i="10"/>
  <c r="D151" i="10"/>
  <c r="B151" i="10"/>
  <c r="A151" i="10"/>
  <c r="C151" i="10" s="1"/>
  <c r="D150" i="10"/>
  <c r="B150" i="10"/>
  <c r="A150" i="10"/>
  <c r="E150" i="10" s="1"/>
  <c r="E149" i="10"/>
  <c r="D149" i="10"/>
  <c r="B149" i="10"/>
  <c r="A149" i="10"/>
  <c r="C149" i="10" s="1"/>
  <c r="B148" i="10"/>
  <c r="A148" i="10"/>
  <c r="E147" i="10"/>
  <c r="D147" i="10"/>
  <c r="B147" i="10"/>
  <c r="A147" i="10"/>
  <c r="C147" i="10" s="1"/>
  <c r="D146" i="10"/>
  <c r="C146" i="10"/>
  <c r="B146" i="10"/>
  <c r="A146" i="10"/>
  <c r="E146" i="10" s="1"/>
  <c r="E145" i="10"/>
  <c r="D145" i="10"/>
  <c r="B145" i="10"/>
  <c r="A145" i="10"/>
  <c r="C145" i="10" s="1"/>
  <c r="C144" i="10"/>
  <c r="B144" i="10"/>
  <c r="A144" i="10"/>
  <c r="E143" i="10"/>
  <c r="D143" i="10"/>
  <c r="B143" i="10"/>
  <c r="A143" i="10"/>
  <c r="C143" i="10" s="1"/>
  <c r="E142" i="10"/>
  <c r="B142" i="10"/>
  <c r="A142" i="10"/>
  <c r="E141" i="10"/>
  <c r="D141" i="10"/>
  <c r="B141" i="10"/>
  <c r="A141" i="10"/>
  <c r="C141" i="10" s="1"/>
  <c r="B140" i="10"/>
  <c r="A140" i="10"/>
  <c r="E139" i="10"/>
  <c r="D139" i="10"/>
  <c r="B139" i="10"/>
  <c r="A139" i="10"/>
  <c r="C139" i="10" s="1"/>
  <c r="C138" i="10"/>
  <c r="B138" i="10"/>
  <c r="A138" i="10"/>
  <c r="E138" i="10" s="1"/>
  <c r="E137" i="10"/>
  <c r="D137" i="10"/>
  <c r="B137" i="10"/>
  <c r="A137" i="10"/>
  <c r="C137" i="10" s="1"/>
  <c r="E136" i="10"/>
  <c r="B136" i="10"/>
  <c r="A136" i="10"/>
  <c r="D136" i="10" s="1"/>
  <c r="E135" i="10"/>
  <c r="D135" i="10"/>
  <c r="B135" i="10"/>
  <c r="A135" i="10"/>
  <c r="C135" i="10" s="1"/>
  <c r="B134" i="10"/>
  <c r="A134" i="10"/>
  <c r="E133" i="10"/>
  <c r="D133" i="10"/>
  <c r="B133" i="10"/>
  <c r="A133" i="10"/>
  <c r="C133" i="10" s="1"/>
  <c r="E132" i="10"/>
  <c r="D132" i="10"/>
  <c r="C132" i="10"/>
  <c r="B132" i="10"/>
  <c r="A132" i="10"/>
  <c r="E131" i="10"/>
  <c r="D131" i="10"/>
  <c r="B131" i="10"/>
  <c r="A131" i="10"/>
  <c r="C131" i="10" s="1"/>
  <c r="E130" i="10"/>
  <c r="D130" i="10"/>
  <c r="C130" i="10"/>
  <c r="B130" i="10"/>
  <c r="A130" i="10"/>
  <c r="E129" i="10"/>
  <c r="D129" i="10"/>
  <c r="B129" i="10"/>
  <c r="A129" i="10"/>
  <c r="C129" i="10" s="1"/>
  <c r="E128" i="10"/>
  <c r="B128" i="10"/>
  <c r="A128" i="10"/>
  <c r="C128" i="10" s="1"/>
  <c r="E127" i="10"/>
  <c r="D127" i="10"/>
  <c r="B127" i="10"/>
  <c r="A127" i="10"/>
  <c r="C127" i="10" s="1"/>
  <c r="E126" i="10"/>
  <c r="D126" i="10"/>
  <c r="C126" i="10"/>
  <c r="B126" i="10"/>
  <c r="A126" i="10"/>
  <c r="E125" i="10"/>
  <c r="D125" i="10"/>
  <c r="B125" i="10"/>
  <c r="A125" i="10"/>
  <c r="C125" i="10" s="1"/>
  <c r="E124" i="10"/>
  <c r="D124" i="10"/>
  <c r="C124" i="10"/>
  <c r="B124" i="10"/>
  <c r="A124" i="10"/>
  <c r="E123" i="10"/>
  <c r="D123" i="10"/>
  <c r="B123" i="10"/>
  <c r="A123" i="10"/>
  <c r="C123" i="10" s="1"/>
  <c r="B122" i="10"/>
  <c r="A122" i="10"/>
  <c r="E121" i="10"/>
  <c r="D121" i="10"/>
  <c r="B121" i="10"/>
  <c r="A121" i="10"/>
  <c r="C121" i="10" s="1"/>
  <c r="B120" i="10"/>
  <c r="A120" i="10"/>
  <c r="E119" i="10"/>
  <c r="D119" i="10"/>
  <c r="B119" i="10"/>
  <c r="A119" i="10"/>
  <c r="C119" i="10" s="1"/>
  <c r="E118" i="10"/>
  <c r="B118" i="10"/>
  <c r="A118" i="10"/>
  <c r="B117" i="10"/>
  <c r="A117" i="10"/>
  <c r="C117" i="10" s="1"/>
  <c r="D116" i="10"/>
  <c r="B116" i="10"/>
  <c r="A116" i="10"/>
  <c r="E115" i="10"/>
  <c r="B115" i="10"/>
  <c r="A115" i="10"/>
  <c r="C115" i="10" s="1"/>
  <c r="C114" i="10"/>
  <c r="B114" i="10"/>
  <c r="A114" i="10"/>
  <c r="E114" i="10" s="1"/>
  <c r="E113" i="10"/>
  <c r="D113" i="10"/>
  <c r="B113" i="10"/>
  <c r="A113" i="10"/>
  <c r="C113" i="10" s="1"/>
  <c r="E112" i="10"/>
  <c r="B112" i="10"/>
  <c r="A112" i="10"/>
  <c r="D112" i="10" s="1"/>
  <c r="B111" i="10"/>
  <c r="A111" i="10"/>
  <c r="E110" i="10"/>
  <c r="D110" i="10"/>
  <c r="B110" i="10"/>
  <c r="A110" i="10"/>
  <c r="C110" i="10" s="1"/>
  <c r="B109" i="10"/>
  <c r="A109" i="10"/>
  <c r="E108" i="10"/>
  <c r="D108" i="10"/>
  <c r="C108" i="10"/>
  <c r="B108" i="10"/>
  <c r="A108" i="10"/>
  <c r="C107" i="10"/>
  <c r="B107" i="10"/>
  <c r="A107" i="10"/>
  <c r="E106" i="10"/>
  <c r="D106" i="10"/>
  <c r="C106" i="10"/>
  <c r="B106" i="10"/>
  <c r="A106" i="10"/>
  <c r="B105" i="10"/>
  <c r="A105" i="10"/>
  <c r="E104" i="10"/>
  <c r="D104" i="10"/>
  <c r="C104" i="10"/>
  <c r="B104" i="10"/>
  <c r="A104" i="10"/>
  <c r="B103" i="10"/>
  <c r="A103" i="10"/>
  <c r="E102" i="10"/>
  <c r="D102" i="10"/>
  <c r="C102" i="10"/>
  <c r="B102" i="10"/>
  <c r="A102" i="10"/>
  <c r="B101" i="10"/>
  <c r="A101" i="10"/>
  <c r="E100" i="10"/>
  <c r="D100" i="10"/>
  <c r="C100" i="10"/>
  <c r="B100" i="10"/>
  <c r="A100" i="10"/>
  <c r="B99" i="10"/>
  <c r="A99" i="10"/>
  <c r="E98" i="10"/>
  <c r="D98" i="10"/>
  <c r="C98" i="10"/>
  <c r="B98" i="10"/>
  <c r="A98" i="10"/>
  <c r="B97" i="10"/>
  <c r="A97" i="10"/>
  <c r="E96" i="10"/>
  <c r="D96" i="10"/>
  <c r="C96" i="10"/>
  <c r="B96" i="10"/>
  <c r="A96" i="10"/>
  <c r="C95" i="10"/>
  <c r="B95" i="10"/>
  <c r="A95" i="10"/>
  <c r="E94" i="10"/>
  <c r="D94" i="10"/>
  <c r="C94" i="10"/>
  <c r="B94" i="10"/>
  <c r="A94" i="10"/>
  <c r="B93" i="10"/>
  <c r="A93" i="10"/>
  <c r="E92" i="10"/>
  <c r="D92" i="10"/>
  <c r="C92" i="10"/>
  <c r="B92" i="10"/>
  <c r="A92" i="10"/>
  <c r="B91" i="10"/>
  <c r="A91" i="10"/>
  <c r="E90" i="10"/>
  <c r="D90" i="10"/>
  <c r="C90" i="10"/>
  <c r="B90" i="10"/>
  <c r="A90" i="10"/>
  <c r="B89" i="10"/>
  <c r="A89" i="10"/>
  <c r="E88" i="10"/>
  <c r="D88" i="10"/>
  <c r="C88" i="10"/>
  <c r="B88" i="10"/>
  <c r="A88" i="10"/>
  <c r="C87" i="10"/>
  <c r="B87" i="10"/>
  <c r="A87" i="10"/>
  <c r="E86" i="10"/>
  <c r="D86" i="10"/>
  <c r="C86" i="10"/>
  <c r="B86" i="10"/>
  <c r="A86" i="10"/>
  <c r="B85" i="10"/>
  <c r="A85" i="10"/>
  <c r="E84" i="10"/>
  <c r="D84" i="10"/>
  <c r="C84" i="10"/>
  <c r="B84" i="10"/>
  <c r="A84" i="10"/>
  <c r="C83" i="10"/>
  <c r="B83" i="10"/>
  <c r="A83" i="10"/>
  <c r="E82" i="10"/>
  <c r="D82" i="10"/>
  <c r="C82" i="10"/>
  <c r="B82" i="10"/>
  <c r="A82" i="10"/>
  <c r="B81" i="10"/>
  <c r="A81" i="10"/>
  <c r="E80" i="10"/>
  <c r="D80" i="10"/>
  <c r="C80" i="10"/>
  <c r="B80" i="10"/>
  <c r="A80" i="10"/>
  <c r="B79" i="10"/>
  <c r="A79" i="10"/>
  <c r="E78" i="10"/>
  <c r="D78" i="10"/>
  <c r="C78" i="10"/>
  <c r="B78" i="10"/>
  <c r="A78" i="10"/>
  <c r="B77" i="10"/>
  <c r="A77" i="10"/>
  <c r="E76" i="10"/>
  <c r="D76" i="10"/>
  <c r="C76" i="10"/>
  <c r="B76" i="10"/>
  <c r="A76" i="10"/>
  <c r="B75" i="10"/>
  <c r="A75" i="10"/>
  <c r="E74" i="10"/>
  <c r="D74" i="10"/>
  <c r="C74" i="10"/>
  <c r="B74" i="10"/>
  <c r="A74" i="10"/>
  <c r="C73" i="10"/>
  <c r="B73" i="10"/>
  <c r="A73" i="10"/>
  <c r="E72" i="10"/>
  <c r="D72" i="10"/>
  <c r="C72" i="10"/>
  <c r="B72" i="10"/>
  <c r="A72" i="10"/>
  <c r="C71" i="10"/>
  <c r="B71" i="10"/>
  <c r="A71" i="10"/>
  <c r="E70" i="10"/>
  <c r="D70" i="10"/>
  <c r="C70" i="10"/>
  <c r="B70" i="10"/>
  <c r="A70" i="10"/>
  <c r="C69" i="10"/>
  <c r="B69" i="10"/>
  <c r="A69" i="10"/>
  <c r="E68" i="10"/>
  <c r="D68" i="10"/>
  <c r="C68" i="10"/>
  <c r="B68" i="10"/>
  <c r="A68" i="10"/>
  <c r="B67" i="10"/>
  <c r="A67" i="10"/>
  <c r="E66" i="10"/>
  <c r="D66" i="10"/>
  <c r="C66" i="10"/>
  <c r="B66" i="10"/>
  <c r="A66" i="10"/>
  <c r="B65" i="10"/>
  <c r="A65" i="10"/>
  <c r="E64" i="10"/>
  <c r="D64" i="10"/>
  <c r="C64" i="10"/>
  <c r="B64" i="10"/>
  <c r="A64" i="10"/>
  <c r="B63" i="10"/>
  <c r="A63" i="10"/>
  <c r="E62" i="10"/>
  <c r="D62" i="10"/>
  <c r="C62" i="10"/>
  <c r="B62" i="10"/>
  <c r="A62" i="10"/>
  <c r="C61" i="10"/>
  <c r="B61" i="10"/>
  <c r="A61" i="10"/>
  <c r="E60" i="10"/>
  <c r="D60" i="10"/>
  <c r="C60" i="10"/>
  <c r="B60" i="10"/>
  <c r="A60" i="10"/>
  <c r="C59" i="10"/>
  <c r="B59" i="10"/>
  <c r="A59" i="10"/>
  <c r="E58" i="10"/>
  <c r="D58" i="10"/>
  <c r="C58" i="10"/>
  <c r="B58" i="10"/>
  <c r="A58" i="10"/>
  <c r="C57" i="10"/>
  <c r="B57" i="10"/>
  <c r="A57" i="10"/>
  <c r="E56" i="10"/>
  <c r="D56" i="10"/>
  <c r="C56" i="10"/>
  <c r="B56" i="10"/>
  <c r="A56" i="10"/>
  <c r="B55" i="10"/>
  <c r="A55" i="10"/>
  <c r="E54" i="10"/>
  <c r="D54" i="10"/>
  <c r="C54" i="10"/>
  <c r="B54" i="10"/>
  <c r="A54" i="10"/>
  <c r="B53" i="10"/>
  <c r="A53" i="10"/>
  <c r="E52" i="10"/>
  <c r="D52" i="10"/>
  <c r="C52" i="10"/>
  <c r="B52" i="10"/>
  <c r="A52" i="10"/>
  <c r="B51" i="10"/>
  <c r="A51" i="10"/>
  <c r="E50" i="10"/>
  <c r="D50" i="10"/>
  <c r="C50" i="10"/>
  <c r="B50" i="10"/>
  <c r="A50" i="10"/>
  <c r="C49" i="10"/>
  <c r="B49" i="10"/>
  <c r="A49" i="10"/>
  <c r="E48" i="10"/>
  <c r="D48" i="10"/>
  <c r="C48" i="10"/>
  <c r="B48" i="10"/>
  <c r="A48" i="10"/>
  <c r="C47" i="10"/>
  <c r="B47" i="10"/>
  <c r="A47" i="10"/>
  <c r="E46" i="10"/>
  <c r="D46" i="10"/>
  <c r="C46" i="10"/>
  <c r="B46" i="10"/>
  <c r="A46" i="10"/>
  <c r="B45" i="10"/>
  <c r="A45" i="10"/>
  <c r="E44" i="10"/>
  <c r="D44" i="10"/>
  <c r="C44" i="10"/>
  <c r="B44" i="10"/>
  <c r="A44" i="10"/>
  <c r="C43" i="10"/>
  <c r="B43" i="10"/>
  <c r="A43" i="10"/>
  <c r="E42" i="10"/>
  <c r="D42" i="10"/>
  <c r="C42" i="10"/>
  <c r="B42" i="10"/>
  <c r="A42" i="10"/>
  <c r="B41" i="10"/>
  <c r="A41" i="10"/>
  <c r="E40" i="10"/>
  <c r="D40" i="10"/>
  <c r="C40" i="10"/>
  <c r="B40" i="10"/>
  <c r="A40" i="10"/>
  <c r="B39" i="10"/>
  <c r="A39" i="10"/>
  <c r="E38" i="10"/>
  <c r="D38" i="10"/>
  <c r="C38" i="10"/>
  <c r="B38" i="10"/>
  <c r="A38" i="10"/>
  <c r="C37" i="10"/>
  <c r="B37" i="10"/>
  <c r="A37" i="10"/>
  <c r="E36" i="10"/>
  <c r="D36" i="10"/>
  <c r="C36" i="10"/>
  <c r="B36" i="10"/>
  <c r="A36" i="10"/>
  <c r="C35" i="10"/>
  <c r="B35" i="10"/>
  <c r="A35" i="10"/>
  <c r="E34" i="10"/>
  <c r="D34" i="10"/>
  <c r="C34" i="10"/>
  <c r="B34" i="10"/>
  <c r="A34" i="10"/>
  <c r="C33" i="10"/>
  <c r="B33" i="10"/>
  <c r="A33" i="10"/>
  <c r="E32" i="10"/>
  <c r="D32" i="10"/>
  <c r="C32" i="10"/>
  <c r="B32" i="10"/>
  <c r="A32" i="10"/>
  <c r="B31" i="10"/>
  <c r="A31" i="10"/>
  <c r="E30" i="10"/>
  <c r="D30" i="10"/>
  <c r="C30" i="10"/>
  <c r="B30" i="10"/>
  <c r="A30" i="10"/>
  <c r="C29" i="10"/>
  <c r="B29" i="10"/>
  <c r="A29" i="10"/>
  <c r="E28" i="10"/>
  <c r="D28" i="10"/>
  <c r="C28" i="10"/>
  <c r="B28" i="10"/>
  <c r="A28" i="10"/>
  <c r="B27" i="10"/>
  <c r="A27" i="10"/>
  <c r="E26" i="10"/>
  <c r="D26" i="10"/>
  <c r="C26" i="10"/>
  <c r="B26" i="10"/>
  <c r="A26" i="10"/>
  <c r="B25" i="10"/>
  <c r="A25" i="10"/>
  <c r="E24" i="10"/>
  <c r="D24" i="10"/>
  <c r="C24" i="10"/>
  <c r="B24" i="10"/>
  <c r="A24" i="10"/>
  <c r="B23" i="10"/>
  <c r="A23" i="10"/>
  <c r="E22" i="10"/>
  <c r="D22" i="10"/>
  <c r="C22" i="10"/>
  <c r="B22" i="10"/>
  <c r="A22" i="10"/>
  <c r="B21" i="10"/>
  <c r="A21" i="10"/>
  <c r="E20" i="10"/>
  <c r="D20" i="10"/>
  <c r="C20" i="10"/>
  <c r="B20" i="10"/>
  <c r="A20" i="10"/>
  <c r="B19" i="10"/>
  <c r="A19" i="10"/>
  <c r="E18" i="10"/>
  <c r="D18" i="10"/>
  <c r="C18" i="10"/>
  <c r="B18" i="10"/>
  <c r="A18" i="10"/>
  <c r="B17" i="10"/>
  <c r="A17" i="10"/>
  <c r="E16" i="10"/>
  <c r="D16" i="10"/>
  <c r="C16" i="10"/>
  <c r="B16" i="10"/>
  <c r="A16" i="10"/>
  <c r="B15" i="10"/>
  <c r="A15" i="10"/>
  <c r="E14" i="10"/>
  <c r="D14" i="10"/>
  <c r="C14" i="10"/>
  <c r="B14" i="10"/>
  <c r="A14" i="10"/>
  <c r="B13" i="10"/>
  <c r="A13" i="10"/>
  <c r="E12" i="10"/>
  <c r="D12" i="10"/>
  <c r="C12" i="10"/>
  <c r="B12" i="10"/>
  <c r="A12" i="10"/>
  <c r="B11" i="10"/>
  <c r="A11" i="10"/>
  <c r="E10" i="10"/>
  <c r="D10" i="10"/>
  <c r="C10" i="10"/>
  <c r="B10" i="10"/>
  <c r="A10" i="10"/>
  <c r="B9" i="10"/>
  <c r="A9" i="10"/>
  <c r="E8" i="10"/>
  <c r="D8" i="10"/>
  <c r="B8" i="10"/>
  <c r="A8" i="10"/>
  <c r="C8" i="10" s="1"/>
  <c r="B7" i="10"/>
  <c r="A7" i="10"/>
  <c r="E6" i="10"/>
  <c r="D6" i="10"/>
  <c r="B6" i="10"/>
  <c r="A6" i="10"/>
  <c r="C6" i="10" s="1"/>
  <c r="B5" i="10"/>
  <c r="A5" i="10"/>
  <c r="B4" i="10"/>
  <c r="A4" i="10"/>
  <c r="E3" i="10"/>
  <c r="D3" i="10"/>
  <c r="C3" i="10"/>
  <c r="B3" i="10"/>
  <c r="A3" i="10"/>
  <c r="E2" i="10"/>
  <c r="D2" i="10"/>
  <c r="C2" i="10"/>
  <c r="B2" i="10"/>
  <c r="A2" i="10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P138" i="9" s="1"/>
  <c r="L137" i="9"/>
  <c r="L136" i="9"/>
  <c r="L135" i="9"/>
  <c r="L134" i="9"/>
  <c r="L133" i="9"/>
  <c r="L132" i="9"/>
  <c r="L131" i="9"/>
  <c r="P130" i="9"/>
  <c r="L130" i="9"/>
  <c r="L129" i="9"/>
  <c r="L128" i="9"/>
  <c r="L127" i="9"/>
  <c r="L126" i="9"/>
  <c r="P126" i="9" s="1"/>
  <c r="L125" i="9"/>
  <c r="L124" i="9"/>
  <c r="L123" i="9"/>
  <c r="P123" i="9" s="1"/>
  <c r="L122" i="9"/>
  <c r="L121" i="9"/>
  <c r="L120" i="9"/>
  <c r="L119" i="9"/>
  <c r="L118" i="9"/>
  <c r="P118" i="9" s="1"/>
  <c r="L117" i="9"/>
  <c r="L116" i="9"/>
  <c r="L115" i="9"/>
  <c r="L114" i="9"/>
  <c r="L113" i="9"/>
  <c r="P112" i="9"/>
  <c r="L112" i="9"/>
  <c r="L111" i="9"/>
  <c r="L110" i="9"/>
  <c r="L109" i="9"/>
  <c r="L108" i="9"/>
  <c r="L107" i="9"/>
  <c r="L106" i="9"/>
  <c r="L105" i="9"/>
  <c r="L104" i="9"/>
  <c r="L103" i="9"/>
  <c r="L102" i="9"/>
  <c r="P102" i="9" s="1"/>
  <c r="L101" i="9"/>
  <c r="P100" i="9"/>
  <c r="L100" i="9"/>
  <c r="L99" i="9"/>
  <c r="L98" i="9"/>
  <c r="L97" i="9"/>
  <c r="P97" i="9" s="1"/>
  <c r="L96" i="9"/>
  <c r="L95" i="9"/>
  <c r="L94" i="9"/>
  <c r="L93" i="9"/>
  <c r="L92" i="9"/>
  <c r="P91" i="9"/>
  <c r="L91" i="9"/>
  <c r="L90" i="9"/>
  <c r="P90" i="9" s="1"/>
  <c r="L89" i="9"/>
  <c r="P89" i="9" s="1"/>
  <c r="L88" i="9"/>
  <c r="L87" i="9"/>
  <c r="L86" i="9"/>
  <c r="L85" i="9"/>
  <c r="L84" i="9"/>
  <c r="P84" i="9" s="1"/>
  <c r="L83" i="9"/>
  <c r="L82" i="9"/>
  <c r="L81" i="9"/>
  <c r="L80" i="9"/>
  <c r="L79" i="9"/>
  <c r="L78" i="9"/>
  <c r="L77" i="9"/>
  <c r="P76" i="9"/>
  <c r="L76" i="9"/>
  <c r="L75" i="9"/>
  <c r="L74" i="9"/>
  <c r="L73" i="9"/>
  <c r="L72" i="9"/>
  <c r="L71" i="9"/>
  <c r="L70" i="9"/>
  <c r="L69" i="9"/>
  <c r="L68" i="9"/>
  <c r="P68" i="9" s="1"/>
  <c r="L67" i="9"/>
  <c r="L66" i="9"/>
  <c r="L65" i="9"/>
  <c r="L64" i="9"/>
  <c r="L63" i="9"/>
  <c r="L62" i="9"/>
  <c r="L61" i="9"/>
  <c r="L60" i="9"/>
  <c r="L59" i="9"/>
  <c r="L58" i="9"/>
  <c r="L57" i="9"/>
  <c r="P56" i="9"/>
  <c r="L56" i="9"/>
  <c r="L55" i="9"/>
  <c r="L54" i="9"/>
  <c r="L53" i="9"/>
  <c r="L52" i="9"/>
  <c r="L51" i="9"/>
  <c r="L50" i="9"/>
  <c r="L49" i="9"/>
  <c r="P48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P24" i="9"/>
  <c r="L24" i="9"/>
  <c r="L23" i="9"/>
  <c r="L22" i="9"/>
  <c r="L21" i="9"/>
  <c r="L20" i="9"/>
  <c r="L19" i="9"/>
  <c r="L18" i="9"/>
  <c r="L17" i="9"/>
  <c r="P17" i="9" s="1"/>
  <c r="L16" i="9"/>
  <c r="P16" i="9" s="1"/>
  <c r="L15" i="9"/>
  <c r="L14" i="9"/>
  <c r="L13" i="9"/>
  <c r="L12" i="9"/>
  <c r="L11" i="9"/>
  <c r="L10" i="9"/>
  <c r="L9" i="9"/>
  <c r="L8" i="9"/>
  <c r="P8" i="9" s="1"/>
  <c r="L7" i="9"/>
  <c r="L6" i="9"/>
  <c r="L5" i="9"/>
  <c r="L4" i="9"/>
  <c r="D4" i="9"/>
  <c r="E4" i="9" s="1"/>
  <c r="L3" i="9"/>
  <c r="L2" i="9"/>
  <c r="F2" i="9"/>
  <c r="E2" i="9"/>
  <c r="D2" i="9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E13" i="8"/>
  <c r="I12" i="8"/>
  <c r="H12" i="8"/>
  <c r="E12" i="8"/>
  <c r="I11" i="8"/>
  <c r="H11" i="8"/>
  <c r="E11" i="8"/>
  <c r="I10" i="8"/>
  <c r="H10" i="8"/>
  <c r="E10" i="8"/>
  <c r="I9" i="8"/>
  <c r="H9" i="8"/>
  <c r="E9" i="8"/>
  <c r="I8" i="8"/>
  <c r="H8" i="8"/>
  <c r="E8" i="8"/>
  <c r="I7" i="8"/>
  <c r="H7" i="8"/>
  <c r="E7" i="8"/>
  <c r="I6" i="8"/>
  <c r="H6" i="8"/>
  <c r="E6" i="8"/>
  <c r="I5" i="8"/>
  <c r="H5" i="8"/>
  <c r="E5" i="8"/>
  <c r="I4" i="8"/>
  <c r="H4" i="8"/>
  <c r="E4" i="8"/>
  <c r="I3" i="8"/>
  <c r="H3" i="8"/>
  <c r="E3" i="8"/>
  <c r="I2" i="8"/>
  <c r="H2" i="8"/>
  <c r="E2" i="8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AB68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D26" i="7"/>
  <c r="F26" i="7" s="1"/>
  <c r="AI42" i="7" s="1"/>
  <c r="C26" i="7"/>
  <c r="B26" i="7"/>
  <c r="J25" i="7"/>
  <c r="I25" i="7"/>
  <c r="D25" i="7"/>
  <c r="F25" i="7" s="1"/>
  <c r="C25" i="7"/>
  <c r="B25" i="7"/>
  <c r="J24" i="7"/>
  <c r="I24" i="7"/>
  <c r="D24" i="7"/>
  <c r="F24" i="7" s="1"/>
  <c r="C24" i="7"/>
  <c r="B24" i="7"/>
  <c r="J23" i="7"/>
  <c r="I23" i="7"/>
  <c r="D23" i="7"/>
  <c r="F23" i="7" s="1"/>
  <c r="AF26" i="7" s="1"/>
  <c r="C23" i="7"/>
  <c r="B23" i="7"/>
  <c r="J22" i="7"/>
  <c r="I22" i="7"/>
  <c r="C22" i="7"/>
  <c r="B22" i="7"/>
  <c r="J21" i="7"/>
  <c r="I21" i="7"/>
  <c r="C21" i="7"/>
  <c r="B21" i="7"/>
  <c r="J20" i="7"/>
  <c r="I20" i="7"/>
  <c r="D20" i="7"/>
  <c r="F20" i="7" s="1"/>
  <c r="C20" i="7"/>
  <c r="B20" i="7"/>
  <c r="J19" i="7"/>
  <c r="I19" i="7"/>
  <c r="D19" i="7"/>
  <c r="F19" i="7" s="1"/>
  <c r="C19" i="7"/>
  <c r="B19" i="7"/>
  <c r="J18" i="7"/>
  <c r="I18" i="7"/>
  <c r="B18" i="7"/>
  <c r="J17" i="7"/>
  <c r="I17" i="7"/>
  <c r="B17" i="7"/>
  <c r="J16" i="7"/>
  <c r="I16" i="7"/>
  <c r="B16" i="7"/>
  <c r="J15" i="7"/>
  <c r="I15" i="7"/>
  <c r="B15" i="7"/>
  <c r="AH14" i="7"/>
  <c r="J14" i="7"/>
  <c r="I14" i="7"/>
  <c r="C14" i="7"/>
  <c r="B14" i="7"/>
  <c r="AF13" i="7"/>
  <c r="J13" i="7"/>
  <c r="I13" i="7"/>
  <c r="B13" i="7"/>
  <c r="J12" i="7"/>
  <c r="I12" i="7"/>
  <c r="B12" i="7"/>
  <c r="J11" i="7"/>
  <c r="I11" i="7"/>
  <c r="B11" i="7"/>
  <c r="AH10" i="7"/>
  <c r="J10" i="7"/>
  <c r="I10" i="7"/>
  <c r="D10" i="7"/>
  <c r="F10" i="7" s="1"/>
  <c r="C10" i="7"/>
  <c r="B10" i="7"/>
  <c r="AF9" i="7"/>
  <c r="J9" i="7"/>
  <c r="I9" i="7"/>
  <c r="B9" i="7"/>
  <c r="J8" i="7"/>
  <c r="I8" i="7"/>
  <c r="B8" i="7"/>
  <c r="J7" i="7"/>
  <c r="I7" i="7"/>
  <c r="B7" i="7"/>
  <c r="AH6" i="7"/>
  <c r="AG6" i="7"/>
  <c r="J6" i="7"/>
  <c r="I6" i="7"/>
  <c r="D6" i="7"/>
  <c r="F6" i="7" s="1"/>
  <c r="O5" i="7" s="1"/>
  <c r="C6" i="7"/>
  <c r="B6" i="7"/>
  <c r="J5" i="7"/>
  <c r="I5" i="7"/>
  <c r="B5" i="7"/>
  <c r="J4" i="7"/>
  <c r="I4" i="7"/>
  <c r="B4" i="7"/>
  <c r="J3" i="7"/>
  <c r="I3" i="7"/>
  <c r="B3" i="7"/>
  <c r="AH2" i="7"/>
  <c r="J2" i="7"/>
  <c r="I2" i="7"/>
  <c r="D2" i="7"/>
  <c r="F2" i="7" s="1"/>
  <c r="C2" i="7"/>
  <c r="B2" i="7"/>
  <c r="A251" i="5"/>
  <c r="C251" i="5" s="1"/>
  <c r="A250" i="5"/>
  <c r="A249" i="5"/>
  <c r="D249" i="5" s="1"/>
  <c r="E248" i="5"/>
  <c r="D248" i="5"/>
  <c r="G248" i="5" s="1"/>
  <c r="A248" i="5"/>
  <c r="B248" i="5" s="1"/>
  <c r="I248" i="5" s="1"/>
  <c r="F247" i="5"/>
  <c r="E247" i="5"/>
  <c r="D247" i="5"/>
  <c r="G247" i="5" s="1"/>
  <c r="C247" i="5"/>
  <c r="B247" i="5"/>
  <c r="A247" i="5"/>
  <c r="A246" i="5"/>
  <c r="E246" i="5" s="1"/>
  <c r="C245" i="5"/>
  <c r="A245" i="5"/>
  <c r="A244" i="5"/>
  <c r="A243" i="5"/>
  <c r="D243" i="5" s="1"/>
  <c r="E242" i="5"/>
  <c r="D242" i="5"/>
  <c r="I242" i="5" s="1"/>
  <c r="A242" i="5"/>
  <c r="B242" i="5" s="1"/>
  <c r="E241" i="5"/>
  <c r="D241" i="5"/>
  <c r="G241" i="5" s="1"/>
  <c r="C241" i="5"/>
  <c r="F241" i="5" s="1"/>
  <c r="B241" i="5"/>
  <c r="A241" i="5"/>
  <c r="E240" i="5"/>
  <c r="D240" i="5"/>
  <c r="C240" i="5"/>
  <c r="B240" i="5"/>
  <c r="A240" i="5"/>
  <c r="B239" i="5"/>
  <c r="A239" i="5"/>
  <c r="A238" i="5"/>
  <c r="A237" i="5"/>
  <c r="D237" i="5" s="1"/>
  <c r="I236" i="5"/>
  <c r="G236" i="5"/>
  <c r="E236" i="5"/>
  <c r="D236" i="5"/>
  <c r="A236" i="5"/>
  <c r="B236" i="5" s="1"/>
  <c r="G235" i="5"/>
  <c r="E235" i="5"/>
  <c r="D235" i="5"/>
  <c r="C235" i="5"/>
  <c r="B235" i="5"/>
  <c r="A235" i="5"/>
  <c r="E234" i="5"/>
  <c r="D234" i="5"/>
  <c r="C234" i="5"/>
  <c r="B234" i="5"/>
  <c r="A234" i="5"/>
  <c r="C233" i="5"/>
  <c r="A233" i="5"/>
  <c r="A232" i="5"/>
  <c r="A231" i="5"/>
  <c r="D231" i="5" s="1"/>
  <c r="E230" i="5"/>
  <c r="D230" i="5"/>
  <c r="G230" i="5" s="1"/>
  <c r="A230" i="5"/>
  <c r="B230" i="5" s="1"/>
  <c r="E229" i="5"/>
  <c r="D229" i="5"/>
  <c r="G229" i="5" s="1"/>
  <c r="C229" i="5"/>
  <c r="F229" i="5" s="1"/>
  <c r="B229" i="5"/>
  <c r="A229" i="5"/>
  <c r="E228" i="5"/>
  <c r="D228" i="5"/>
  <c r="G228" i="5" s="1"/>
  <c r="C228" i="5"/>
  <c r="B228" i="5"/>
  <c r="A228" i="5"/>
  <c r="A227" i="5"/>
  <c r="C227" i="5" s="1"/>
  <c r="A226" i="5"/>
  <c r="A225" i="5"/>
  <c r="D225" i="5" s="1"/>
  <c r="G224" i="5"/>
  <c r="E224" i="5"/>
  <c r="D224" i="5"/>
  <c r="A224" i="5"/>
  <c r="B224" i="5" s="1"/>
  <c r="G223" i="5"/>
  <c r="F223" i="5"/>
  <c r="E223" i="5"/>
  <c r="D223" i="5"/>
  <c r="C223" i="5"/>
  <c r="B223" i="5"/>
  <c r="A223" i="5"/>
  <c r="A222" i="5"/>
  <c r="C221" i="5"/>
  <c r="A221" i="5"/>
  <c r="A220" i="5"/>
  <c r="A219" i="5"/>
  <c r="D219" i="5" s="1"/>
  <c r="E218" i="5"/>
  <c r="D218" i="5"/>
  <c r="I218" i="5" s="1"/>
  <c r="A218" i="5"/>
  <c r="B218" i="5" s="1"/>
  <c r="E217" i="5"/>
  <c r="D217" i="5"/>
  <c r="G217" i="5" s="1"/>
  <c r="C217" i="5"/>
  <c r="F217" i="5" s="1"/>
  <c r="B217" i="5"/>
  <c r="A217" i="5"/>
  <c r="E216" i="5"/>
  <c r="D216" i="5"/>
  <c r="C216" i="5"/>
  <c r="B216" i="5"/>
  <c r="A216" i="5"/>
  <c r="C215" i="5"/>
  <c r="B215" i="5"/>
  <c r="A215" i="5"/>
  <c r="A214" i="5"/>
  <c r="A213" i="5"/>
  <c r="D213" i="5" s="1"/>
  <c r="I212" i="5"/>
  <c r="G212" i="5"/>
  <c r="E212" i="5"/>
  <c r="D212" i="5"/>
  <c r="A212" i="5"/>
  <c r="B212" i="5" s="1"/>
  <c r="G211" i="5"/>
  <c r="F211" i="5"/>
  <c r="E211" i="5"/>
  <c r="D211" i="5"/>
  <c r="C211" i="5"/>
  <c r="B211" i="5"/>
  <c r="A211" i="5"/>
  <c r="E210" i="5"/>
  <c r="D210" i="5"/>
  <c r="C210" i="5"/>
  <c r="B210" i="5"/>
  <c r="A210" i="5"/>
  <c r="C209" i="5"/>
  <c r="B209" i="5"/>
  <c r="A209" i="5"/>
  <c r="A208" i="5"/>
  <c r="A207" i="5"/>
  <c r="D207" i="5" s="1"/>
  <c r="E206" i="5"/>
  <c r="D206" i="5"/>
  <c r="G206" i="5" s="1"/>
  <c r="A206" i="5"/>
  <c r="B206" i="5" s="1"/>
  <c r="E205" i="5"/>
  <c r="D205" i="5"/>
  <c r="G205" i="5" s="1"/>
  <c r="C205" i="5"/>
  <c r="F205" i="5" s="1"/>
  <c r="B205" i="5"/>
  <c r="A205" i="5"/>
  <c r="E204" i="5"/>
  <c r="D204" i="5"/>
  <c r="G204" i="5" s="1"/>
  <c r="C204" i="5"/>
  <c r="B204" i="5"/>
  <c r="A204" i="5"/>
  <c r="A203" i="5"/>
  <c r="C203" i="5" s="1"/>
  <c r="B202" i="5"/>
  <c r="A202" i="5"/>
  <c r="A201" i="5"/>
  <c r="D201" i="5" s="1"/>
  <c r="E200" i="5"/>
  <c r="D200" i="5"/>
  <c r="A200" i="5"/>
  <c r="B200" i="5" s="1"/>
  <c r="E199" i="5"/>
  <c r="D199" i="5"/>
  <c r="C199" i="5"/>
  <c r="F199" i="5" s="1"/>
  <c r="B199" i="5"/>
  <c r="A199" i="5"/>
  <c r="E198" i="5"/>
  <c r="D198" i="5"/>
  <c r="C198" i="5"/>
  <c r="F198" i="5" s="1"/>
  <c r="B198" i="5"/>
  <c r="A198" i="5"/>
  <c r="D197" i="5"/>
  <c r="G197" i="5" s="1"/>
  <c r="C197" i="5"/>
  <c r="B197" i="5"/>
  <c r="A197" i="5"/>
  <c r="E197" i="5" s="1"/>
  <c r="A196" i="5"/>
  <c r="A195" i="5"/>
  <c r="D195" i="5" s="1"/>
  <c r="E194" i="5"/>
  <c r="G194" i="5" s="1"/>
  <c r="D194" i="5"/>
  <c r="A194" i="5"/>
  <c r="B194" i="5" s="1"/>
  <c r="I194" i="5" s="1"/>
  <c r="E193" i="5"/>
  <c r="G193" i="5" s="1"/>
  <c r="D193" i="5"/>
  <c r="C193" i="5"/>
  <c r="B193" i="5"/>
  <c r="F193" i="5" s="1"/>
  <c r="A193" i="5"/>
  <c r="E192" i="5"/>
  <c r="D192" i="5"/>
  <c r="A192" i="5"/>
  <c r="C192" i="5" s="1"/>
  <c r="D191" i="5"/>
  <c r="A191" i="5"/>
  <c r="B190" i="5"/>
  <c r="A190" i="5"/>
  <c r="A189" i="5"/>
  <c r="D189" i="5" s="1"/>
  <c r="I188" i="5"/>
  <c r="G188" i="5"/>
  <c r="E188" i="5"/>
  <c r="D188" i="5"/>
  <c r="A188" i="5"/>
  <c r="B188" i="5" s="1"/>
  <c r="G187" i="5"/>
  <c r="E187" i="5"/>
  <c r="D187" i="5"/>
  <c r="C187" i="5"/>
  <c r="B187" i="5"/>
  <c r="A187" i="5"/>
  <c r="B186" i="5"/>
  <c r="A186" i="5"/>
  <c r="A185" i="5"/>
  <c r="A184" i="5"/>
  <c r="B184" i="5" s="1"/>
  <c r="C183" i="5"/>
  <c r="A183" i="5"/>
  <c r="D183" i="5" s="1"/>
  <c r="E182" i="5"/>
  <c r="D182" i="5"/>
  <c r="A182" i="5"/>
  <c r="F181" i="5"/>
  <c r="E181" i="5"/>
  <c r="D181" i="5"/>
  <c r="C181" i="5"/>
  <c r="B181" i="5"/>
  <c r="A181" i="5"/>
  <c r="E180" i="5"/>
  <c r="B180" i="5"/>
  <c r="A180" i="5"/>
  <c r="G179" i="5"/>
  <c r="D179" i="5"/>
  <c r="A179" i="5"/>
  <c r="E179" i="5" s="1"/>
  <c r="A178" i="5"/>
  <c r="I177" i="5"/>
  <c r="C177" i="5"/>
  <c r="F177" i="5" s="1"/>
  <c r="B177" i="5"/>
  <c r="A177" i="5"/>
  <c r="D177" i="5" s="1"/>
  <c r="E176" i="5"/>
  <c r="G176" i="5" s="1"/>
  <c r="D176" i="5"/>
  <c r="A176" i="5"/>
  <c r="G175" i="5"/>
  <c r="F175" i="5"/>
  <c r="E175" i="5"/>
  <c r="D175" i="5"/>
  <c r="C175" i="5"/>
  <c r="B175" i="5"/>
  <c r="A175" i="5"/>
  <c r="E174" i="5"/>
  <c r="D174" i="5"/>
  <c r="G174" i="5" s="1"/>
  <c r="C174" i="5"/>
  <c r="B174" i="5"/>
  <c r="A174" i="5"/>
  <c r="G173" i="5"/>
  <c r="F173" i="5"/>
  <c r="D173" i="5"/>
  <c r="C173" i="5"/>
  <c r="B173" i="5"/>
  <c r="A173" i="5"/>
  <c r="E173" i="5" s="1"/>
  <c r="E172" i="5"/>
  <c r="A172" i="5"/>
  <c r="I171" i="5"/>
  <c r="C171" i="5"/>
  <c r="B171" i="5"/>
  <c r="F171" i="5" s="1"/>
  <c r="A171" i="5"/>
  <c r="D171" i="5" s="1"/>
  <c r="E170" i="5"/>
  <c r="A170" i="5"/>
  <c r="F169" i="5"/>
  <c r="E169" i="5"/>
  <c r="G169" i="5" s="1"/>
  <c r="D169" i="5"/>
  <c r="C169" i="5"/>
  <c r="B169" i="5"/>
  <c r="A169" i="5"/>
  <c r="B168" i="5"/>
  <c r="A168" i="5"/>
  <c r="C167" i="5"/>
  <c r="A167" i="5"/>
  <c r="E167" i="5" s="1"/>
  <c r="E166" i="5"/>
  <c r="D166" i="5"/>
  <c r="B166" i="5"/>
  <c r="F166" i="5" s="1"/>
  <c r="A166" i="5"/>
  <c r="C166" i="5" s="1"/>
  <c r="I165" i="5"/>
  <c r="F165" i="5"/>
  <c r="C165" i="5"/>
  <c r="B165" i="5"/>
  <c r="A165" i="5"/>
  <c r="D165" i="5" s="1"/>
  <c r="A164" i="5"/>
  <c r="F163" i="5"/>
  <c r="E163" i="5"/>
  <c r="D163" i="5"/>
  <c r="C163" i="5"/>
  <c r="B163" i="5"/>
  <c r="A163" i="5"/>
  <c r="B162" i="5"/>
  <c r="A162" i="5"/>
  <c r="A161" i="5"/>
  <c r="E160" i="5"/>
  <c r="D160" i="5"/>
  <c r="B160" i="5"/>
  <c r="A160" i="5"/>
  <c r="C160" i="5" s="1"/>
  <c r="I159" i="5"/>
  <c r="C159" i="5"/>
  <c r="F159" i="5" s="1"/>
  <c r="B159" i="5"/>
  <c r="A159" i="5"/>
  <c r="D159" i="5" s="1"/>
  <c r="A158" i="5"/>
  <c r="F157" i="5"/>
  <c r="E157" i="5"/>
  <c r="D157" i="5"/>
  <c r="C157" i="5"/>
  <c r="B157" i="5"/>
  <c r="A157" i="5"/>
  <c r="A156" i="5"/>
  <c r="F155" i="5"/>
  <c r="E155" i="5"/>
  <c r="D155" i="5"/>
  <c r="G155" i="5" s="1"/>
  <c r="C155" i="5"/>
  <c r="B155" i="5"/>
  <c r="A155" i="5"/>
  <c r="E154" i="5"/>
  <c r="A154" i="5"/>
  <c r="C153" i="5"/>
  <c r="A153" i="5"/>
  <c r="B153" i="5" s="1"/>
  <c r="E152" i="5"/>
  <c r="D152" i="5"/>
  <c r="A152" i="5"/>
  <c r="I151" i="5"/>
  <c r="G151" i="5"/>
  <c r="E151" i="5"/>
  <c r="D151" i="5"/>
  <c r="C151" i="5"/>
  <c r="B151" i="5"/>
  <c r="A151" i="5"/>
  <c r="A150" i="5"/>
  <c r="B149" i="5"/>
  <c r="A149" i="5"/>
  <c r="E149" i="5" s="1"/>
  <c r="D148" i="5"/>
  <c r="A148" i="5"/>
  <c r="E148" i="5" s="1"/>
  <c r="A147" i="5"/>
  <c r="D146" i="5"/>
  <c r="A146" i="5"/>
  <c r="F145" i="5"/>
  <c r="E145" i="5"/>
  <c r="D145" i="5"/>
  <c r="C145" i="5"/>
  <c r="B145" i="5"/>
  <c r="A145" i="5"/>
  <c r="A144" i="5"/>
  <c r="E143" i="5"/>
  <c r="D143" i="5"/>
  <c r="C143" i="5"/>
  <c r="B143" i="5"/>
  <c r="A143" i="5"/>
  <c r="A142" i="5"/>
  <c r="C141" i="5"/>
  <c r="F141" i="5" s="1"/>
  <c r="B141" i="5"/>
  <c r="A141" i="5"/>
  <c r="E140" i="5"/>
  <c r="D140" i="5"/>
  <c r="G140" i="5" s="1"/>
  <c r="A140" i="5"/>
  <c r="J139" i="5"/>
  <c r="I139" i="5"/>
  <c r="G139" i="5"/>
  <c r="E139" i="5"/>
  <c r="D139" i="5"/>
  <c r="C139" i="5"/>
  <c r="B139" i="5"/>
  <c r="F139" i="5" s="1"/>
  <c r="H139" i="5" s="1"/>
  <c r="A139" i="5"/>
  <c r="I138" i="5"/>
  <c r="G138" i="5"/>
  <c r="F138" i="5"/>
  <c r="E138" i="5"/>
  <c r="D138" i="5"/>
  <c r="C138" i="5"/>
  <c r="B138" i="5"/>
  <c r="A138" i="5"/>
  <c r="A137" i="5"/>
  <c r="C136" i="5"/>
  <c r="B136" i="5"/>
  <c r="A136" i="5"/>
  <c r="E136" i="5" s="1"/>
  <c r="A135" i="5"/>
  <c r="C135" i="5" s="1"/>
  <c r="A134" i="5"/>
  <c r="C133" i="5"/>
  <c r="F133" i="5" s="1"/>
  <c r="A133" i="5"/>
  <c r="B133" i="5" s="1"/>
  <c r="E132" i="5"/>
  <c r="G132" i="5" s="1"/>
  <c r="D132" i="5"/>
  <c r="C132" i="5"/>
  <c r="B132" i="5"/>
  <c r="I132" i="5" s="1"/>
  <c r="A132" i="5"/>
  <c r="C131" i="5"/>
  <c r="A131" i="5"/>
  <c r="C130" i="5"/>
  <c r="B130" i="5"/>
  <c r="A130" i="5"/>
  <c r="E130" i="5" s="1"/>
  <c r="E129" i="5"/>
  <c r="C129" i="5"/>
  <c r="A129" i="5"/>
  <c r="I128" i="5"/>
  <c r="E128" i="5"/>
  <c r="D128" i="5"/>
  <c r="C128" i="5"/>
  <c r="A128" i="5"/>
  <c r="B128" i="5" s="1"/>
  <c r="E127" i="5"/>
  <c r="A127" i="5"/>
  <c r="A126" i="5"/>
  <c r="E125" i="5"/>
  <c r="D125" i="5"/>
  <c r="A125" i="5"/>
  <c r="A124" i="5"/>
  <c r="B123" i="5"/>
  <c r="A123" i="5"/>
  <c r="D123" i="5" s="1"/>
  <c r="A122" i="5"/>
  <c r="A121" i="5"/>
  <c r="G120" i="5"/>
  <c r="E120" i="5"/>
  <c r="D120" i="5"/>
  <c r="I120" i="5" s="1"/>
  <c r="C120" i="5"/>
  <c r="B120" i="5"/>
  <c r="F120" i="5" s="1"/>
  <c r="A120" i="5"/>
  <c r="D119" i="5"/>
  <c r="A119" i="5"/>
  <c r="E118" i="5"/>
  <c r="C118" i="5"/>
  <c r="A118" i="5"/>
  <c r="B118" i="5" s="1"/>
  <c r="A117" i="5"/>
  <c r="I116" i="5"/>
  <c r="J116" i="5" s="1"/>
  <c r="G116" i="5"/>
  <c r="F116" i="5"/>
  <c r="H116" i="5" s="1"/>
  <c r="E116" i="5"/>
  <c r="D116" i="5"/>
  <c r="C116" i="5"/>
  <c r="A116" i="5"/>
  <c r="B116" i="5" s="1"/>
  <c r="E115" i="5"/>
  <c r="D115" i="5"/>
  <c r="I115" i="5" s="1"/>
  <c r="C115" i="5"/>
  <c r="F115" i="5" s="1"/>
  <c r="B115" i="5"/>
  <c r="A115" i="5"/>
  <c r="D114" i="5"/>
  <c r="G114" i="5" s="1"/>
  <c r="B114" i="5"/>
  <c r="A114" i="5"/>
  <c r="E114" i="5" s="1"/>
  <c r="D113" i="5"/>
  <c r="G113" i="5" s="1"/>
  <c r="A113" i="5"/>
  <c r="E113" i="5" s="1"/>
  <c r="E112" i="5"/>
  <c r="D112" i="5"/>
  <c r="I112" i="5" s="1"/>
  <c r="C112" i="5"/>
  <c r="A112" i="5"/>
  <c r="B112" i="5" s="1"/>
  <c r="A111" i="5"/>
  <c r="D111" i="5" s="1"/>
  <c r="A110" i="5"/>
  <c r="E109" i="5"/>
  <c r="B109" i="5"/>
  <c r="A109" i="5"/>
  <c r="D109" i="5" s="1"/>
  <c r="G109" i="5" s="1"/>
  <c r="F108" i="5"/>
  <c r="E108" i="5"/>
  <c r="D108" i="5"/>
  <c r="B108" i="5"/>
  <c r="A108" i="5"/>
  <c r="C108" i="5" s="1"/>
  <c r="A107" i="5"/>
  <c r="E107" i="5" s="1"/>
  <c r="I106" i="5"/>
  <c r="G106" i="5"/>
  <c r="E106" i="5"/>
  <c r="C106" i="5"/>
  <c r="B106" i="5"/>
  <c r="A106" i="5"/>
  <c r="D106" i="5" s="1"/>
  <c r="E105" i="5"/>
  <c r="C105" i="5"/>
  <c r="B105" i="5"/>
  <c r="I105" i="5" s="1"/>
  <c r="A105" i="5"/>
  <c r="D105" i="5" s="1"/>
  <c r="E104" i="5"/>
  <c r="C104" i="5"/>
  <c r="A104" i="5"/>
  <c r="E103" i="5"/>
  <c r="D103" i="5"/>
  <c r="G103" i="5" s="1"/>
  <c r="C103" i="5"/>
  <c r="B103" i="5"/>
  <c r="A103" i="5"/>
  <c r="I102" i="5"/>
  <c r="E102" i="5"/>
  <c r="B102" i="5"/>
  <c r="A102" i="5"/>
  <c r="D102" i="5" s="1"/>
  <c r="G102" i="5" s="1"/>
  <c r="F101" i="5"/>
  <c r="D101" i="5"/>
  <c r="G101" i="5" s="1"/>
  <c r="C101" i="5"/>
  <c r="B101" i="5"/>
  <c r="A101" i="5"/>
  <c r="E101" i="5" s="1"/>
  <c r="B100" i="5"/>
  <c r="A100" i="5"/>
  <c r="I99" i="5"/>
  <c r="G99" i="5"/>
  <c r="E99" i="5"/>
  <c r="C99" i="5"/>
  <c r="B99" i="5"/>
  <c r="F99" i="5" s="1"/>
  <c r="H99" i="5" s="1"/>
  <c r="A99" i="5"/>
  <c r="D99" i="5" s="1"/>
  <c r="E98" i="5"/>
  <c r="A98" i="5"/>
  <c r="E97" i="5"/>
  <c r="A97" i="5"/>
  <c r="B97" i="5" s="1"/>
  <c r="E96" i="5"/>
  <c r="D96" i="5"/>
  <c r="G96" i="5" s="1"/>
  <c r="C96" i="5"/>
  <c r="B96" i="5"/>
  <c r="A96" i="5"/>
  <c r="A95" i="5"/>
  <c r="C94" i="5"/>
  <c r="B94" i="5"/>
  <c r="F94" i="5" s="1"/>
  <c r="A94" i="5"/>
  <c r="E94" i="5" s="1"/>
  <c r="E93" i="5"/>
  <c r="G93" i="5" s="1"/>
  <c r="D93" i="5"/>
  <c r="C93" i="5"/>
  <c r="A93" i="5"/>
  <c r="I92" i="5"/>
  <c r="E92" i="5"/>
  <c r="D92" i="5"/>
  <c r="C92" i="5"/>
  <c r="B92" i="5"/>
  <c r="A92" i="5"/>
  <c r="O91" i="5"/>
  <c r="N91" i="5"/>
  <c r="E91" i="5"/>
  <c r="D91" i="5"/>
  <c r="G91" i="5" s="1"/>
  <c r="C91" i="5"/>
  <c r="F91" i="5" s="1"/>
  <c r="B91" i="5"/>
  <c r="A91" i="5"/>
  <c r="O90" i="5"/>
  <c r="N90" i="5"/>
  <c r="G90" i="5"/>
  <c r="F90" i="5"/>
  <c r="H90" i="5" s="1"/>
  <c r="E90" i="5"/>
  <c r="D90" i="5"/>
  <c r="C90" i="5"/>
  <c r="B90" i="5"/>
  <c r="A90" i="5"/>
  <c r="O89" i="5"/>
  <c r="N89" i="5"/>
  <c r="E89" i="5"/>
  <c r="A89" i="5"/>
  <c r="O88" i="5"/>
  <c r="N88" i="5"/>
  <c r="E88" i="5"/>
  <c r="C88" i="5"/>
  <c r="B88" i="5"/>
  <c r="I88" i="5" s="1"/>
  <c r="A88" i="5"/>
  <c r="D88" i="5" s="1"/>
  <c r="G88" i="5" s="1"/>
  <c r="O87" i="5"/>
  <c r="N87" i="5"/>
  <c r="E87" i="5"/>
  <c r="D87" i="5"/>
  <c r="A87" i="5"/>
  <c r="C87" i="5" s="1"/>
  <c r="O86" i="5"/>
  <c r="N86" i="5"/>
  <c r="E86" i="5"/>
  <c r="D86" i="5"/>
  <c r="G86" i="5" s="1"/>
  <c r="C86" i="5"/>
  <c r="F86" i="5" s="1"/>
  <c r="B86" i="5"/>
  <c r="A86" i="5"/>
  <c r="B12" i="8" s="1"/>
  <c r="O85" i="5"/>
  <c r="N85" i="5"/>
  <c r="A85" i="5"/>
  <c r="D85" i="5" s="1"/>
  <c r="O84" i="5"/>
  <c r="N84" i="5"/>
  <c r="F84" i="5"/>
  <c r="E84" i="5"/>
  <c r="D84" i="5"/>
  <c r="G84" i="5" s="1"/>
  <c r="C84" i="5"/>
  <c r="B84" i="5"/>
  <c r="A84" i="5"/>
  <c r="O83" i="5"/>
  <c r="N83" i="5"/>
  <c r="E83" i="5"/>
  <c r="D83" i="5"/>
  <c r="G83" i="5" s="1"/>
  <c r="A83" i="5"/>
  <c r="O82" i="5"/>
  <c r="N82" i="5"/>
  <c r="G82" i="5"/>
  <c r="E82" i="5"/>
  <c r="D82" i="5"/>
  <c r="C82" i="5"/>
  <c r="F82" i="5" s="1"/>
  <c r="B82" i="5"/>
  <c r="A82" i="5"/>
  <c r="O81" i="5"/>
  <c r="N81" i="5"/>
  <c r="E81" i="5"/>
  <c r="B81" i="5"/>
  <c r="A81" i="5"/>
  <c r="O80" i="5"/>
  <c r="N80" i="5"/>
  <c r="D80" i="5"/>
  <c r="G80" i="5" s="1"/>
  <c r="C80" i="5"/>
  <c r="B80" i="5"/>
  <c r="A80" i="5"/>
  <c r="E80" i="5" s="1"/>
  <c r="O79" i="5"/>
  <c r="N79" i="5"/>
  <c r="E79" i="5"/>
  <c r="D79" i="5"/>
  <c r="C79" i="5"/>
  <c r="B79" i="5"/>
  <c r="A79" i="5"/>
  <c r="B11" i="8" s="1"/>
  <c r="O78" i="5"/>
  <c r="N78" i="5"/>
  <c r="E78" i="5"/>
  <c r="D78" i="5"/>
  <c r="C78" i="5"/>
  <c r="B78" i="5"/>
  <c r="A78" i="5"/>
  <c r="O77" i="5"/>
  <c r="N77" i="5"/>
  <c r="A77" i="5"/>
  <c r="O76" i="5"/>
  <c r="N76" i="5"/>
  <c r="E76" i="5"/>
  <c r="C76" i="5"/>
  <c r="B76" i="5"/>
  <c r="A76" i="5"/>
  <c r="D76" i="5" s="1"/>
  <c r="G76" i="5" s="1"/>
  <c r="O75" i="5"/>
  <c r="N75" i="5"/>
  <c r="A75" i="5"/>
  <c r="O74" i="5"/>
  <c r="N74" i="5"/>
  <c r="E74" i="5"/>
  <c r="D74" i="5"/>
  <c r="G74" i="5" s="1"/>
  <c r="C74" i="5"/>
  <c r="B74" i="5"/>
  <c r="A74" i="5"/>
  <c r="O73" i="5"/>
  <c r="N73" i="5"/>
  <c r="E73" i="5"/>
  <c r="C73" i="5"/>
  <c r="B73" i="5"/>
  <c r="A73" i="5"/>
  <c r="D73" i="5" s="1"/>
  <c r="O72" i="5"/>
  <c r="N72" i="5"/>
  <c r="E72" i="5"/>
  <c r="D72" i="5"/>
  <c r="G72" i="5" s="1"/>
  <c r="C72" i="5"/>
  <c r="B72" i="5"/>
  <c r="A72" i="5"/>
  <c r="B10" i="8" s="1"/>
  <c r="O71" i="5"/>
  <c r="N71" i="5"/>
  <c r="A71" i="5"/>
  <c r="O70" i="5"/>
  <c r="N70" i="5"/>
  <c r="I70" i="5"/>
  <c r="G70" i="5"/>
  <c r="E70" i="5"/>
  <c r="D70" i="5"/>
  <c r="C70" i="5"/>
  <c r="B70" i="5"/>
  <c r="A70" i="5"/>
  <c r="O69" i="5"/>
  <c r="N69" i="5"/>
  <c r="B69" i="5"/>
  <c r="A69" i="5"/>
  <c r="O68" i="5"/>
  <c r="N68" i="5"/>
  <c r="C68" i="5"/>
  <c r="B68" i="5"/>
  <c r="A68" i="5"/>
  <c r="O67" i="5"/>
  <c r="N67" i="5"/>
  <c r="A67" i="5"/>
  <c r="O66" i="5"/>
  <c r="N66" i="5"/>
  <c r="E66" i="5"/>
  <c r="D66" i="5"/>
  <c r="G66" i="5" s="1"/>
  <c r="C66" i="5"/>
  <c r="B66" i="5"/>
  <c r="A66" i="5"/>
  <c r="O65" i="5"/>
  <c r="N65" i="5"/>
  <c r="A65" i="5"/>
  <c r="O64" i="5"/>
  <c r="N64" i="5"/>
  <c r="E64" i="5"/>
  <c r="C64" i="5"/>
  <c r="B64" i="5"/>
  <c r="A64" i="5"/>
  <c r="D64" i="5" s="1"/>
  <c r="O63" i="5"/>
  <c r="N63" i="5"/>
  <c r="A63" i="5"/>
  <c r="O62" i="5"/>
  <c r="N62" i="5"/>
  <c r="E62" i="5"/>
  <c r="D62" i="5"/>
  <c r="G62" i="5" s="1"/>
  <c r="C62" i="5"/>
  <c r="B62" i="5"/>
  <c r="F62" i="5" s="1"/>
  <c r="A62" i="5"/>
  <c r="O61" i="5"/>
  <c r="N61" i="5"/>
  <c r="E61" i="5"/>
  <c r="C61" i="5"/>
  <c r="B61" i="5"/>
  <c r="A61" i="5"/>
  <c r="D61" i="5" s="1"/>
  <c r="G61" i="5" s="1"/>
  <c r="O60" i="5"/>
  <c r="N60" i="5"/>
  <c r="E60" i="5"/>
  <c r="D60" i="5"/>
  <c r="B60" i="5"/>
  <c r="A60" i="5"/>
  <c r="C60" i="5" s="1"/>
  <c r="F60" i="5" s="1"/>
  <c r="O59" i="5"/>
  <c r="N59" i="5"/>
  <c r="D59" i="5"/>
  <c r="C59" i="5"/>
  <c r="A59" i="5"/>
  <c r="O58" i="5"/>
  <c r="N58" i="5"/>
  <c r="G58" i="5"/>
  <c r="F58" i="5"/>
  <c r="E58" i="5"/>
  <c r="D58" i="5"/>
  <c r="C58" i="5"/>
  <c r="B58" i="5"/>
  <c r="I58" i="5" s="1"/>
  <c r="A58" i="5"/>
  <c r="B8" i="8" s="1"/>
  <c r="O57" i="5"/>
  <c r="N57" i="5"/>
  <c r="E57" i="5"/>
  <c r="B57" i="5"/>
  <c r="A57" i="5"/>
  <c r="O56" i="5"/>
  <c r="N56" i="5"/>
  <c r="H56" i="5"/>
  <c r="J56" i="5" s="1"/>
  <c r="F56" i="5"/>
  <c r="D56" i="5"/>
  <c r="G56" i="5" s="1"/>
  <c r="C56" i="5"/>
  <c r="B56" i="5"/>
  <c r="I56" i="5" s="1"/>
  <c r="A56" i="5"/>
  <c r="E56" i="5" s="1"/>
  <c r="O55" i="5"/>
  <c r="N55" i="5"/>
  <c r="E55" i="5"/>
  <c r="D55" i="5"/>
  <c r="C55" i="5"/>
  <c r="F55" i="5" s="1"/>
  <c r="B55" i="5"/>
  <c r="A55" i="5"/>
  <c r="O54" i="5"/>
  <c r="N54" i="5"/>
  <c r="F54" i="5"/>
  <c r="E54" i="5"/>
  <c r="D54" i="5"/>
  <c r="C54" i="5"/>
  <c r="B54" i="5"/>
  <c r="A54" i="5"/>
  <c r="O53" i="5"/>
  <c r="N53" i="5"/>
  <c r="A53" i="5"/>
  <c r="O52" i="5"/>
  <c r="N52" i="5"/>
  <c r="I52" i="5"/>
  <c r="F52" i="5"/>
  <c r="E52" i="5"/>
  <c r="C52" i="5"/>
  <c r="B52" i="5"/>
  <c r="A52" i="5"/>
  <c r="D52" i="5" s="1"/>
  <c r="O51" i="5"/>
  <c r="N51" i="5"/>
  <c r="E51" i="5"/>
  <c r="A51" i="5"/>
  <c r="O50" i="5"/>
  <c r="N50" i="5"/>
  <c r="I50" i="5"/>
  <c r="G50" i="5"/>
  <c r="F50" i="5"/>
  <c r="E50" i="5"/>
  <c r="D50" i="5"/>
  <c r="C50" i="5"/>
  <c r="B50" i="5"/>
  <c r="A50" i="5"/>
  <c r="O49" i="5"/>
  <c r="N49" i="5"/>
  <c r="C49" i="5"/>
  <c r="A49" i="5"/>
  <c r="D49" i="5" s="1"/>
  <c r="O48" i="5"/>
  <c r="N48" i="5"/>
  <c r="C48" i="5"/>
  <c r="A48" i="5"/>
  <c r="E48" i="5" s="1"/>
  <c r="O47" i="5"/>
  <c r="N47" i="5"/>
  <c r="I47" i="5"/>
  <c r="D47" i="5"/>
  <c r="A47" i="5"/>
  <c r="B47" i="5" s="1"/>
  <c r="O46" i="5"/>
  <c r="N46" i="5"/>
  <c r="I46" i="5"/>
  <c r="G46" i="5"/>
  <c r="E46" i="5"/>
  <c r="D46" i="5"/>
  <c r="C46" i="5"/>
  <c r="B46" i="5"/>
  <c r="F46" i="5" s="1"/>
  <c r="H46" i="5" s="1"/>
  <c r="A46" i="5"/>
  <c r="O45" i="5"/>
  <c r="N45" i="5"/>
  <c r="A45" i="5"/>
  <c r="O44" i="5"/>
  <c r="N44" i="5"/>
  <c r="A44" i="5"/>
  <c r="O43" i="5"/>
  <c r="N43" i="5"/>
  <c r="E43" i="5"/>
  <c r="B43" i="5"/>
  <c r="A43" i="5"/>
  <c r="O42" i="5"/>
  <c r="N42" i="5"/>
  <c r="F42" i="5"/>
  <c r="E42" i="5"/>
  <c r="D42" i="5"/>
  <c r="G42" i="5" s="1"/>
  <c r="C42" i="5"/>
  <c r="B42" i="5"/>
  <c r="A42" i="5"/>
  <c r="O41" i="5"/>
  <c r="N41" i="5"/>
  <c r="C41" i="5"/>
  <c r="A41" i="5"/>
  <c r="O40" i="5"/>
  <c r="N40" i="5"/>
  <c r="E40" i="5"/>
  <c r="D40" i="5"/>
  <c r="B40" i="5"/>
  <c r="A40" i="5"/>
  <c r="C40" i="5" s="1"/>
  <c r="O39" i="5"/>
  <c r="N39" i="5"/>
  <c r="F39" i="5"/>
  <c r="E39" i="5"/>
  <c r="D39" i="5"/>
  <c r="C39" i="5"/>
  <c r="B39" i="5"/>
  <c r="A39" i="5"/>
  <c r="O38" i="5"/>
  <c r="N38" i="5"/>
  <c r="F38" i="5"/>
  <c r="E38" i="5"/>
  <c r="G38" i="5" s="1"/>
  <c r="H38" i="5" s="1"/>
  <c r="D38" i="5"/>
  <c r="C38" i="5"/>
  <c r="B38" i="5"/>
  <c r="I38" i="5" s="1"/>
  <c r="J38" i="5" s="1"/>
  <c r="A38" i="5"/>
  <c r="O37" i="5"/>
  <c r="N37" i="5"/>
  <c r="E37" i="5"/>
  <c r="A37" i="5"/>
  <c r="O36" i="5"/>
  <c r="N36" i="5"/>
  <c r="C36" i="5"/>
  <c r="B36" i="5"/>
  <c r="A36" i="5"/>
  <c r="O35" i="5"/>
  <c r="N35" i="5"/>
  <c r="A35" i="5"/>
  <c r="O34" i="5"/>
  <c r="N34" i="5"/>
  <c r="G34" i="5"/>
  <c r="E34" i="5"/>
  <c r="D34" i="5"/>
  <c r="C34" i="5"/>
  <c r="B34" i="5"/>
  <c r="A34" i="5"/>
  <c r="O33" i="5"/>
  <c r="N33" i="5"/>
  <c r="J33" i="5"/>
  <c r="I33" i="5"/>
  <c r="H33" i="5"/>
  <c r="G33" i="5"/>
  <c r="F33" i="5"/>
  <c r="E33" i="5"/>
  <c r="C33" i="5"/>
  <c r="B33" i="5"/>
  <c r="A33" i="5"/>
  <c r="D33" i="5" s="1"/>
  <c r="O32" i="5"/>
  <c r="N32" i="5"/>
  <c r="E32" i="5"/>
  <c r="D32" i="5"/>
  <c r="C32" i="5"/>
  <c r="B32" i="5"/>
  <c r="I32" i="5" s="1"/>
  <c r="A32" i="5"/>
  <c r="O31" i="5"/>
  <c r="N31" i="5"/>
  <c r="D31" i="5"/>
  <c r="A31" i="5"/>
  <c r="O30" i="5"/>
  <c r="N30" i="5"/>
  <c r="E30" i="5"/>
  <c r="D30" i="5"/>
  <c r="G30" i="5" s="1"/>
  <c r="C30" i="5"/>
  <c r="F30" i="5" s="1"/>
  <c r="B30" i="5"/>
  <c r="A30" i="5"/>
  <c r="B4" i="8" s="1"/>
  <c r="O29" i="5"/>
  <c r="N29" i="5"/>
  <c r="C29" i="5"/>
  <c r="A29" i="5"/>
  <c r="O28" i="5"/>
  <c r="N28" i="5"/>
  <c r="A28" i="5"/>
  <c r="O27" i="5"/>
  <c r="N27" i="5"/>
  <c r="F27" i="5"/>
  <c r="E27" i="5"/>
  <c r="D27" i="5"/>
  <c r="C27" i="5"/>
  <c r="B27" i="5"/>
  <c r="A27" i="5"/>
  <c r="O26" i="5"/>
  <c r="N26" i="5"/>
  <c r="I26" i="5"/>
  <c r="J26" i="5" s="1"/>
  <c r="H26" i="5"/>
  <c r="G26" i="5"/>
  <c r="E26" i="5"/>
  <c r="D26" i="5"/>
  <c r="C26" i="5"/>
  <c r="B26" i="5"/>
  <c r="F26" i="5" s="1"/>
  <c r="A26" i="5"/>
  <c r="O25" i="5"/>
  <c r="N25" i="5"/>
  <c r="E25" i="5"/>
  <c r="A25" i="5"/>
  <c r="O24" i="5"/>
  <c r="N24" i="5"/>
  <c r="B24" i="5"/>
  <c r="A24" i="5"/>
  <c r="O23" i="5"/>
  <c r="N23" i="5"/>
  <c r="E23" i="5"/>
  <c r="D23" i="5"/>
  <c r="G23" i="5" s="1"/>
  <c r="C23" i="5"/>
  <c r="A23" i="5"/>
  <c r="O22" i="5"/>
  <c r="N22" i="5"/>
  <c r="F22" i="5"/>
  <c r="E22" i="5"/>
  <c r="D22" i="5"/>
  <c r="G22" i="5" s="1"/>
  <c r="C22" i="5"/>
  <c r="B22" i="5"/>
  <c r="A22" i="5"/>
  <c r="O21" i="5"/>
  <c r="N21" i="5"/>
  <c r="G21" i="5"/>
  <c r="F21" i="5"/>
  <c r="H21" i="5" s="1"/>
  <c r="E21" i="5"/>
  <c r="C21" i="5"/>
  <c r="B21" i="5"/>
  <c r="I21" i="5" s="1"/>
  <c r="A21" i="5"/>
  <c r="D21" i="5" s="1"/>
  <c r="O20" i="5"/>
  <c r="N20" i="5"/>
  <c r="E20" i="5"/>
  <c r="D20" i="5"/>
  <c r="C20" i="5"/>
  <c r="B20" i="5"/>
  <c r="A20" i="5"/>
  <c r="O19" i="5"/>
  <c r="N19" i="5"/>
  <c r="B19" i="5"/>
  <c r="A19" i="5"/>
  <c r="O18" i="5"/>
  <c r="N18" i="5"/>
  <c r="E18" i="5"/>
  <c r="D18" i="5"/>
  <c r="G18" i="5" s="1"/>
  <c r="C18" i="5"/>
  <c r="B18" i="5"/>
  <c r="I18" i="5" s="1"/>
  <c r="A18" i="5"/>
  <c r="O17" i="5"/>
  <c r="N17" i="5"/>
  <c r="A17" i="5"/>
  <c r="O16" i="5"/>
  <c r="N16" i="5"/>
  <c r="C16" i="5"/>
  <c r="A16" i="5"/>
  <c r="E16" i="5" s="1"/>
  <c r="O15" i="5"/>
  <c r="N15" i="5"/>
  <c r="I15" i="5"/>
  <c r="E15" i="5"/>
  <c r="D15" i="5"/>
  <c r="G15" i="5" s="1"/>
  <c r="C15" i="5"/>
  <c r="B15" i="5"/>
  <c r="F15" i="5" s="1"/>
  <c r="A15" i="5"/>
  <c r="O14" i="5"/>
  <c r="N14" i="5"/>
  <c r="I14" i="5"/>
  <c r="H14" i="5"/>
  <c r="J14" i="5" s="1"/>
  <c r="E14" i="5"/>
  <c r="D14" i="5"/>
  <c r="G14" i="5" s="1"/>
  <c r="C14" i="5"/>
  <c r="B14" i="5"/>
  <c r="F14" i="5" s="1"/>
  <c r="A14" i="5"/>
  <c r="O13" i="5"/>
  <c r="N13" i="5"/>
  <c r="E13" i="5"/>
  <c r="B13" i="5"/>
  <c r="A13" i="5"/>
  <c r="O12" i="5"/>
  <c r="N12" i="5"/>
  <c r="I12" i="5"/>
  <c r="D12" i="5"/>
  <c r="G12" i="5" s="1"/>
  <c r="C12" i="5"/>
  <c r="F12" i="5" s="1"/>
  <c r="B12" i="5"/>
  <c r="A12" i="5"/>
  <c r="E12" i="5" s="1"/>
  <c r="O11" i="5"/>
  <c r="N11" i="5"/>
  <c r="E11" i="5"/>
  <c r="D11" i="5"/>
  <c r="G11" i="5" s="1"/>
  <c r="C11" i="5"/>
  <c r="B11" i="5"/>
  <c r="A11" i="5"/>
  <c r="O10" i="5"/>
  <c r="N10" i="5"/>
  <c r="F10" i="5"/>
  <c r="E10" i="5"/>
  <c r="D10" i="5"/>
  <c r="C10" i="5"/>
  <c r="A10" i="5"/>
  <c r="B10" i="5" s="1"/>
  <c r="O9" i="5"/>
  <c r="N9" i="5"/>
  <c r="F9" i="5"/>
  <c r="D9" i="5"/>
  <c r="I9" i="5" s="1"/>
  <c r="C9" i="5"/>
  <c r="B9" i="5"/>
  <c r="A9" i="5"/>
  <c r="E9" i="5" s="1"/>
  <c r="O8" i="5"/>
  <c r="N8" i="5"/>
  <c r="E8" i="5"/>
  <c r="A8" i="5"/>
  <c r="O7" i="5"/>
  <c r="N7" i="5"/>
  <c r="D7" i="5"/>
  <c r="B7" i="5"/>
  <c r="A7" i="5"/>
  <c r="O6" i="5"/>
  <c r="N6" i="5"/>
  <c r="A6" i="5"/>
  <c r="O5" i="5"/>
  <c r="N5" i="5"/>
  <c r="A5" i="5"/>
  <c r="O4" i="5"/>
  <c r="N4" i="5"/>
  <c r="C4" i="5"/>
  <c r="A4" i="5"/>
  <c r="B4" i="5" s="1"/>
  <c r="O3" i="5"/>
  <c r="N3" i="5"/>
  <c r="I3" i="5"/>
  <c r="H3" i="5"/>
  <c r="J3" i="5" s="1"/>
  <c r="E3" i="5"/>
  <c r="G3" i="5" s="1"/>
  <c r="D3" i="5"/>
  <c r="C3" i="5"/>
  <c r="F3" i="5" s="1"/>
  <c r="A3" i="5"/>
  <c r="B3" i="5" s="1"/>
  <c r="O2" i="5"/>
  <c r="N2" i="5"/>
  <c r="E2" i="5"/>
  <c r="C2" i="5"/>
  <c r="A2" i="5"/>
  <c r="H251" i="4"/>
  <c r="E251" i="4"/>
  <c r="D251" i="4"/>
  <c r="B251" i="4"/>
  <c r="A251" i="4"/>
  <c r="A250" i="4"/>
  <c r="G249" i="4"/>
  <c r="E249" i="4"/>
  <c r="D249" i="4"/>
  <c r="J249" i="4" s="1"/>
  <c r="C249" i="4"/>
  <c r="B249" i="4"/>
  <c r="A249" i="4"/>
  <c r="J248" i="4"/>
  <c r="H248" i="4"/>
  <c r="G248" i="4"/>
  <c r="I248" i="4" s="1"/>
  <c r="L248" i="4" s="1"/>
  <c r="D248" i="4"/>
  <c r="E248" i="4" s="1"/>
  <c r="C248" i="4"/>
  <c r="B248" i="4"/>
  <c r="A248" i="4"/>
  <c r="H247" i="4"/>
  <c r="E247" i="4"/>
  <c r="D247" i="4"/>
  <c r="A247" i="4"/>
  <c r="C246" i="4"/>
  <c r="B246" i="4"/>
  <c r="A246" i="4"/>
  <c r="A245" i="4"/>
  <c r="J244" i="4"/>
  <c r="H244" i="4"/>
  <c r="G244" i="4"/>
  <c r="D244" i="4"/>
  <c r="E244" i="4" s="1"/>
  <c r="B244" i="4"/>
  <c r="C244" i="4" s="1"/>
  <c r="A244" i="4"/>
  <c r="E243" i="4"/>
  <c r="D243" i="4"/>
  <c r="H243" i="4" s="1"/>
  <c r="B243" i="4"/>
  <c r="A243" i="4"/>
  <c r="H242" i="4"/>
  <c r="E242" i="4"/>
  <c r="D242" i="4"/>
  <c r="C242" i="4"/>
  <c r="B242" i="4"/>
  <c r="A242" i="4"/>
  <c r="J241" i="4"/>
  <c r="D241" i="4"/>
  <c r="C241" i="4"/>
  <c r="B241" i="4"/>
  <c r="G241" i="4" s="1"/>
  <c r="A241" i="4"/>
  <c r="B240" i="4"/>
  <c r="A240" i="4"/>
  <c r="D239" i="4"/>
  <c r="A239" i="4"/>
  <c r="A238" i="4"/>
  <c r="J237" i="4"/>
  <c r="H237" i="4"/>
  <c r="I237" i="4" s="1"/>
  <c r="G237" i="4"/>
  <c r="E237" i="4"/>
  <c r="D237" i="4"/>
  <c r="B237" i="4"/>
  <c r="C237" i="4" s="1"/>
  <c r="A237" i="4"/>
  <c r="H236" i="4"/>
  <c r="E236" i="4"/>
  <c r="D236" i="4"/>
  <c r="A236" i="4"/>
  <c r="A235" i="4"/>
  <c r="B234" i="4"/>
  <c r="A234" i="4"/>
  <c r="A233" i="4"/>
  <c r="A232" i="4"/>
  <c r="J231" i="4"/>
  <c r="H231" i="4"/>
  <c r="I231" i="4" s="1"/>
  <c r="G231" i="4"/>
  <c r="F231" i="4"/>
  <c r="B231" i="4"/>
  <c r="C231" i="4" s="1"/>
  <c r="A231" i="4"/>
  <c r="D231" i="4" s="1"/>
  <c r="E231" i="4" s="1"/>
  <c r="H230" i="4"/>
  <c r="E230" i="4"/>
  <c r="A230" i="4"/>
  <c r="D230" i="4" s="1"/>
  <c r="A229" i="4"/>
  <c r="D228" i="4"/>
  <c r="A228" i="4"/>
  <c r="D227" i="4"/>
  <c r="H227" i="4" s="1"/>
  <c r="B227" i="4"/>
  <c r="A227" i="4"/>
  <c r="A226" i="4"/>
  <c r="A225" i="4"/>
  <c r="G224" i="4"/>
  <c r="E224" i="4"/>
  <c r="B224" i="4"/>
  <c r="A224" i="4"/>
  <c r="D224" i="4" s="1"/>
  <c r="H224" i="4" s="1"/>
  <c r="E223" i="4"/>
  <c r="D223" i="4"/>
  <c r="H223" i="4" s="1"/>
  <c r="A223" i="4"/>
  <c r="A222" i="4"/>
  <c r="C221" i="4"/>
  <c r="B221" i="4"/>
  <c r="A221" i="4"/>
  <c r="A220" i="4"/>
  <c r="A219" i="4"/>
  <c r="J218" i="4"/>
  <c r="H218" i="4"/>
  <c r="I218" i="4" s="1"/>
  <c r="G218" i="4"/>
  <c r="B218" i="4"/>
  <c r="C218" i="4" s="1"/>
  <c r="A218" i="4"/>
  <c r="D218" i="4" s="1"/>
  <c r="E218" i="4" s="1"/>
  <c r="F218" i="4" s="1"/>
  <c r="H217" i="4"/>
  <c r="G217" i="4"/>
  <c r="I217" i="4" s="1"/>
  <c r="D217" i="4"/>
  <c r="E217" i="4" s="1"/>
  <c r="A217" i="4"/>
  <c r="B217" i="4" s="1"/>
  <c r="D216" i="4"/>
  <c r="A216" i="4"/>
  <c r="D215" i="4"/>
  <c r="B215" i="4"/>
  <c r="A215" i="4"/>
  <c r="A214" i="4"/>
  <c r="A213" i="4"/>
  <c r="A212" i="4"/>
  <c r="G211" i="4"/>
  <c r="B211" i="4"/>
  <c r="C211" i="4" s="1"/>
  <c r="A211" i="4"/>
  <c r="G210" i="4"/>
  <c r="D210" i="4"/>
  <c r="C210" i="4"/>
  <c r="A210" i="4"/>
  <c r="B210" i="4" s="1"/>
  <c r="A209" i="4"/>
  <c r="A208" i="4"/>
  <c r="A207" i="4"/>
  <c r="H206" i="4"/>
  <c r="A206" i="4"/>
  <c r="D206" i="4" s="1"/>
  <c r="E206" i="4" s="1"/>
  <c r="J205" i="4"/>
  <c r="H205" i="4"/>
  <c r="G205" i="4"/>
  <c r="I205" i="4" s="1"/>
  <c r="D205" i="4"/>
  <c r="E205" i="4" s="1"/>
  <c r="F205" i="4" s="1"/>
  <c r="B205" i="4"/>
  <c r="C205" i="4" s="1"/>
  <c r="A205" i="4"/>
  <c r="G204" i="4"/>
  <c r="D204" i="4"/>
  <c r="A204" i="4"/>
  <c r="B204" i="4" s="1"/>
  <c r="C204" i="4" s="1"/>
  <c r="D203" i="4"/>
  <c r="H203" i="4" s="1"/>
  <c r="C203" i="4"/>
  <c r="B203" i="4"/>
  <c r="A203" i="4"/>
  <c r="A202" i="4"/>
  <c r="A201" i="4"/>
  <c r="A200" i="4"/>
  <c r="A199" i="4"/>
  <c r="J198" i="4"/>
  <c r="H198" i="4"/>
  <c r="G198" i="4"/>
  <c r="I198" i="4" s="1"/>
  <c r="D198" i="4"/>
  <c r="E198" i="4" s="1"/>
  <c r="F198" i="4" s="1"/>
  <c r="C198" i="4"/>
  <c r="B198" i="4"/>
  <c r="A198" i="4"/>
  <c r="G197" i="4"/>
  <c r="B197" i="4"/>
  <c r="C197" i="4" s="1"/>
  <c r="A197" i="4"/>
  <c r="D197" i="4" s="1"/>
  <c r="H197" i="4" s="1"/>
  <c r="H196" i="4"/>
  <c r="G196" i="4"/>
  <c r="D196" i="4"/>
  <c r="E196" i="4" s="1"/>
  <c r="A196" i="4"/>
  <c r="B196" i="4" s="1"/>
  <c r="E195" i="4"/>
  <c r="D195" i="4"/>
  <c r="H195" i="4" s="1"/>
  <c r="A195" i="4"/>
  <c r="B195" i="4" s="1"/>
  <c r="J195" i="4" s="1"/>
  <c r="E194" i="4"/>
  <c r="D194" i="4"/>
  <c r="H194" i="4" s="1"/>
  <c r="B194" i="4"/>
  <c r="A194" i="4"/>
  <c r="D193" i="4"/>
  <c r="H193" i="4" s="1"/>
  <c r="C193" i="4"/>
  <c r="B193" i="4"/>
  <c r="A193" i="4"/>
  <c r="D192" i="4"/>
  <c r="C192" i="4"/>
  <c r="B192" i="4"/>
  <c r="A192" i="4"/>
  <c r="A191" i="4"/>
  <c r="B190" i="4"/>
  <c r="A190" i="4"/>
  <c r="A189" i="4"/>
  <c r="B188" i="4"/>
  <c r="G188" i="4" s="1"/>
  <c r="A188" i="4"/>
  <c r="A187" i="4"/>
  <c r="J186" i="4"/>
  <c r="H186" i="4"/>
  <c r="G186" i="4"/>
  <c r="I186" i="4" s="1"/>
  <c r="F186" i="4"/>
  <c r="D186" i="4"/>
  <c r="E186" i="4" s="1"/>
  <c r="C186" i="4"/>
  <c r="B186" i="4"/>
  <c r="A186" i="4"/>
  <c r="I185" i="4"/>
  <c r="H185" i="4"/>
  <c r="G185" i="4"/>
  <c r="B185" i="4"/>
  <c r="A185" i="4"/>
  <c r="D185" i="4" s="1"/>
  <c r="E185" i="4" s="1"/>
  <c r="A184" i="4"/>
  <c r="D183" i="4"/>
  <c r="H183" i="4" s="1"/>
  <c r="A183" i="4"/>
  <c r="B183" i="4" s="1"/>
  <c r="D182" i="4"/>
  <c r="C182" i="4"/>
  <c r="B182" i="4"/>
  <c r="A182" i="4"/>
  <c r="D181" i="4"/>
  <c r="C181" i="4"/>
  <c r="B181" i="4"/>
  <c r="J181" i="4" s="1"/>
  <c r="A181" i="4"/>
  <c r="D180" i="4"/>
  <c r="A180" i="4"/>
  <c r="B180" i="4" s="1"/>
  <c r="C179" i="4"/>
  <c r="B179" i="4"/>
  <c r="A179" i="4"/>
  <c r="D178" i="4"/>
  <c r="A178" i="4"/>
  <c r="A177" i="4"/>
  <c r="B176" i="4"/>
  <c r="A176" i="4"/>
  <c r="A175" i="4"/>
  <c r="J174" i="4"/>
  <c r="I174" i="4"/>
  <c r="H174" i="4"/>
  <c r="G174" i="4"/>
  <c r="D174" i="4"/>
  <c r="E174" i="4" s="1"/>
  <c r="C174" i="4"/>
  <c r="F174" i="4" s="1"/>
  <c r="B174" i="4"/>
  <c r="A174" i="4"/>
  <c r="H173" i="4"/>
  <c r="G173" i="4"/>
  <c r="B173" i="4"/>
  <c r="A173" i="4"/>
  <c r="D173" i="4" s="1"/>
  <c r="E173" i="4" s="1"/>
  <c r="A172" i="4"/>
  <c r="D171" i="4"/>
  <c r="H171" i="4" s="1"/>
  <c r="A171" i="4"/>
  <c r="B171" i="4" s="1"/>
  <c r="D170" i="4"/>
  <c r="C170" i="4"/>
  <c r="B170" i="4"/>
  <c r="A170" i="4"/>
  <c r="D169" i="4"/>
  <c r="C169" i="4"/>
  <c r="B169" i="4"/>
  <c r="A169" i="4"/>
  <c r="D168" i="4"/>
  <c r="A168" i="4"/>
  <c r="B168" i="4" s="1"/>
  <c r="C167" i="4"/>
  <c r="B167" i="4"/>
  <c r="A167" i="4"/>
  <c r="D166" i="4"/>
  <c r="A166" i="4"/>
  <c r="A165" i="4"/>
  <c r="B164" i="4"/>
  <c r="A164" i="4"/>
  <c r="A163" i="4"/>
  <c r="J162" i="4"/>
  <c r="I162" i="4"/>
  <c r="H162" i="4"/>
  <c r="G162" i="4"/>
  <c r="D162" i="4"/>
  <c r="E162" i="4" s="1"/>
  <c r="C162" i="4"/>
  <c r="F162" i="4" s="1"/>
  <c r="B162" i="4"/>
  <c r="A162" i="4"/>
  <c r="H161" i="4"/>
  <c r="G161" i="4"/>
  <c r="I161" i="4" s="1"/>
  <c r="B161" i="4"/>
  <c r="A161" i="4"/>
  <c r="D161" i="4" s="1"/>
  <c r="E161" i="4" s="1"/>
  <c r="A160" i="4"/>
  <c r="I159" i="4"/>
  <c r="G159" i="4"/>
  <c r="D159" i="4"/>
  <c r="H159" i="4" s="1"/>
  <c r="A159" i="4"/>
  <c r="B159" i="4" s="1"/>
  <c r="D158" i="4"/>
  <c r="E158" i="4" s="1"/>
  <c r="C158" i="4"/>
  <c r="F158" i="4" s="1"/>
  <c r="B158" i="4"/>
  <c r="A158" i="4"/>
  <c r="D157" i="4"/>
  <c r="B157" i="4"/>
  <c r="A157" i="4"/>
  <c r="D156" i="4"/>
  <c r="C156" i="4"/>
  <c r="A156" i="4"/>
  <c r="B156" i="4" s="1"/>
  <c r="C155" i="4"/>
  <c r="B155" i="4"/>
  <c r="A155" i="4"/>
  <c r="D154" i="4"/>
  <c r="A154" i="4"/>
  <c r="A153" i="4"/>
  <c r="B152" i="4"/>
  <c r="A152" i="4"/>
  <c r="A151" i="4"/>
  <c r="J150" i="4"/>
  <c r="I150" i="4"/>
  <c r="H150" i="4"/>
  <c r="G150" i="4"/>
  <c r="D150" i="4"/>
  <c r="E150" i="4" s="1"/>
  <c r="C150" i="4"/>
  <c r="F150" i="4" s="1"/>
  <c r="B150" i="4"/>
  <c r="A150" i="4"/>
  <c r="H149" i="4"/>
  <c r="G149" i="4"/>
  <c r="I149" i="4" s="1"/>
  <c r="B149" i="4"/>
  <c r="A149" i="4"/>
  <c r="D149" i="4" s="1"/>
  <c r="E149" i="4" s="1"/>
  <c r="A148" i="4"/>
  <c r="D147" i="4"/>
  <c r="H147" i="4" s="1"/>
  <c r="A147" i="4"/>
  <c r="B147" i="4" s="1"/>
  <c r="G147" i="4" s="1"/>
  <c r="I147" i="4" s="1"/>
  <c r="H146" i="4"/>
  <c r="D146" i="4"/>
  <c r="E146" i="4" s="1"/>
  <c r="B146" i="4"/>
  <c r="A146" i="4"/>
  <c r="D145" i="4"/>
  <c r="C145" i="4"/>
  <c r="B145" i="4"/>
  <c r="A145" i="4"/>
  <c r="D144" i="4"/>
  <c r="C144" i="4"/>
  <c r="A144" i="4"/>
  <c r="B144" i="4" s="1"/>
  <c r="B143" i="4"/>
  <c r="A143" i="4"/>
  <c r="D142" i="4"/>
  <c r="A142" i="4"/>
  <c r="A141" i="4"/>
  <c r="B140" i="4"/>
  <c r="A140" i="4"/>
  <c r="A139" i="4"/>
  <c r="J138" i="4"/>
  <c r="I138" i="4"/>
  <c r="H138" i="4"/>
  <c r="G138" i="4"/>
  <c r="D138" i="4"/>
  <c r="E138" i="4" s="1"/>
  <c r="C138" i="4"/>
  <c r="F138" i="4" s="1"/>
  <c r="B138" i="4"/>
  <c r="A138" i="4"/>
  <c r="H137" i="4"/>
  <c r="G137" i="4"/>
  <c r="B137" i="4"/>
  <c r="A137" i="4"/>
  <c r="D137" i="4" s="1"/>
  <c r="E137" i="4" s="1"/>
  <c r="A136" i="4"/>
  <c r="D135" i="4"/>
  <c r="H135" i="4" s="1"/>
  <c r="A135" i="4"/>
  <c r="B135" i="4" s="1"/>
  <c r="G135" i="4" s="1"/>
  <c r="I135" i="4" s="1"/>
  <c r="D134" i="4"/>
  <c r="E134" i="4" s="1"/>
  <c r="B134" i="4"/>
  <c r="A134" i="4"/>
  <c r="D133" i="4"/>
  <c r="B133" i="4"/>
  <c r="A133" i="4"/>
  <c r="D132" i="4"/>
  <c r="C132" i="4"/>
  <c r="A132" i="4"/>
  <c r="B132" i="4" s="1"/>
  <c r="B131" i="4"/>
  <c r="A131" i="4"/>
  <c r="D130" i="4"/>
  <c r="A130" i="4"/>
  <c r="A129" i="4"/>
  <c r="B128" i="4"/>
  <c r="A128" i="4"/>
  <c r="A127" i="4"/>
  <c r="J126" i="4"/>
  <c r="I126" i="4"/>
  <c r="H126" i="4"/>
  <c r="G126" i="4"/>
  <c r="D126" i="4"/>
  <c r="E126" i="4" s="1"/>
  <c r="C126" i="4"/>
  <c r="F126" i="4" s="1"/>
  <c r="B126" i="4"/>
  <c r="A126" i="4"/>
  <c r="H125" i="4"/>
  <c r="G125" i="4"/>
  <c r="I125" i="4" s="1"/>
  <c r="B125" i="4"/>
  <c r="A125" i="4"/>
  <c r="D125" i="4" s="1"/>
  <c r="E125" i="4" s="1"/>
  <c r="A124" i="4"/>
  <c r="I123" i="4"/>
  <c r="G123" i="4"/>
  <c r="D123" i="4"/>
  <c r="H123" i="4" s="1"/>
  <c r="A123" i="4"/>
  <c r="B123" i="4" s="1"/>
  <c r="D122" i="4"/>
  <c r="E122" i="4" s="1"/>
  <c r="B122" i="4"/>
  <c r="C122" i="4" s="1"/>
  <c r="F122" i="4" s="1"/>
  <c r="A122" i="4"/>
  <c r="D121" i="4"/>
  <c r="B121" i="4"/>
  <c r="A121" i="4"/>
  <c r="D120" i="4"/>
  <c r="C120" i="4"/>
  <c r="A120" i="4"/>
  <c r="B120" i="4" s="1"/>
  <c r="B119" i="4"/>
  <c r="C119" i="4" s="1"/>
  <c r="A119" i="4"/>
  <c r="D118" i="4"/>
  <c r="A118" i="4"/>
  <c r="A117" i="4"/>
  <c r="B116" i="4"/>
  <c r="A116" i="4"/>
  <c r="A115" i="4"/>
  <c r="J114" i="4"/>
  <c r="I114" i="4"/>
  <c r="H114" i="4"/>
  <c r="G114" i="4"/>
  <c r="D114" i="4"/>
  <c r="E114" i="4" s="1"/>
  <c r="C114" i="4"/>
  <c r="F114" i="4" s="1"/>
  <c r="B114" i="4"/>
  <c r="A114" i="4"/>
  <c r="H113" i="4"/>
  <c r="G113" i="4"/>
  <c r="I113" i="4" s="1"/>
  <c r="B113" i="4"/>
  <c r="A113" i="4"/>
  <c r="D113" i="4" s="1"/>
  <c r="E113" i="4" s="1"/>
  <c r="A112" i="4"/>
  <c r="D111" i="4"/>
  <c r="A111" i="4"/>
  <c r="B111" i="4" s="1"/>
  <c r="G111" i="4" s="1"/>
  <c r="H110" i="4"/>
  <c r="D110" i="4"/>
  <c r="E110" i="4" s="1"/>
  <c r="B110" i="4"/>
  <c r="A110" i="4"/>
  <c r="G109" i="4"/>
  <c r="D109" i="4"/>
  <c r="C109" i="4"/>
  <c r="B109" i="4"/>
  <c r="A109" i="4"/>
  <c r="D108" i="4"/>
  <c r="C108" i="4"/>
  <c r="A108" i="4"/>
  <c r="B108" i="4" s="1"/>
  <c r="B107" i="4"/>
  <c r="A107" i="4"/>
  <c r="D106" i="4"/>
  <c r="A106" i="4"/>
  <c r="A105" i="4"/>
  <c r="H104" i="4"/>
  <c r="E104" i="4"/>
  <c r="D104" i="4"/>
  <c r="B104" i="4"/>
  <c r="A104" i="4"/>
  <c r="A103" i="4"/>
  <c r="J102" i="4"/>
  <c r="H102" i="4"/>
  <c r="G102" i="4"/>
  <c r="I102" i="4" s="1"/>
  <c r="D102" i="4"/>
  <c r="E102" i="4" s="1"/>
  <c r="C102" i="4"/>
  <c r="B102" i="4"/>
  <c r="A102" i="4"/>
  <c r="H101" i="4"/>
  <c r="E101" i="4"/>
  <c r="B101" i="4"/>
  <c r="G101" i="4" s="1"/>
  <c r="I101" i="4" s="1"/>
  <c r="A101" i="4"/>
  <c r="D101" i="4" s="1"/>
  <c r="A100" i="4"/>
  <c r="D99" i="4"/>
  <c r="A99" i="4"/>
  <c r="B99" i="4" s="1"/>
  <c r="H98" i="4"/>
  <c r="E98" i="4"/>
  <c r="D98" i="4"/>
  <c r="B98" i="4"/>
  <c r="A98" i="4"/>
  <c r="A97" i="4"/>
  <c r="A96" i="4"/>
  <c r="B96" i="4" s="1"/>
  <c r="A95" i="4"/>
  <c r="D94" i="4"/>
  <c r="A94" i="4"/>
  <c r="A93" i="4"/>
  <c r="D92" i="4"/>
  <c r="B92" i="4"/>
  <c r="A92" i="4"/>
  <c r="D91" i="4"/>
  <c r="A91" i="4"/>
  <c r="J90" i="4"/>
  <c r="H90" i="4"/>
  <c r="G90" i="4"/>
  <c r="I90" i="4" s="1"/>
  <c r="D90" i="4"/>
  <c r="E90" i="4" s="1"/>
  <c r="C90" i="4"/>
  <c r="F90" i="4" s="1"/>
  <c r="B90" i="4"/>
  <c r="A90" i="4"/>
  <c r="E89" i="4"/>
  <c r="B89" i="4"/>
  <c r="A89" i="4"/>
  <c r="D89" i="4" s="1"/>
  <c r="H89" i="4" s="1"/>
  <c r="H88" i="4"/>
  <c r="E88" i="4"/>
  <c r="D88" i="4"/>
  <c r="A88" i="4"/>
  <c r="G87" i="4"/>
  <c r="D87" i="4"/>
  <c r="H87" i="4" s="1"/>
  <c r="I87" i="4" s="1"/>
  <c r="C87" i="4"/>
  <c r="A87" i="4"/>
  <c r="B87" i="4" s="1"/>
  <c r="H86" i="4"/>
  <c r="D86" i="4"/>
  <c r="E86" i="4" s="1"/>
  <c r="C86" i="4"/>
  <c r="B86" i="4"/>
  <c r="G86" i="4" s="1"/>
  <c r="A86" i="4"/>
  <c r="D85" i="4"/>
  <c r="H85" i="4" s="1"/>
  <c r="A85" i="4"/>
  <c r="H84" i="4"/>
  <c r="D84" i="4"/>
  <c r="E84" i="4" s="1"/>
  <c r="B84" i="4"/>
  <c r="C84" i="4" s="1"/>
  <c r="F84" i="4" s="1"/>
  <c r="A84" i="4"/>
  <c r="A83" i="4"/>
  <c r="G82" i="4"/>
  <c r="B82" i="4"/>
  <c r="A82" i="4"/>
  <c r="A81" i="4"/>
  <c r="E80" i="4"/>
  <c r="D80" i="4"/>
  <c r="H80" i="4" s="1"/>
  <c r="B80" i="4"/>
  <c r="A80" i="4"/>
  <c r="D79" i="4"/>
  <c r="A79" i="4"/>
  <c r="J78" i="4"/>
  <c r="I78" i="4"/>
  <c r="H78" i="4"/>
  <c r="G78" i="4"/>
  <c r="D78" i="4"/>
  <c r="E78" i="4" s="1"/>
  <c r="C78" i="4"/>
  <c r="F78" i="4" s="1"/>
  <c r="B78" i="4"/>
  <c r="A78" i="4"/>
  <c r="A77" i="4"/>
  <c r="A76" i="4"/>
  <c r="D75" i="4"/>
  <c r="H75" i="4" s="1"/>
  <c r="I75" i="4" s="1"/>
  <c r="C75" i="4"/>
  <c r="A75" i="4"/>
  <c r="B75" i="4" s="1"/>
  <c r="G75" i="4" s="1"/>
  <c r="J74" i="4"/>
  <c r="H74" i="4"/>
  <c r="E74" i="4"/>
  <c r="D74" i="4"/>
  <c r="B74" i="4"/>
  <c r="C74" i="4" s="1"/>
  <c r="F74" i="4" s="1"/>
  <c r="A74" i="4"/>
  <c r="J73" i="4"/>
  <c r="D73" i="4"/>
  <c r="C73" i="4"/>
  <c r="B73" i="4"/>
  <c r="G73" i="4" s="1"/>
  <c r="A73" i="4"/>
  <c r="H72" i="4"/>
  <c r="E72" i="4"/>
  <c r="D72" i="4"/>
  <c r="B72" i="4"/>
  <c r="C72" i="4" s="1"/>
  <c r="F72" i="4" s="1"/>
  <c r="A72" i="4"/>
  <c r="A71" i="4"/>
  <c r="D70" i="4"/>
  <c r="B70" i="4"/>
  <c r="J70" i="4" s="1"/>
  <c r="A70" i="4"/>
  <c r="J69" i="4"/>
  <c r="I69" i="4"/>
  <c r="E69" i="4"/>
  <c r="B69" i="4"/>
  <c r="G69" i="4" s="1"/>
  <c r="A69" i="4"/>
  <c r="D69" i="4" s="1"/>
  <c r="H69" i="4" s="1"/>
  <c r="D68" i="4"/>
  <c r="A68" i="4"/>
  <c r="D67" i="4"/>
  <c r="A67" i="4"/>
  <c r="H66" i="4"/>
  <c r="D66" i="4"/>
  <c r="E66" i="4" s="1"/>
  <c r="B66" i="4"/>
  <c r="A66" i="4"/>
  <c r="A65" i="4"/>
  <c r="D65" i="4" s="1"/>
  <c r="E65" i="4" s="1"/>
  <c r="A64" i="4"/>
  <c r="G63" i="4"/>
  <c r="E63" i="4"/>
  <c r="D63" i="4"/>
  <c r="H63" i="4" s="1"/>
  <c r="C63" i="4"/>
  <c r="F63" i="4" s="1"/>
  <c r="A63" i="4"/>
  <c r="B63" i="4" s="1"/>
  <c r="H62" i="4"/>
  <c r="G62" i="4"/>
  <c r="I62" i="4" s="1"/>
  <c r="E62" i="4"/>
  <c r="D62" i="4"/>
  <c r="J62" i="4" s="1"/>
  <c r="B62" i="4"/>
  <c r="C62" i="4" s="1"/>
  <c r="A62" i="4"/>
  <c r="D61" i="4"/>
  <c r="H61" i="4" s="1"/>
  <c r="A61" i="4"/>
  <c r="A60" i="4"/>
  <c r="B60" i="4" s="1"/>
  <c r="A59" i="4"/>
  <c r="A58" i="4"/>
  <c r="B58" i="4" s="1"/>
  <c r="A57" i="4"/>
  <c r="D57" i="4" s="1"/>
  <c r="A56" i="4"/>
  <c r="B56" i="4" s="1"/>
  <c r="A55" i="4"/>
  <c r="J54" i="4"/>
  <c r="I54" i="4"/>
  <c r="H54" i="4"/>
  <c r="D54" i="4"/>
  <c r="E54" i="4" s="1"/>
  <c r="C54" i="4"/>
  <c r="F54" i="4" s="1"/>
  <c r="B54" i="4"/>
  <c r="G54" i="4" s="1"/>
  <c r="A54" i="4"/>
  <c r="B53" i="4"/>
  <c r="C53" i="4" s="1"/>
  <c r="A53" i="4"/>
  <c r="A52" i="4"/>
  <c r="B52" i="4" s="1"/>
  <c r="C52" i="4" s="1"/>
  <c r="H51" i="4"/>
  <c r="G51" i="4"/>
  <c r="I51" i="4" s="1"/>
  <c r="E51" i="4"/>
  <c r="D51" i="4"/>
  <c r="A51" i="4"/>
  <c r="B51" i="4" s="1"/>
  <c r="J51" i="4" s="1"/>
  <c r="G50" i="4"/>
  <c r="D50" i="4"/>
  <c r="J50" i="4" s="1"/>
  <c r="B50" i="4"/>
  <c r="C50" i="4" s="1"/>
  <c r="A50" i="4"/>
  <c r="A49" i="4"/>
  <c r="A48" i="4"/>
  <c r="A47" i="4"/>
  <c r="A46" i="4"/>
  <c r="A45" i="4"/>
  <c r="B45" i="4" s="1"/>
  <c r="A44" i="4"/>
  <c r="A43" i="4"/>
  <c r="J42" i="4"/>
  <c r="L42" i="4" s="1"/>
  <c r="H42" i="4"/>
  <c r="G42" i="4"/>
  <c r="I42" i="4" s="1"/>
  <c r="D42" i="4"/>
  <c r="E42" i="4" s="1"/>
  <c r="C42" i="4"/>
  <c r="F42" i="4" s="1"/>
  <c r="B42" i="4"/>
  <c r="A42" i="4"/>
  <c r="A41" i="4"/>
  <c r="J40" i="4"/>
  <c r="G40" i="4"/>
  <c r="I40" i="4" s="1"/>
  <c r="D40" i="4"/>
  <c r="H40" i="4" s="1"/>
  <c r="A40" i="4"/>
  <c r="B40" i="4" s="1"/>
  <c r="C40" i="4" s="1"/>
  <c r="H39" i="4"/>
  <c r="G39" i="4"/>
  <c r="I39" i="4" s="1"/>
  <c r="E39" i="4"/>
  <c r="D39" i="4"/>
  <c r="C39" i="4"/>
  <c r="F39" i="4" s="1"/>
  <c r="K39" i="4" s="1"/>
  <c r="A39" i="4"/>
  <c r="B39" i="4" s="1"/>
  <c r="J39" i="4" s="1"/>
  <c r="D38" i="4"/>
  <c r="B38" i="4"/>
  <c r="J38" i="4" s="1"/>
  <c r="A38" i="4"/>
  <c r="G37" i="4"/>
  <c r="A37" i="4"/>
  <c r="B37" i="4" s="1"/>
  <c r="C37" i="4" s="1"/>
  <c r="D36" i="4"/>
  <c r="E36" i="4" s="1"/>
  <c r="B36" i="4"/>
  <c r="A36" i="4"/>
  <c r="A35" i="4"/>
  <c r="A34" i="4"/>
  <c r="D34" i="4" s="1"/>
  <c r="E33" i="4"/>
  <c r="C33" i="4"/>
  <c r="F33" i="4" s="1"/>
  <c r="B33" i="4"/>
  <c r="G33" i="4" s="1"/>
  <c r="A33" i="4"/>
  <c r="D33" i="4" s="1"/>
  <c r="H33" i="4" s="1"/>
  <c r="A32" i="4"/>
  <c r="A31" i="4"/>
  <c r="D31" i="4" s="1"/>
  <c r="J30" i="4"/>
  <c r="H30" i="4"/>
  <c r="G30" i="4"/>
  <c r="D30" i="4"/>
  <c r="E30" i="4" s="1"/>
  <c r="B30" i="4"/>
  <c r="C30" i="4" s="1"/>
  <c r="F30" i="4" s="1"/>
  <c r="K30" i="4" s="1"/>
  <c r="A30" i="4"/>
  <c r="H29" i="4"/>
  <c r="B29" i="4"/>
  <c r="A29" i="4"/>
  <c r="D29" i="4" s="1"/>
  <c r="E29" i="4" s="1"/>
  <c r="J28" i="4"/>
  <c r="G28" i="4"/>
  <c r="D28" i="4"/>
  <c r="H28" i="4" s="1"/>
  <c r="I28" i="4" s="1"/>
  <c r="A28" i="4"/>
  <c r="B28" i="4" s="1"/>
  <c r="C28" i="4" s="1"/>
  <c r="H27" i="4"/>
  <c r="G27" i="4"/>
  <c r="I27" i="4" s="1"/>
  <c r="E27" i="4"/>
  <c r="D27" i="4"/>
  <c r="A27" i="4"/>
  <c r="B27" i="4" s="1"/>
  <c r="E26" i="4"/>
  <c r="F26" i="4" s="1"/>
  <c r="D26" i="4"/>
  <c r="H26" i="4" s="1"/>
  <c r="C26" i="4"/>
  <c r="B26" i="4"/>
  <c r="J26" i="4" s="1"/>
  <c r="A26" i="4"/>
  <c r="A25" i="4"/>
  <c r="D24" i="4"/>
  <c r="E24" i="4" s="1"/>
  <c r="C24" i="4"/>
  <c r="F24" i="4" s="1"/>
  <c r="B24" i="4"/>
  <c r="A24" i="4"/>
  <c r="D23" i="4"/>
  <c r="H23" i="4" s="1"/>
  <c r="C23" i="4"/>
  <c r="B23" i="4"/>
  <c r="A23" i="4"/>
  <c r="B22" i="4"/>
  <c r="G22" i="4" s="1"/>
  <c r="A22" i="4"/>
  <c r="J21" i="4"/>
  <c r="K21" i="4" s="1"/>
  <c r="I21" i="4"/>
  <c r="E21" i="4"/>
  <c r="C21" i="4"/>
  <c r="F21" i="4" s="1"/>
  <c r="B21" i="4"/>
  <c r="G21" i="4" s="1"/>
  <c r="A21" i="4"/>
  <c r="D21" i="4" s="1"/>
  <c r="H21" i="4" s="1"/>
  <c r="D20" i="4"/>
  <c r="H20" i="4" s="1"/>
  <c r="B20" i="4"/>
  <c r="A20" i="4"/>
  <c r="D19" i="4"/>
  <c r="A19" i="4"/>
  <c r="H18" i="4"/>
  <c r="G18" i="4"/>
  <c r="I18" i="4" s="1"/>
  <c r="D18" i="4"/>
  <c r="E18" i="4" s="1"/>
  <c r="B18" i="4"/>
  <c r="C18" i="4" s="1"/>
  <c r="F18" i="4" s="1"/>
  <c r="A18" i="4"/>
  <c r="E17" i="4"/>
  <c r="B17" i="4"/>
  <c r="C17" i="4" s="1"/>
  <c r="F17" i="4" s="1"/>
  <c r="A17" i="4"/>
  <c r="D17" i="4" s="1"/>
  <c r="H17" i="4" s="1"/>
  <c r="G16" i="4"/>
  <c r="A16" i="4"/>
  <c r="B16" i="4" s="1"/>
  <c r="D15" i="4"/>
  <c r="H15" i="4" s="1"/>
  <c r="A15" i="4"/>
  <c r="B15" i="4" s="1"/>
  <c r="J15" i="4" s="1"/>
  <c r="D14" i="4"/>
  <c r="H14" i="4" s="1"/>
  <c r="B14" i="4"/>
  <c r="C14" i="4" s="1"/>
  <c r="A14" i="4"/>
  <c r="A13" i="4"/>
  <c r="D12" i="4"/>
  <c r="H12" i="4" s="1"/>
  <c r="B12" i="4"/>
  <c r="A12" i="4"/>
  <c r="A11" i="4"/>
  <c r="B11" i="4" s="1"/>
  <c r="A10" i="4"/>
  <c r="B10" i="4" s="1"/>
  <c r="E9" i="4"/>
  <c r="B9" i="4"/>
  <c r="G9" i="4" s="1"/>
  <c r="A9" i="4"/>
  <c r="D9" i="4" s="1"/>
  <c r="H9" i="4" s="1"/>
  <c r="A8" i="4"/>
  <c r="D7" i="4"/>
  <c r="E7" i="4" s="1"/>
  <c r="A7" i="4"/>
  <c r="G6" i="4"/>
  <c r="E6" i="4"/>
  <c r="D6" i="4"/>
  <c r="J6" i="4" s="1"/>
  <c r="C6" i="4"/>
  <c r="B6" i="4"/>
  <c r="A6" i="4"/>
  <c r="G5" i="4"/>
  <c r="D5" i="4"/>
  <c r="H5" i="4" s="1"/>
  <c r="C5" i="4"/>
  <c r="B5" i="4"/>
  <c r="A5" i="4"/>
  <c r="A4" i="4"/>
  <c r="B4" i="4" s="1"/>
  <c r="J3" i="4"/>
  <c r="G3" i="4"/>
  <c r="I3" i="4" s="1"/>
  <c r="L3" i="4" s="1"/>
  <c r="E3" i="4"/>
  <c r="D3" i="4"/>
  <c r="H3" i="4" s="1"/>
  <c r="C3" i="4"/>
  <c r="A3" i="4"/>
  <c r="B3" i="4" s="1"/>
  <c r="D2" i="4"/>
  <c r="E2" i="4" s="1"/>
  <c r="B2" i="4"/>
  <c r="A2" i="4"/>
  <c r="L62" i="4" l="1"/>
  <c r="G45" i="4"/>
  <c r="C45" i="4"/>
  <c r="G56" i="4"/>
  <c r="C56" i="4"/>
  <c r="K26" i="4"/>
  <c r="E31" i="4"/>
  <c r="H31" i="4"/>
  <c r="I5" i="4"/>
  <c r="G60" i="4"/>
  <c r="C60" i="4"/>
  <c r="C58" i="4"/>
  <c r="G58" i="4"/>
  <c r="G10" i="4"/>
  <c r="C10" i="4"/>
  <c r="H34" i="4"/>
  <c r="E34" i="4"/>
  <c r="G11" i="4"/>
  <c r="C11" i="4"/>
  <c r="G96" i="4"/>
  <c r="C96" i="4"/>
  <c r="H2" i="4"/>
  <c r="C29" i="4"/>
  <c r="F29" i="4" s="1"/>
  <c r="G29" i="4"/>
  <c r="I29" i="4" s="1"/>
  <c r="J36" i="4"/>
  <c r="G36" i="4"/>
  <c r="L40" i="4"/>
  <c r="D46" i="4"/>
  <c r="D48" i="4"/>
  <c r="G53" i="4"/>
  <c r="B55" i="4"/>
  <c r="D55" i="4"/>
  <c r="H57" i="4"/>
  <c r="E57" i="4"/>
  <c r="D59" i="4"/>
  <c r="G66" i="4"/>
  <c r="I66" i="4" s="1"/>
  <c r="C66" i="4"/>
  <c r="F66" i="4" s="1"/>
  <c r="L69" i="4"/>
  <c r="L78" i="4"/>
  <c r="K78" i="4"/>
  <c r="J80" i="4"/>
  <c r="D83" i="4"/>
  <c r="B100" i="4"/>
  <c r="G104" i="4"/>
  <c r="I104" i="4" s="1"/>
  <c r="C104" i="4"/>
  <c r="H106" i="4"/>
  <c r="E106" i="4"/>
  <c r="H111" i="4"/>
  <c r="I111" i="4" s="1"/>
  <c r="E111" i="4"/>
  <c r="H121" i="4"/>
  <c r="E121" i="4"/>
  <c r="B139" i="4"/>
  <c r="D139" i="4"/>
  <c r="H157" i="4"/>
  <c r="E157" i="4"/>
  <c r="J168" i="4"/>
  <c r="G168" i="4"/>
  <c r="C168" i="4"/>
  <c r="F168" i="4" s="1"/>
  <c r="J171" i="4"/>
  <c r="G171" i="4"/>
  <c r="I171" i="4" s="1"/>
  <c r="C171" i="4"/>
  <c r="J180" i="4"/>
  <c r="G180" i="4"/>
  <c r="I180" i="4" s="1"/>
  <c r="C180" i="4"/>
  <c r="J183" i="4"/>
  <c r="G183" i="4"/>
  <c r="I183" i="4" s="1"/>
  <c r="C183" i="4"/>
  <c r="J12" i="4"/>
  <c r="G12" i="4"/>
  <c r="F6" i="4"/>
  <c r="K6" i="4" s="1"/>
  <c r="H7" i="4"/>
  <c r="C9" i="4"/>
  <c r="E12" i="4"/>
  <c r="E15" i="4"/>
  <c r="J23" i="4"/>
  <c r="H24" i="4"/>
  <c r="C36" i="4"/>
  <c r="D41" i="4"/>
  <c r="B41" i="4"/>
  <c r="B57" i="4"/>
  <c r="B59" i="4"/>
  <c r="B61" i="4"/>
  <c r="B68" i="4"/>
  <c r="B79" i="4"/>
  <c r="B83" i="4"/>
  <c r="C89" i="4"/>
  <c r="F89" i="4" s="1"/>
  <c r="J89" i="4"/>
  <c r="G89" i="4"/>
  <c r="I89" i="4" s="1"/>
  <c r="D100" i="4"/>
  <c r="F102" i="4"/>
  <c r="J109" i="4"/>
  <c r="J132" i="4"/>
  <c r="G132" i="4"/>
  <c r="I132" i="4" s="1"/>
  <c r="H134" i="4"/>
  <c r="H168" i="4"/>
  <c r="E168" i="4"/>
  <c r="H180" i="4"/>
  <c r="E180" i="4"/>
  <c r="J204" i="4"/>
  <c r="H204" i="4"/>
  <c r="E204" i="4"/>
  <c r="F204" i="4" s="1"/>
  <c r="G15" i="4"/>
  <c r="I15" i="4" s="1"/>
  <c r="I137" i="4"/>
  <c r="H142" i="4"/>
  <c r="E142" i="4"/>
  <c r="J145" i="4"/>
  <c r="G145" i="4"/>
  <c r="G155" i="4"/>
  <c r="J158" i="4"/>
  <c r="G158" i="4"/>
  <c r="L198" i="4"/>
  <c r="K198" i="4"/>
  <c r="D209" i="4"/>
  <c r="B209" i="4"/>
  <c r="L162" i="4"/>
  <c r="K162" i="4"/>
  <c r="B172" i="4"/>
  <c r="D172" i="4"/>
  <c r="B184" i="4"/>
  <c r="D184" i="4"/>
  <c r="B229" i="4"/>
  <c r="D229" i="4"/>
  <c r="K42" i="4"/>
  <c r="H109" i="4"/>
  <c r="E109" i="4"/>
  <c r="B112" i="4"/>
  <c r="D112" i="4"/>
  <c r="L126" i="4"/>
  <c r="K126" i="4"/>
  <c r="B25" i="4"/>
  <c r="G26" i="4"/>
  <c r="I26" i="4" s="1"/>
  <c r="L26" i="4" s="1"/>
  <c r="H36" i="4"/>
  <c r="H70" i="4"/>
  <c r="E70" i="4"/>
  <c r="E91" i="4"/>
  <c r="H91" i="4"/>
  <c r="G107" i="4"/>
  <c r="B127" i="4"/>
  <c r="D127" i="4"/>
  <c r="H145" i="4"/>
  <c r="I145" i="4" s="1"/>
  <c r="E145" i="4"/>
  <c r="B163" i="4"/>
  <c r="D163" i="4"/>
  <c r="J169" i="4"/>
  <c r="J215" i="4"/>
  <c r="G215" i="4"/>
  <c r="C215" i="4"/>
  <c r="G234" i="4"/>
  <c r="C234" i="4"/>
  <c r="J122" i="4"/>
  <c r="G122" i="4"/>
  <c r="I122" i="4" s="1"/>
  <c r="C70" i="4"/>
  <c r="E75" i="4"/>
  <c r="F75" i="4" s="1"/>
  <c r="H132" i="4"/>
  <c r="E132" i="4"/>
  <c r="F132" i="4" s="1"/>
  <c r="E14" i="4"/>
  <c r="F14" i="4" s="1"/>
  <c r="E23" i="4"/>
  <c r="B8" i="4"/>
  <c r="J9" i="4"/>
  <c r="B13" i="4"/>
  <c r="G17" i="4"/>
  <c r="J18" i="4"/>
  <c r="E20" i="4"/>
  <c r="G23" i="4"/>
  <c r="E28" i="4"/>
  <c r="F28" i="4" s="1"/>
  <c r="K28" i="4" s="1"/>
  <c r="J29" i="4"/>
  <c r="B35" i="4"/>
  <c r="B49" i="4"/>
  <c r="H50" i="4"/>
  <c r="B65" i="4"/>
  <c r="J66" i="4"/>
  <c r="G70" i="4"/>
  <c r="L102" i="4"/>
  <c r="K102" i="4"/>
  <c r="J104" i="4"/>
  <c r="C107" i="4"/>
  <c r="J120" i="4"/>
  <c r="G120" i="4"/>
  <c r="I120" i="4" s="1"/>
  <c r="H122" i="4"/>
  <c r="J156" i="4"/>
  <c r="G156" i="4"/>
  <c r="H158" i="4"/>
  <c r="L174" i="4"/>
  <c r="K174" i="4"/>
  <c r="H210" i="4"/>
  <c r="E210" i="4"/>
  <c r="F210" i="4" s="1"/>
  <c r="B31" i="4"/>
  <c r="C38" i="4"/>
  <c r="F38" i="4" s="1"/>
  <c r="K38" i="4" s="1"/>
  <c r="E50" i="4"/>
  <c r="F50" i="4" s="1"/>
  <c r="K50" i="4" s="1"/>
  <c r="E85" i="4"/>
  <c r="J135" i="4"/>
  <c r="C135" i="4"/>
  <c r="H38" i="4"/>
  <c r="E38" i="4"/>
  <c r="B43" i="4"/>
  <c r="D43" i="4"/>
  <c r="D45" i="4"/>
  <c r="B47" i="4"/>
  <c r="D8" i="4"/>
  <c r="J110" i="4"/>
  <c r="G110" i="4"/>
  <c r="I110" i="4" s="1"/>
  <c r="J133" i="4"/>
  <c r="G133" i="4"/>
  <c r="H169" i="4"/>
  <c r="E169" i="4"/>
  <c r="B175" i="4"/>
  <c r="D175" i="4"/>
  <c r="H181" i="4"/>
  <c r="E181" i="4"/>
  <c r="I224" i="4"/>
  <c r="L28" i="4"/>
  <c r="H68" i="4"/>
  <c r="E68" i="4"/>
  <c r="E79" i="4"/>
  <c r="H79" i="4"/>
  <c r="B148" i="4"/>
  <c r="D148" i="4"/>
  <c r="E5" i="4"/>
  <c r="F5" i="4" s="1"/>
  <c r="I9" i="4"/>
  <c r="I50" i="4"/>
  <c r="L50" i="4" s="1"/>
  <c r="D52" i="4"/>
  <c r="J52" i="4" s="1"/>
  <c r="C16" i="4"/>
  <c r="G38" i="4"/>
  <c r="D47" i="4"/>
  <c r="D49" i="4"/>
  <c r="G52" i="4"/>
  <c r="G143" i="4"/>
  <c r="J146" i="4"/>
  <c r="G146" i="4"/>
  <c r="I146" i="4" s="1"/>
  <c r="L51" i="4"/>
  <c r="I63" i="4"/>
  <c r="D71" i="4"/>
  <c r="D82" i="4"/>
  <c r="I86" i="4"/>
  <c r="H94" i="4"/>
  <c r="E94" i="4"/>
  <c r="D97" i="4"/>
  <c r="J99" i="4"/>
  <c r="G99" i="4"/>
  <c r="D103" i="4"/>
  <c r="C110" i="4"/>
  <c r="F110" i="4" s="1"/>
  <c r="L114" i="4"/>
  <c r="K114" i="4"/>
  <c r="H120" i="4"/>
  <c r="E120" i="4"/>
  <c r="F120" i="4" s="1"/>
  <c r="J123" i="4"/>
  <c r="C123" i="4"/>
  <c r="C133" i="4"/>
  <c r="B136" i="4"/>
  <c r="D136" i="4"/>
  <c r="C143" i="4"/>
  <c r="C146" i="4"/>
  <c r="F146" i="4" s="1"/>
  <c r="L150" i="4"/>
  <c r="K150" i="4"/>
  <c r="H156" i="4"/>
  <c r="E156" i="4"/>
  <c r="F156" i="4" s="1"/>
  <c r="J159" i="4"/>
  <c r="C159" i="4"/>
  <c r="I197" i="4"/>
  <c r="D202" i="4"/>
  <c r="B202" i="4"/>
  <c r="H216" i="4"/>
  <c r="E216" i="4"/>
  <c r="H239" i="4"/>
  <c r="E239" i="4"/>
  <c r="B32" i="4"/>
  <c r="D11" i="4"/>
  <c r="J11" i="4" s="1"/>
  <c r="G98" i="4"/>
  <c r="I98" i="4" s="1"/>
  <c r="C98" i="4"/>
  <c r="F98" i="4" s="1"/>
  <c r="J98" i="4"/>
  <c r="G119" i="4"/>
  <c r="F9" i="4"/>
  <c r="G20" i="4"/>
  <c r="I20" i="4" s="1"/>
  <c r="C20" i="4"/>
  <c r="L21" i="4"/>
  <c r="E61" i="4"/>
  <c r="D25" i="4"/>
  <c r="D60" i="4"/>
  <c r="B76" i="4"/>
  <c r="D76" i="4"/>
  <c r="H130" i="4"/>
  <c r="E130" i="4"/>
  <c r="D13" i="4"/>
  <c r="D16" i="4"/>
  <c r="I17" i="4"/>
  <c r="B19" i="4"/>
  <c r="C22" i="4"/>
  <c r="J27" i="4"/>
  <c r="C27" i="4"/>
  <c r="F27" i="4" s="1"/>
  <c r="D35" i="4"/>
  <c r="J5" i="4"/>
  <c r="B7" i="4"/>
  <c r="J14" i="4"/>
  <c r="J17" i="4"/>
  <c r="J20" i="4"/>
  <c r="D22" i="4"/>
  <c r="D37" i="4"/>
  <c r="E40" i="4"/>
  <c r="F40" i="4" s="1"/>
  <c r="K40" i="4" s="1"/>
  <c r="C51" i="4"/>
  <c r="F51" i="4" s="1"/>
  <c r="K51" i="4" s="1"/>
  <c r="D56" i="4"/>
  <c r="J56" i="4" s="1"/>
  <c r="D58" i="4"/>
  <c r="J58" i="4" s="1"/>
  <c r="F62" i="4"/>
  <c r="K62" i="4" s="1"/>
  <c r="H65" i="4"/>
  <c r="E67" i="4"/>
  <c r="H67" i="4"/>
  <c r="C69" i="4"/>
  <c r="F69" i="4" s="1"/>
  <c r="K69" i="4" s="1"/>
  <c r="B71" i="4"/>
  <c r="G74" i="4"/>
  <c r="I74" i="4" s="1"/>
  <c r="C82" i="4"/>
  <c r="F86" i="4"/>
  <c r="G92" i="4"/>
  <c r="C92" i="4"/>
  <c r="F92" i="4" s="1"/>
  <c r="B97" i="4"/>
  <c r="C99" i="4"/>
  <c r="F99" i="4" s="1"/>
  <c r="J108" i="4"/>
  <c r="G108" i="4"/>
  <c r="I108" i="4" s="1"/>
  <c r="B115" i="4"/>
  <c r="D115" i="4"/>
  <c r="H133" i="4"/>
  <c r="E133" i="4"/>
  <c r="B151" i="4"/>
  <c r="D151" i="4"/>
  <c r="I173" i="4"/>
  <c r="L205" i="4"/>
  <c r="K205" i="4"/>
  <c r="B44" i="4"/>
  <c r="B64" i="4"/>
  <c r="L74" i="4"/>
  <c r="J2" i="4"/>
  <c r="J72" i="4"/>
  <c r="G72" i="4"/>
  <c r="I72" i="4" s="1"/>
  <c r="G4" i="4"/>
  <c r="C4" i="4"/>
  <c r="D96" i="4"/>
  <c r="J96" i="4" s="1"/>
  <c r="D4" i="4"/>
  <c r="H6" i="4"/>
  <c r="I6" i="4" s="1"/>
  <c r="L6" i="4" s="1"/>
  <c r="G14" i="4"/>
  <c r="I14" i="4" s="1"/>
  <c r="J84" i="4"/>
  <c r="G84" i="4"/>
  <c r="I84" i="4" s="1"/>
  <c r="C101" i="4"/>
  <c r="F101" i="4" s="1"/>
  <c r="J101" i="4"/>
  <c r="B103" i="4"/>
  <c r="C2" i="4"/>
  <c r="F2" i="4" s="1"/>
  <c r="G2" i="4"/>
  <c r="I2" i="4" s="1"/>
  <c r="J4" i="4"/>
  <c r="D10" i="4"/>
  <c r="I12" i="4"/>
  <c r="E19" i="4"/>
  <c r="H19" i="4"/>
  <c r="J24" i="4"/>
  <c r="G24" i="4"/>
  <c r="I24" i="4" s="1"/>
  <c r="J33" i="4"/>
  <c r="L39" i="4"/>
  <c r="D53" i="4"/>
  <c r="H92" i="4"/>
  <c r="E92" i="4"/>
  <c r="H99" i="4"/>
  <c r="E99" i="4"/>
  <c r="J144" i="4"/>
  <c r="G144" i="4"/>
  <c r="F182" i="4"/>
  <c r="J192" i="4"/>
  <c r="G192" i="4"/>
  <c r="L15" i="4"/>
  <c r="H118" i="4"/>
  <c r="E118" i="4"/>
  <c r="J121" i="4"/>
  <c r="G121" i="4"/>
  <c r="G131" i="4"/>
  <c r="J134" i="4"/>
  <c r="G134" i="4"/>
  <c r="I134" i="4" s="1"/>
  <c r="H154" i="4"/>
  <c r="E154" i="4"/>
  <c r="J157" i="4"/>
  <c r="G157" i="4"/>
  <c r="H170" i="4"/>
  <c r="E170" i="4"/>
  <c r="F170" i="4" s="1"/>
  <c r="H182" i="4"/>
  <c r="E182" i="4"/>
  <c r="H108" i="4"/>
  <c r="E108" i="4"/>
  <c r="F108" i="4" s="1"/>
  <c r="C12" i="4"/>
  <c r="F12" i="4" s="1"/>
  <c r="C15" i="4"/>
  <c r="F15" i="4" s="1"/>
  <c r="K15" i="4" s="1"/>
  <c r="I30" i="4"/>
  <c r="L30" i="4" s="1"/>
  <c r="D32" i="4"/>
  <c r="B34" i="4"/>
  <c r="F36" i="4"/>
  <c r="D44" i="4"/>
  <c r="B46" i="4"/>
  <c r="B48" i="4"/>
  <c r="L54" i="4"/>
  <c r="K54" i="4"/>
  <c r="D64" i="4"/>
  <c r="H73" i="4"/>
  <c r="I73" i="4" s="1"/>
  <c r="L73" i="4" s="1"/>
  <c r="E73" i="4"/>
  <c r="F73" i="4" s="1"/>
  <c r="K73" i="4" s="1"/>
  <c r="K74" i="4"/>
  <c r="D77" i="4"/>
  <c r="B77" i="4"/>
  <c r="J86" i="4"/>
  <c r="J92" i="4"/>
  <c r="J111" i="4"/>
  <c r="C111" i="4"/>
  <c r="F111" i="4" s="1"/>
  <c r="C121" i="4"/>
  <c r="F121" i="4" s="1"/>
  <c r="B124" i="4"/>
  <c r="D124" i="4"/>
  <c r="C131" i="4"/>
  <c r="C134" i="4"/>
  <c r="F134" i="4" s="1"/>
  <c r="L138" i="4"/>
  <c r="K138" i="4"/>
  <c r="H144" i="4"/>
  <c r="E144" i="4"/>
  <c r="F144" i="4" s="1"/>
  <c r="J147" i="4"/>
  <c r="C147" i="4"/>
  <c r="C157" i="4"/>
  <c r="B160" i="4"/>
  <c r="D160" i="4"/>
  <c r="I7" i="5"/>
  <c r="J15" i="5"/>
  <c r="D220" i="4"/>
  <c r="B220" i="4"/>
  <c r="G55" i="5"/>
  <c r="H55" i="5" s="1"/>
  <c r="I55" i="5"/>
  <c r="H192" i="4"/>
  <c r="E192" i="4"/>
  <c r="D208" i="4"/>
  <c r="H215" i="4"/>
  <c r="E215" i="4"/>
  <c r="D226" i="4"/>
  <c r="B226" i="4"/>
  <c r="B235" i="4"/>
  <c r="C240" i="4"/>
  <c r="C251" i="4"/>
  <c r="F251" i="4" s="1"/>
  <c r="G251" i="4"/>
  <c r="I251" i="4" s="1"/>
  <c r="J251" i="4"/>
  <c r="L90" i="4"/>
  <c r="K90" i="4"/>
  <c r="L195" i="4"/>
  <c r="D201" i="4"/>
  <c r="E203" i="4"/>
  <c r="F203" i="4" s="1"/>
  <c r="I33" i="4"/>
  <c r="J63" i="4"/>
  <c r="B67" i="4"/>
  <c r="I70" i="4"/>
  <c r="L70" i="4" s="1"/>
  <c r="G80" i="4"/>
  <c r="I80" i="4" s="1"/>
  <c r="C80" i="4"/>
  <c r="F80" i="4" s="1"/>
  <c r="B85" i="4"/>
  <c r="B88" i="4"/>
  <c r="B91" i="4"/>
  <c r="B94" i="4"/>
  <c r="D105" i="4"/>
  <c r="B105" i="4"/>
  <c r="D107" i="4"/>
  <c r="I109" i="4"/>
  <c r="F109" i="4"/>
  <c r="D117" i="4"/>
  <c r="B117" i="4"/>
  <c r="D119" i="4"/>
  <c r="I121" i="4"/>
  <c r="D129" i="4"/>
  <c r="B129" i="4"/>
  <c r="D131" i="4"/>
  <c r="I133" i="4"/>
  <c r="F133" i="4"/>
  <c r="D141" i="4"/>
  <c r="B141" i="4"/>
  <c r="D143" i="4"/>
  <c r="J143" i="4" s="1"/>
  <c r="F145" i="4"/>
  <c r="D153" i="4"/>
  <c r="B153" i="4"/>
  <c r="D155" i="4"/>
  <c r="I157" i="4"/>
  <c r="F157" i="4"/>
  <c r="D165" i="4"/>
  <c r="B165" i="4"/>
  <c r="D167" i="4"/>
  <c r="F169" i="4"/>
  <c r="D177" i="4"/>
  <c r="B177" i="4"/>
  <c r="D179" i="4"/>
  <c r="F181" i="4"/>
  <c r="K181" i="4" s="1"/>
  <c r="D190" i="4"/>
  <c r="C195" i="4"/>
  <c r="F195" i="4" s="1"/>
  <c r="K195" i="4" s="1"/>
  <c r="B201" i="4"/>
  <c r="B208" i="4"/>
  <c r="I210" i="4"/>
  <c r="B216" i="4"/>
  <c r="D221" i="4"/>
  <c r="G240" i="4"/>
  <c r="D5" i="5"/>
  <c r="E5" i="5"/>
  <c r="C5" i="5"/>
  <c r="B5" i="5"/>
  <c r="H36" i="5"/>
  <c r="F36" i="5"/>
  <c r="J167" i="4"/>
  <c r="G167" i="4"/>
  <c r="G179" i="4"/>
  <c r="G190" i="4"/>
  <c r="C190" i="4"/>
  <c r="J193" i="4"/>
  <c r="G193" i="4"/>
  <c r="I193" i="4" s="1"/>
  <c r="E197" i="4"/>
  <c r="F197" i="4" s="1"/>
  <c r="D213" i="4"/>
  <c r="B213" i="4"/>
  <c r="G221" i="4"/>
  <c r="J221" i="4"/>
  <c r="L231" i="4"/>
  <c r="K231" i="4"/>
  <c r="D235" i="4"/>
  <c r="G20" i="5"/>
  <c r="I27" i="5"/>
  <c r="H27" i="5"/>
  <c r="I40" i="5"/>
  <c r="B222" i="4"/>
  <c r="G227" i="4"/>
  <c r="I227" i="4" s="1"/>
  <c r="C227" i="4"/>
  <c r="L244" i="4"/>
  <c r="D6" i="5"/>
  <c r="G6" i="5" s="1"/>
  <c r="C6" i="5"/>
  <c r="E6" i="5"/>
  <c r="F20" i="4"/>
  <c r="I23" i="4"/>
  <c r="F23" i="4"/>
  <c r="J87" i="4"/>
  <c r="D93" i="4"/>
  <c r="B93" i="4"/>
  <c r="F104" i="4"/>
  <c r="D191" i="4"/>
  <c r="E193" i="4"/>
  <c r="F193" i="4" s="1"/>
  <c r="G195" i="4"/>
  <c r="I195" i="4" s="1"/>
  <c r="D214" i="4"/>
  <c r="L237" i="4"/>
  <c r="B6" i="5"/>
  <c r="G169" i="4"/>
  <c r="I169" i="4" s="1"/>
  <c r="G181" i="4"/>
  <c r="I181" i="4" s="1"/>
  <c r="L181" i="4" s="1"/>
  <c r="C185" i="4"/>
  <c r="F185" i="4" s="1"/>
  <c r="J185" i="4"/>
  <c r="B191" i="4"/>
  <c r="C196" i="4"/>
  <c r="F196" i="4" s="1"/>
  <c r="J196" i="4"/>
  <c r="I204" i="4"/>
  <c r="B214" i="4"/>
  <c r="C217" i="4"/>
  <c r="F217" i="4" s="1"/>
  <c r="J217" i="4"/>
  <c r="L218" i="4"/>
  <c r="K218" i="4"/>
  <c r="D222" i="4"/>
  <c r="J227" i="4"/>
  <c r="D17" i="5"/>
  <c r="G17" i="5" s="1"/>
  <c r="E17" i="5"/>
  <c r="C17" i="5"/>
  <c r="B17" i="5"/>
  <c r="G27" i="5"/>
  <c r="F40" i="5"/>
  <c r="H40" i="5" s="1"/>
  <c r="D95" i="4"/>
  <c r="C113" i="4"/>
  <c r="F113" i="4" s="1"/>
  <c r="J113" i="4"/>
  <c r="G116" i="4"/>
  <c r="C116" i="4"/>
  <c r="E123" i="4"/>
  <c r="C125" i="4"/>
  <c r="F125" i="4" s="1"/>
  <c r="J125" i="4"/>
  <c r="G128" i="4"/>
  <c r="C128" i="4"/>
  <c r="E135" i="4"/>
  <c r="C137" i="4"/>
  <c r="F137" i="4" s="1"/>
  <c r="J137" i="4"/>
  <c r="G140" i="4"/>
  <c r="C140" i="4"/>
  <c r="E147" i="4"/>
  <c r="C149" i="4"/>
  <c r="F149" i="4" s="1"/>
  <c r="J149" i="4"/>
  <c r="G152" i="4"/>
  <c r="C152" i="4"/>
  <c r="E159" i="4"/>
  <c r="C161" i="4"/>
  <c r="F161" i="4" s="1"/>
  <c r="J161" i="4"/>
  <c r="G164" i="4"/>
  <c r="C164" i="4"/>
  <c r="E171" i="4"/>
  <c r="C173" i="4"/>
  <c r="F173" i="4" s="1"/>
  <c r="J173" i="4"/>
  <c r="G176" i="4"/>
  <c r="C176" i="4"/>
  <c r="E183" i="4"/>
  <c r="J194" i="4"/>
  <c r="G194" i="4"/>
  <c r="I194" i="4" s="1"/>
  <c r="B228" i="4"/>
  <c r="D233" i="4"/>
  <c r="B233" i="4"/>
  <c r="I10" i="5"/>
  <c r="G10" i="5"/>
  <c r="H10" i="5" s="1"/>
  <c r="J75" i="4"/>
  <c r="D81" i="4"/>
  <c r="B81" i="4"/>
  <c r="E87" i="4"/>
  <c r="F87" i="4" s="1"/>
  <c r="B95" i="4"/>
  <c r="B106" i="4"/>
  <c r="B118" i="4"/>
  <c r="B130" i="4"/>
  <c r="B142" i="4"/>
  <c r="B154" i="4"/>
  <c r="B166" i="4"/>
  <c r="B178" i="4"/>
  <c r="L186" i="4"/>
  <c r="K186" i="4"/>
  <c r="C194" i="4"/>
  <c r="F194" i="4" s="1"/>
  <c r="J210" i="4"/>
  <c r="C243" i="4"/>
  <c r="J243" i="4"/>
  <c r="G243" i="4"/>
  <c r="I243" i="4" s="1"/>
  <c r="D246" i="4"/>
  <c r="H166" i="4"/>
  <c r="E166" i="4"/>
  <c r="J170" i="4"/>
  <c r="G170" i="4"/>
  <c r="I170" i="4" s="1"/>
  <c r="H178" i="4"/>
  <c r="E178" i="4"/>
  <c r="J182" i="4"/>
  <c r="G182" i="4"/>
  <c r="I182" i="4" s="1"/>
  <c r="D189" i="4"/>
  <c r="B189" i="4"/>
  <c r="I192" i="4"/>
  <c r="F192" i="4"/>
  <c r="D200" i="4"/>
  <c r="B200" i="4"/>
  <c r="J203" i="4"/>
  <c r="G203" i="4"/>
  <c r="I203" i="4" s="1"/>
  <c r="D207" i="4"/>
  <c r="B207" i="4"/>
  <c r="H228" i="4"/>
  <c r="E228" i="4"/>
  <c r="D234" i="4"/>
  <c r="B239" i="4"/>
  <c r="G246" i="4"/>
  <c r="B250" i="4"/>
  <c r="D250" i="4"/>
  <c r="F243" i="4"/>
  <c r="I11" i="5"/>
  <c r="J11" i="5" s="1"/>
  <c r="H11" i="5"/>
  <c r="E19" i="5"/>
  <c r="C19" i="5"/>
  <c r="F19" i="5" s="1"/>
  <c r="D19" i="5"/>
  <c r="I20" i="5"/>
  <c r="H30" i="5"/>
  <c r="G40" i="5"/>
  <c r="E7" i="5"/>
  <c r="G7" i="5" s="1"/>
  <c r="C7" i="5"/>
  <c r="F7" i="5" s="1"/>
  <c r="H7" i="5" s="1"/>
  <c r="D8" i="5"/>
  <c r="G8" i="5" s="1"/>
  <c r="B8" i="5"/>
  <c r="C8" i="5"/>
  <c r="D25" i="5"/>
  <c r="G25" i="5" s="1"/>
  <c r="C25" i="5"/>
  <c r="B25" i="5"/>
  <c r="H42" i="5"/>
  <c r="G60" i="5"/>
  <c r="D69" i="5"/>
  <c r="I69" i="5" s="1"/>
  <c r="C69" i="5"/>
  <c r="E69" i="5"/>
  <c r="F69" i="5"/>
  <c r="D29" i="5"/>
  <c r="E29" i="5"/>
  <c r="E35" i="5"/>
  <c r="D35" i="5"/>
  <c r="G35" i="5" s="1"/>
  <c r="C35" i="5"/>
  <c r="I39" i="5"/>
  <c r="H39" i="5"/>
  <c r="C71" i="5"/>
  <c r="B71" i="5"/>
  <c r="E71" i="5"/>
  <c r="D71" i="5"/>
  <c r="G71" i="5" s="1"/>
  <c r="G85" i="5"/>
  <c r="I196" i="4"/>
  <c r="J197" i="4"/>
  <c r="G242" i="4"/>
  <c r="I242" i="4" s="1"/>
  <c r="J242" i="4"/>
  <c r="F4" i="5"/>
  <c r="F11" i="5"/>
  <c r="B16" i="5"/>
  <c r="F20" i="5"/>
  <c r="H20" i="5" s="1"/>
  <c r="E24" i="5"/>
  <c r="D24" i="5"/>
  <c r="G24" i="5" s="1"/>
  <c r="C24" i="5"/>
  <c r="B29" i="5"/>
  <c r="B35" i="5"/>
  <c r="E67" i="5"/>
  <c r="D67" i="5"/>
  <c r="C67" i="5"/>
  <c r="B67" i="5"/>
  <c r="I34" i="5"/>
  <c r="H34" i="5"/>
  <c r="H54" i="5"/>
  <c r="G54" i="5"/>
  <c r="B238" i="4"/>
  <c r="B245" i="4"/>
  <c r="G9" i="5"/>
  <c r="F18" i="5"/>
  <c r="B187" i="4"/>
  <c r="C188" i="4"/>
  <c r="B199" i="4"/>
  <c r="B206" i="4"/>
  <c r="B212" i="4"/>
  <c r="B219" i="4"/>
  <c r="B225" i="4"/>
  <c r="E227" i="4"/>
  <c r="B232" i="4"/>
  <c r="D4" i="5"/>
  <c r="H9" i="5"/>
  <c r="J9" i="5" s="1"/>
  <c r="D16" i="5"/>
  <c r="G16" i="5" s="1"/>
  <c r="H18" i="5"/>
  <c r="J18" i="5" s="1"/>
  <c r="B3" i="8"/>
  <c r="B23" i="5"/>
  <c r="F24" i="5"/>
  <c r="H24" i="5" s="1"/>
  <c r="G39" i="5"/>
  <c r="D41" i="5"/>
  <c r="G41" i="5" s="1"/>
  <c r="E41" i="5"/>
  <c r="B41" i="5"/>
  <c r="I42" i="5"/>
  <c r="J42" i="5" s="1"/>
  <c r="B59" i="5"/>
  <c r="E59" i="5"/>
  <c r="G59" i="5" s="1"/>
  <c r="B9" i="8"/>
  <c r="D65" i="5"/>
  <c r="B65" i="5"/>
  <c r="E65" i="5"/>
  <c r="C65" i="5"/>
  <c r="D116" i="4"/>
  <c r="D128" i="4"/>
  <c r="D140" i="4"/>
  <c r="D152" i="4"/>
  <c r="D164" i="4"/>
  <c r="D176" i="4"/>
  <c r="D188" i="4"/>
  <c r="D238" i="4"/>
  <c r="D245" i="4"/>
  <c r="D2" i="5"/>
  <c r="G2" i="5" s="1"/>
  <c r="B2" i="5"/>
  <c r="E4" i="5"/>
  <c r="I61" i="5"/>
  <c r="F61" i="5"/>
  <c r="H61" i="5" s="1"/>
  <c r="D187" i="4"/>
  <c r="D199" i="4"/>
  <c r="D212" i="4"/>
  <c r="D219" i="4"/>
  <c r="J224" i="4"/>
  <c r="D225" i="4"/>
  <c r="D232" i="4"/>
  <c r="F244" i="4"/>
  <c r="K244" i="4" s="1"/>
  <c r="I244" i="4"/>
  <c r="E28" i="5"/>
  <c r="C28" i="5"/>
  <c r="C63" i="5"/>
  <c r="E63" i="5"/>
  <c r="D63" i="5"/>
  <c r="B63" i="5"/>
  <c r="I76" i="5"/>
  <c r="F76" i="5"/>
  <c r="H76" i="5" s="1"/>
  <c r="B28" i="5"/>
  <c r="F34" i="5"/>
  <c r="C224" i="4"/>
  <c r="F224" i="4" s="1"/>
  <c r="E241" i="4"/>
  <c r="F241" i="4" s="1"/>
  <c r="K241" i="4" s="1"/>
  <c r="H241" i="4"/>
  <c r="I241" i="4" s="1"/>
  <c r="L241" i="4" s="1"/>
  <c r="F3" i="4"/>
  <c r="K3" i="4" s="1"/>
  <c r="D211" i="4"/>
  <c r="B223" i="4"/>
  <c r="B230" i="4"/>
  <c r="B236" i="4"/>
  <c r="D240" i="4"/>
  <c r="J240" i="4" s="1"/>
  <c r="B247" i="4"/>
  <c r="H249" i="4"/>
  <c r="I249" i="4" s="1"/>
  <c r="L249" i="4" s="1"/>
  <c r="I4" i="5"/>
  <c r="H12" i="5"/>
  <c r="J12" i="5" s="1"/>
  <c r="H15" i="5"/>
  <c r="J21" i="5"/>
  <c r="D28" i="5"/>
  <c r="F32" i="5"/>
  <c r="E36" i="5"/>
  <c r="D36" i="5"/>
  <c r="G36" i="5" s="1"/>
  <c r="F43" i="5"/>
  <c r="H43" i="5" s="1"/>
  <c r="I43" i="5"/>
  <c r="J46" i="5"/>
  <c r="F103" i="5"/>
  <c r="H103" i="5" s="1"/>
  <c r="I103" i="5"/>
  <c r="H58" i="5"/>
  <c r="J58" i="5" s="1"/>
  <c r="I72" i="5"/>
  <c r="F72" i="5"/>
  <c r="H72" i="5" s="1"/>
  <c r="G79" i="5"/>
  <c r="I82" i="5"/>
  <c r="H82" i="5"/>
  <c r="I86" i="5"/>
  <c r="J86" i="5" s="1"/>
  <c r="H86" i="5"/>
  <c r="I60" i="5"/>
  <c r="C75" i="5"/>
  <c r="E75" i="5"/>
  <c r="H101" i="5"/>
  <c r="I22" i="5"/>
  <c r="H22" i="5"/>
  <c r="I30" i="5"/>
  <c r="J30" i="5" s="1"/>
  <c r="B5" i="8"/>
  <c r="D37" i="5"/>
  <c r="G37" i="5" s="1"/>
  <c r="C37" i="5"/>
  <c r="B37" i="5"/>
  <c r="D45" i="5"/>
  <c r="G45" i="5" s="1"/>
  <c r="C45" i="5"/>
  <c r="E45" i="5"/>
  <c r="B45" i="5"/>
  <c r="G64" i="5"/>
  <c r="E68" i="5"/>
  <c r="D68" i="5"/>
  <c r="G68" i="5" s="1"/>
  <c r="B75" i="5"/>
  <c r="I78" i="5"/>
  <c r="H78" i="5"/>
  <c r="F78" i="5"/>
  <c r="B85" i="5"/>
  <c r="H91" i="5"/>
  <c r="I64" i="5"/>
  <c r="F68" i="5"/>
  <c r="D75" i="5"/>
  <c r="G75" i="5" s="1"/>
  <c r="D81" i="5"/>
  <c r="G81" i="5" s="1"/>
  <c r="C81" i="5"/>
  <c r="F81" i="5" s="1"/>
  <c r="C85" i="5"/>
  <c r="I91" i="5"/>
  <c r="J91" i="5" s="1"/>
  <c r="G78" i="5"/>
  <c r="E85" i="5"/>
  <c r="I74" i="5"/>
  <c r="F74" i="5"/>
  <c r="H74" i="5" s="1"/>
  <c r="D77" i="5"/>
  <c r="C77" i="5"/>
  <c r="B77" i="5"/>
  <c r="I101" i="5"/>
  <c r="J101" i="5" s="1"/>
  <c r="B6" i="8"/>
  <c r="E44" i="5"/>
  <c r="C44" i="5"/>
  <c r="B44" i="5"/>
  <c r="H60" i="5"/>
  <c r="F64" i="5"/>
  <c r="H64" i="5" s="1"/>
  <c r="E77" i="5"/>
  <c r="I84" i="5"/>
  <c r="H84" i="5"/>
  <c r="F242" i="4"/>
  <c r="F248" i="4"/>
  <c r="K248" i="4" s="1"/>
  <c r="D44" i="5"/>
  <c r="G44" i="5" s="1"/>
  <c r="F70" i="5"/>
  <c r="H70" i="5" s="1"/>
  <c r="J70" i="5" s="1"/>
  <c r="G73" i="5"/>
  <c r="J112" i="5"/>
  <c r="G119" i="5"/>
  <c r="D13" i="5"/>
  <c r="C13" i="5"/>
  <c r="F13" i="5" s="1"/>
  <c r="E31" i="5"/>
  <c r="G31" i="5" s="1"/>
  <c r="C31" i="5"/>
  <c r="B31" i="5"/>
  <c r="H62" i="5"/>
  <c r="I62" i="5"/>
  <c r="J62" i="5" s="1"/>
  <c r="I73" i="5"/>
  <c r="F73" i="5"/>
  <c r="H73" i="5" s="1"/>
  <c r="I80" i="5"/>
  <c r="F80" i="5"/>
  <c r="H80" i="5" s="1"/>
  <c r="F88" i="5"/>
  <c r="H88" i="5" s="1"/>
  <c r="J88" i="5" s="1"/>
  <c r="D43" i="5"/>
  <c r="G43" i="5" s="1"/>
  <c r="C43" i="5"/>
  <c r="I66" i="5"/>
  <c r="F66" i="5"/>
  <c r="H66" i="5" s="1"/>
  <c r="C83" i="5"/>
  <c r="B83" i="5"/>
  <c r="B87" i="5"/>
  <c r="G92" i="5"/>
  <c r="J99" i="5"/>
  <c r="I79" i="5"/>
  <c r="F79" i="5"/>
  <c r="H79" i="5" s="1"/>
  <c r="G87" i="5"/>
  <c r="D89" i="5"/>
  <c r="G89" i="5" s="1"/>
  <c r="C89" i="5"/>
  <c r="B89" i="5"/>
  <c r="I90" i="5"/>
  <c r="J90" i="5" s="1"/>
  <c r="F92" i="5"/>
  <c r="I108" i="5"/>
  <c r="F118" i="5"/>
  <c r="G125" i="5"/>
  <c r="B110" i="5"/>
  <c r="E110" i="5"/>
  <c r="D110" i="5"/>
  <c r="G110" i="5" s="1"/>
  <c r="J120" i="5"/>
  <c r="C142" i="5"/>
  <c r="B142" i="5"/>
  <c r="E142" i="5"/>
  <c r="D142" i="5"/>
  <c r="I145" i="5"/>
  <c r="G145" i="5"/>
  <c r="D178" i="5"/>
  <c r="C178" i="5"/>
  <c r="E178" i="5"/>
  <c r="B178" i="5"/>
  <c r="C110" i="5"/>
  <c r="C114" i="5"/>
  <c r="F114" i="5" s="1"/>
  <c r="H114" i="5" s="1"/>
  <c r="D118" i="5"/>
  <c r="G118" i="5" s="1"/>
  <c r="G128" i="5"/>
  <c r="E131" i="5"/>
  <c r="D131" i="5"/>
  <c r="B131" i="5"/>
  <c r="B134" i="5"/>
  <c r="C134" i="5"/>
  <c r="E134" i="5"/>
  <c r="D134" i="5"/>
  <c r="G134" i="5" s="1"/>
  <c r="G152" i="5"/>
  <c r="H159" i="5"/>
  <c r="J159" i="5" s="1"/>
  <c r="G195" i="5"/>
  <c r="C126" i="5"/>
  <c r="B126" i="5"/>
  <c r="H163" i="5"/>
  <c r="G163" i="5"/>
  <c r="F96" i="5"/>
  <c r="H96" i="5" s="1"/>
  <c r="C98" i="5"/>
  <c r="D98" i="5"/>
  <c r="G98" i="5" s="1"/>
  <c r="B98" i="5"/>
  <c r="G108" i="5"/>
  <c r="H108" i="5" s="1"/>
  <c r="G112" i="5"/>
  <c r="I114" i="5"/>
  <c r="C119" i="5"/>
  <c r="B119" i="5"/>
  <c r="H120" i="5"/>
  <c r="D126" i="5"/>
  <c r="G126" i="5" s="1"/>
  <c r="F153" i="5"/>
  <c r="J106" i="5"/>
  <c r="D121" i="5"/>
  <c r="G121" i="5" s="1"/>
  <c r="E121" i="5"/>
  <c r="E126" i="5"/>
  <c r="B111" i="5"/>
  <c r="E119" i="5"/>
  <c r="B121" i="5"/>
  <c r="I123" i="5"/>
  <c r="J132" i="5"/>
  <c r="B164" i="5"/>
  <c r="C164" i="5"/>
  <c r="E164" i="5"/>
  <c r="D164" i="5"/>
  <c r="F105" i="5"/>
  <c r="B107" i="5"/>
  <c r="C111" i="5"/>
  <c r="C121" i="5"/>
  <c r="E124" i="5"/>
  <c r="D124" i="5"/>
  <c r="G124" i="5" s="1"/>
  <c r="C124" i="5"/>
  <c r="I168" i="5"/>
  <c r="F237" i="4"/>
  <c r="K237" i="4" s="1"/>
  <c r="F249" i="4"/>
  <c r="K249" i="4" s="1"/>
  <c r="C47" i="5"/>
  <c r="F47" i="5" s="1"/>
  <c r="H47" i="5" s="1"/>
  <c r="J47" i="5" s="1"/>
  <c r="B48" i="5"/>
  <c r="B49" i="5"/>
  <c r="I96" i="5"/>
  <c r="D100" i="5"/>
  <c r="E100" i="5"/>
  <c r="H105" i="5"/>
  <c r="J105" i="5" s="1"/>
  <c r="C107" i="5"/>
  <c r="E111" i="5"/>
  <c r="G111" i="5" s="1"/>
  <c r="B124" i="5"/>
  <c r="D127" i="5"/>
  <c r="G127" i="5" s="1"/>
  <c r="C127" i="5"/>
  <c r="B127" i="5"/>
  <c r="E144" i="5"/>
  <c r="D144" i="5"/>
  <c r="G144" i="5" s="1"/>
  <c r="C144" i="5"/>
  <c r="B144" i="5"/>
  <c r="E161" i="5"/>
  <c r="D161" i="5"/>
  <c r="B161" i="5"/>
  <c r="H50" i="5"/>
  <c r="J50" i="5" s="1"/>
  <c r="B7" i="8"/>
  <c r="C51" i="5"/>
  <c r="G52" i="5"/>
  <c r="H52" i="5" s="1"/>
  <c r="J52" i="5" s="1"/>
  <c r="D53" i="5"/>
  <c r="B53" i="5"/>
  <c r="E95" i="5"/>
  <c r="D95" i="5"/>
  <c r="D107" i="5"/>
  <c r="G107" i="5" s="1"/>
  <c r="D117" i="5"/>
  <c r="E117" i="5"/>
  <c r="C117" i="5"/>
  <c r="B117" i="5"/>
  <c r="B122" i="5"/>
  <c r="D122" i="5"/>
  <c r="G122" i="5" s="1"/>
  <c r="C161" i="5"/>
  <c r="E47" i="5"/>
  <c r="G47" i="5" s="1"/>
  <c r="D48" i="5"/>
  <c r="G48" i="5" s="1"/>
  <c r="E49" i="5"/>
  <c r="G49" i="5" s="1"/>
  <c r="B51" i="5"/>
  <c r="C53" i="5"/>
  <c r="I54" i="5"/>
  <c r="B95" i="5"/>
  <c r="C97" i="5"/>
  <c r="F97" i="5" s="1"/>
  <c r="C100" i="5"/>
  <c r="F100" i="5" s="1"/>
  <c r="B104" i="5"/>
  <c r="D104" i="5"/>
  <c r="G104" i="5" s="1"/>
  <c r="C122" i="5"/>
  <c r="D137" i="5"/>
  <c r="G137" i="5" s="1"/>
  <c r="E137" i="5"/>
  <c r="B137" i="5"/>
  <c r="G148" i="5"/>
  <c r="G32" i="5"/>
  <c r="D51" i="5"/>
  <c r="G51" i="5" s="1"/>
  <c r="E53" i="5"/>
  <c r="D57" i="5"/>
  <c r="C57" i="5"/>
  <c r="F57" i="5" s="1"/>
  <c r="C95" i="5"/>
  <c r="D97" i="5"/>
  <c r="I109" i="5"/>
  <c r="G115" i="5"/>
  <c r="H115" i="5" s="1"/>
  <c r="J115" i="5" s="1"/>
  <c r="E122" i="5"/>
  <c r="C125" i="5"/>
  <c r="B125" i="5"/>
  <c r="C137" i="5"/>
  <c r="B158" i="5"/>
  <c r="C158" i="5"/>
  <c r="E158" i="5"/>
  <c r="D158" i="5"/>
  <c r="G158" i="5" s="1"/>
  <c r="I162" i="5"/>
  <c r="G181" i="5"/>
  <c r="G143" i="5"/>
  <c r="D147" i="5"/>
  <c r="E147" i="5"/>
  <c r="C147" i="5"/>
  <c r="B147" i="5"/>
  <c r="I169" i="5"/>
  <c r="H169" i="5"/>
  <c r="H180" i="5"/>
  <c r="I180" i="5"/>
  <c r="C186" i="5"/>
  <c r="E186" i="5"/>
  <c r="D186" i="5"/>
  <c r="G186" i="5" s="1"/>
  <c r="E191" i="5"/>
  <c r="C191" i="5"/>
  <c r="B191" i="5"/>
  <c r="E202" i="5"/>
  <c r="D202" i="5"/>
  <c r="C202" i="5"/>
  <c r="F202" i="5" s="1"/>
  <c r="F215" i="5"/>
  <c r="O40" i="7"/>
  <c r="I186" i="5"/>
  <c r="F186" i="5"/>
  <c r="G191" i="5"/>
  <c r="J194" i="5"/>
  <c r="I202" i="5"/>
  <c r="F132" i="5"/>
  <c r="H157" i="5"/>
  <c r="G157" i="5"/>
  <c r="B167" i="5"/>
  <c r="H197" i="5"/>
  <c r="F197" i="5"/>
  <c r="I197" i="5"/>
  <c r="J197" i="5" s="1"/>
  <c r="I206" i="5"/>
  <c r="I228" i="5"/>
  <c r="J228" i="5" s="1"/>
  <c r="H228" i="5"/>
  <c r="F228" i="5"/>
  <c r="I187" i="5"/>
  <c r="F187" i="5"/>
  <c r="H187" i="5" s="1"/>
  <c r="E232" i="5"/>
  <c r="D232" i="5"/>
  <c r="G232" i="5" s="1"/>
  <c r="C232" i="5"/>
  <c r="B232" i="5"/>
  <c r="F128" i="5"/>
  <c r="H128" i="5" s="1"/>
  <c r="J128" i="5" s="1"/>
  <c r="H132" i="5"/>
  <c r="C150" i="5"/>
  <c r="B150" i="5"/>
  <c r="J151" i="5"/>
  <c r="E156" i="5"/>
  <c r="D156" i="5"/>
  <c r="G156" i="5" s="1"/>
  <c r="D167" i="5"/>
  <c r="G167" i="5" s="1"/>
  <c r="F174" i="5"/>
  <c r="H174" i="5" s="1"/>
  <c r="I224" i="5"/>
  <c r="B113" i="5"/>
  <c r="B148" i="5"/>
  <c r="D150" i="5"/>
  <c r="G150" i="5" s="1"/>
  <c r="D154" i="5"/>
  <c r="G154" i="5" s="1"/>
  <c r="C154" i="5"/>
  <c r="B156" i="5"/>
  <c r="I157" i="5"/>
  <c r="J157" i="5" s="1"/>
  <c r="B170" i="5"/>
  <c r="C170" i="5"/>
  <c r="G200" i="5"/>
  <c r="I204" i="5"/>
  <c r="F204" i="5"/>
  <c r="H204" i="5" s="1"/>
  <c r="F106" i="5"/>
  <c r="H106" i="5" s="1"/>
  <c r="C113" i="5"/>
  <c r="F130" i="5"/>
  <c r="F136" i="5"/>
  <c r="B146" i="5"/>
  <c r="C146" i="5"/>
  <c r="E146" i="5"/>
  <c r="G146" i="5" s="1"/>
  <c r="C148" i="5"/>
  <c r="E150" i="5"/>
  <c r="B154" i="5"/>
  <c r="C156" i="5"/>
  <c r="D162" i="5"/>
  <c r="C162" i="5"/>
  <c r="F162" i="5" s="1"/>
  <c r="C168" i="5"/>
  <c r="F168" i="5" s="1"/>
  <c r="E168" i="5"/>
  <c r="D168" i="5"/>
  <c r="D170" i="5"/>
  <c r="G170" i="5" s="1"/>
  <c r="C172" i="5"/>
  <c r="D172" i="5"/>
  <c r="G172" i="5" s="1"/>
  <c r="B172" i="5"/>
  <c r="S13" i="7"/>
  <c r="S9" i="7"/>
  <c r="S5" i="7"/>
  <c r="AC54" i="7"/>
  <c r="D94" i="5"/>
  <c r="C102" i="5"/>
  <c r="F102" i="5" s="1"/>
  <c r="H102" i="5" s="1"/>
  <c r="J102" i="5" s="1"/>
  <c r="C109" i="5"/>
  <c r="F109" i="5" s="1"/>
  <c r="H109" i="5" s="1"/>
  <c r="F112" i="5"/>
  <c r="H112" i="5" s="1"/>
  <c r="C123" i="5"/>
  <c r="F123" i="5" s="1"/>
  <c r="H123" i="5" s="1"/>
  <c r="D130" i="5"/>
  <c r="D133" i="5"/>
  <c r="D136" i="5"/>
  <c r="D141" i="5"/>
  <c r="E141" i="5"/>
  <c r="E162" i="5"/>
  <c r="I174" i="5"/>
  <c r="I193" i="5"/>
  <c r="H193" i="5"/>
  <c r="G198" i="5"/>
  <c r="I200" i="5"/>
  <c r="E208" i="5"/>
  <c r="D208" i="5"/>
  <c r="C208" i="5"/>
  <c r="B208" i="5"/>
  <c r="I211" i="5"/>
  <c r="H211" i="5"/>
  <c r="E222" i="5"/>
  <c r="D222" i="5"/>
  <c r="C222" i="5"/>
  <c r="B222" i="5"/>
  <c r="B13" i="8"/>
  <c r="B93" i="5"/>
  <c r="G105" i="5"/>
  <c r="E123" i="5"/>
  <c r="G123" i="5" s="1"/>
  <c r="D129" i="5"/>
  <c r="G129" i="5" s="1"/>
  <c r="B129" i="5"/>
  <c r="E133" i="5"/>
  <c r="H138" i="5"/>
  <c r="J138" i="5" s="1"/>
  <c r="F160" i="5"/>
  <c r="I160" i="5"/>
  <c r="H160" i="5"/>
  <c r="E185" i="5"/>
  <c r="D185" i="5"/>
  <c r="E196" i="5"/>
  <c r="D196" i="5"/>
  <c r="C196" i="5"/>
  <c r="K27" i="7"/>
  <c r="W30" i="7"/>
  <c r="D135" i="5"/>
  <c r="E135" i="5"/>
  <c r="F143" i="5"/>
  <c r="H143" i="5" s="1"/>
  <c r="D149" i="5"/>
  <c r="G149" i="5" s="1"/>
  <c r="C149" i="5"/>
  <c r="F149" i="5" s="1"/>
  <c r="F151" i="5"/>
  <c r="H151" i="5" s="1"/>
  <c r="G160" i="5"/>
  <c r="I175" i="5"/>
  <c r="J175" i="5" s="1"/>
  <c r="H175" i="5"/>
  <c r="B185" i="5"/>
  <c r="B196" i="5"/>
  <c r="G237" i="5"/>
  <c r="K16" i="7"/>
  <c r="K12" i="7"/>
  <c r="K8" i="7"/>
  <c r="K4" i="7"/>
  <c r="K18" i="7"/>
  <c r="B135" i="5"/>
  <c r="H145" i="5"/>
  <c r="H149" i="5"/>
  <c r="I149" i="5"/>
  <c r="J149" i="5" s="1"/>
  <c r="D153" i="5"/>
  <c r="G153" i="5" s="1"/>
  <c r="E153" i="5"/>
  <c r="H155" i="5"/>
  <c r="I155" i="5"/>
  <c r="J155" i="5" s="1"/>
  <c r="G166" i="5"/>
  <c r="H166" i="5" s="1"/>
  <c r="I166" i="5"/>
  <c r="D180" i="5"/>
  <c r="G180" i="5" s="1"/>
  <c r="C180" i="5"/>
  <c r="F180" i="5" s="1"/>
  <c r="G182" i="5"/>
  <c r="C185" i="5"/>
  <c r="I230" i="5"/>
  <c r="B179" i="5"/>
  <c r="B192" i="5"/>
  <c r="I210" i="5"/>
  <c r="H210" i="5"/>
  <c r="F210" i="5"/>
  <c r="E214" i="5"/>
  <c r="D214" i="5"/>
  <c r="C214" i="5"/>
  <c r="B214" i="5"/>
  <c r="G218" i="5"/>
  <c r="I234" i="5"/>
  <c r="F234" i="5"/>
  <c r="H234" i="5" s="1"/>
  <c r="E238" i="5"/>
  <c r="D238" i="5"/>
  <c r="G238" i="5" s="1"/>
  <c r="C238" i="5"/>
  <c r="B238" i="5"/>
  <c r="G242" i="5"/>
  <c r="K7" i="7"/>
  <c r="K11" i="7"/>
  <c r="K15" i="7"/>
  <c r="AG16" i="7"/>
  <c r="AG12" i="7"/>
  <c r="AG26" i="7"/>
  <c r="AG18" i="7"/>
  <c r="AG37" i="7"/>
  <c r="AH86" i="7"/>
  <c r="B152" i="5"/>
  <c r="C152" i="5"/>
  <c r="B176" i="5"/>
  <c r="C176" i="5"/>
  <c r="C179" i="5"/>
  <c r="I181" i="5"/>
  <c r="E190" i="5"/>
  <c r="D190" i="5"/>
  <c r="C190" i="5"/>
  <c r="F190" i="5" s="1"/>
  <c r="G199" i="5"/>
  <c r="H199" i="5" s="1"/>
  <c r="E221" i="5"/>
  <c r="D221" i="5"/>
  <c r="E245" i="5"/>
  <c r="D245" i="5"/>
  <c r="AA62" i="7"/>
  <c r="AH83" i="7"/>
  <c r="AH52" i="7"/>
  <c r="AH23" i="7"/>
  <c r="AH21" i="7"/>
  <c r="AH72" i="7"/>
  <c r="AH62" i="7"/>
  <c r="AH48" i="7"/>
  <c r="AH30" i="7"/>
  <c r="AH24" i="7"/>
  <c r="AH20" i="7"/>
  <c r="AH16" i="7"/>
  <c r="AH12" i="7"/>
  <c r="AH4" i="7"/>
  <c r="AH28" i="7"/>
  <c r="AH25" i="7"/>
  <c r="AH19" i="7"/>
  <c r="AH64" i="7"/>
  <c r="AH26" i="7"/>
  <c r="AH81" i="7"/>
  <c r="AH13" i="7"/>
  <c r="AH9" i="7"/>
  <c r="AH5" i="7"/>
  <c r="AH66" i="7"/>
  <c r="AH50" i="7"/>
  <c r="AH45" i="7"/>
  <c r="AH49" i="7"/>
  <c r="AH90" i="7"/>
  <c r="AH78" i="7"/>
  <c r="AH68" i="7"/>
  <c r="AH56" i="7"/>
  <c r="AH58" i="7"/>
  <c r="AH42" i="7"/>
  <c r="AH33" i="7"/>
  <c r="AH60" i="7"/>
  <c r="AH22" i="7"/>
  <c r="AI72" i="7"/>
  <c r="AI48" i="7"/>
  <c r="AI39" i="7"/>
  <c r="AI20" i="7"/>
  <c r="AI16" i="7"/>
  <c r="AI12" i="7"/>
  <c r="AI8" i="7"/>
  <c r="AI4" i="7"/>
  <c r="AI28" i="7"/>
  <c r="AI25" i="7"/>
  <c r="AI19" i="7"/>
  <c r="AI64" i="7"/>
  <c r="AI26" i="7"/>
  <c r="AI18" i="7"/>
  <c r="AI74" i="7"/>
  <c r="AI13" i="7"/>
  <c r="AI9" i="7"/>
  <c r="AI5" i="7"/>
  <c r="AI66" i="7"/>
  <c r="AI45" i="7"/>
  <c r="AI36" i="7"/>
  <c r="AI75" i="7"/>
  <c r="AI78" i="7"/>
  <c r="AI68" i="7"/>
  <c r="AI56" i="7"/>
  <c r="AI54" i="7"/>
  <c r="AI53" i="7"/>
  <c r="AI60" i="7"/>
  <c r="AI52" i="7"/>
  <c r="AI23" i="7"/>
  <c r="H173" i="5"/>
  <c r="I173" i="5"/>
  <c r="G192" i="5"/>
  <c r="I198" i="5"/>
  <c r="H198" i="5"/>
  <c r="G210" i="5"/>
  <c r="I217" i="5"/>
  <c r="H217" i="5"/>
  <c r="B221" i="5"/>
  <c r="G234" i="5"/>
  <c r="I241" i="5"/>
  <c r="J241" i="5" s="1"/>
  <c r="H241" i="5"/>
  <c r="B245" i="5"/>
  <c r="K70" i="7"/>
  <c r="K58" i="7"/>
  <c r="K47" i="7"/>
  <c r="K38" i="7"/>
  <c r="K60" i="7"/>
  <c r="K40" i="7"/>
  <c r="K62" i="7"/>
  <c r="K74" i="7"/>
  <c r="K44" i="7"/>
  <c r="K35" i="7"/>
  <c r="M91" i="7"/>
  <c r="M59" i="7"/>
  <c r="E4" i="7"/>
  <c r="G4" i="7" s="1"/>
  <c r="M50" i="7" s="1"/>
  <c r="M45" i="7"/>
  <c r="M31" i="7"/>
  <c r="M29" i="7"/>
  <c r="M21" i="7"/>
  <c r="D4" i="7"/>
  <c r="F4" i="7" s="1"/>
  <c r="M44" i="7" s="1"/>
  <c r="M47" i="7"/>
  <c r="C4" i="7"/>
  <c r="M83" i="7" s="1"/>
  <c r="M5" i="7"/>
  <c r="O3" i="7"/>
  <c r="O44" i="7"/>
  <c r="O88" i="7"/>
  <c r="O77" i="7"/>
  <c r="O74" i="7"/>
  <c r="O46" i="7"/>
  <c r="O32" i="7"/>
  <c r="Q89" i="7"/>
  <c r="Q87" i="7"/>
  <c r="Q62" i="7"/>
  <c r="E8" i="7"/>
  <c r="G8" i="7" s="1"/>
  <c r="Q29" i="7" s="1"/>
  <c r="Q82" i="7"/>
  <c r="Q38" i="7"/>
  <c r="Q63" i="7"/>
  <c r="Q85" i="7"/>
  <c r="D8" i="7"/>
  <c r="F8" i="7" s="1"/>
  <c r="Q80" i="7" s="1"/>
  <c r="Q49" i="7"/>
  <c r="C8" i="7"/>
  <c r="Q81" i="7"/>
  <c r="Q46" i="7"/>
  <c r="O9" i="7"/>
  <c r="S4" i="7"/>
  <c r="S72" i="7"/>
  <c r="S61" i="7"/>
  <c r="S46" i="7"/>
  <c r="S44" i="7"/>
  <c r="S37" i="7"/>
  <c r="S33" i="7"/>
  <c r="S63" i="7"/>
  <c r="S65" i="7"/>
  <c r="S48" i="7"/>
  <c r="S34" i="7"/>
  <c r="S32" i="7"/>
  <c r="S76" i="7"/>
  <c r="S43" i="7"/>
  <c r="S39" i="7"/>
  <c r="M11" i="7"/>
  <c r="U58" i="7"/>
  <c r="U54" i="7"/>
  <c r="U52" i="7"/>
  <c r="U34" i="7"/>
  <c r="U88" i="7"/>
  <c r="U77" i="7"/>
  <c r="E12" i="7"/>
  <c r="G12" i="7" s="1"/>
  <c r="U51" i="7" s="1"/>
  <c r="U90" i="7"/>
  <c r="U27" i="7"/>
  <c r="U81" i="7"/>
  <c r="U45" i="7"/>
  <c r="U59" i="7"/>
  <c r="U53" i="7"/>
  <c r="U61" i="7"/>
  <c r="D12" i="7"/>
  <c r="F12" i="7" s="1"/>
  <c r="U84" i="7" s="1"/>
  <c r="U33" i="7"/>
  <c r="U13" i="7"/>
  <c r="C12" i="7"/>
  <c r="U67" i="7"/>
  <c r="U69" i="7"/>
  <c r="U57" i="7"/>
  <c r="U55" i="7"/>
  <c r="O13" i="7"/>
  <c r="W62" i="7"/>
  <c r="W48" i="7"/>
  <c r="W39" i="7"/>
  <c r="W64" i="7"/>
  <c r="W66" i="7"/>
  <c r="Y76" i="7"/>
  <c r="Y74" i="7"/>
  <c r="Y61" i="7"/>
  <c r="Y59" i="7"/>
  <c r="Y75" i="7"/>
  <c r="Y46" i="7"/>
  <c r="Y42" i="7"/>
  <c r="Y39" i="7"/>
  <c r="Y56" i="7"/>
  <c r="Y29" i="7"/>
  <c r="D16" i="7"/>
  <c r="F16" i="7" s="1"/>
  <c r="Y70" i="7" s="1"/>
  <c r="Y10" i="7"/>
  <c r="Y6" i="7"/>
  <c r="C16" i="7"/>
  <c r="Y83" i="7" s="1"/>
  <c r="Y38" i="7"/>
  <c r="AC19" i="7"/>
  <c r="AI58" i="7"/>
  <c r="D14" i="7"/>
  <c r="F14" i="7" s="1"/>
  <c r="W36" i="7" s="1"/>
  <c r="U15" i="7"/>
  <c r="AB60" i="7"/>
  <c r="AB42" i="7"/>
  <c r="AB35" i="7"/>
  <c r="AB61" i="7"/>
  <c r="AB32" i="7"/>
  <c r="AB22" i="7"/>
  <c r="AB15" i="7"/>
  <c r="AB73" i="7"/>
  <c r="AB64" i="7"/>
  <c r="AB48" i="7"/>
  <c r="AB21" i="7"/>
  <c r="AB66" i="7"/>
  <c r="AB38" i="7"/>
  <c r="AB69" i="7"/>
  <c r="AB59" i="7"/>
  <c r="AB17" i="7"/>
  <c r="O27" i="7"/>
  <c r="W28" i="7"/>
  <c r="U76" i="7"/>
  <c r="W90" i="7"/>
  <c r="E215" i="5"/>
  <c r="D215" i="5"/>
  <c r="E239" i="5"/>
  <c r="D239" i="5"/>
  <c r="AC22" i="7"/>
  <c r="AC15" i="7"/>
  <c r="AC11" i="7"/>
  <c r="AC7" i="7"/>
  <c r="AC3" i="7"/>
  <c r="AC73" i="7"/>
  <c r="AC20" i="7"/>
  <c r="AC77" i="7"/>
  <c r="AC76" i="7"/>
  <c r="AC43" i="7"/>
  <c r="AC50" i="7"/>
  <c r="AC47" i="7"/>
  <c r="AC6" i="7"/>
  <c r="AC2" i="7"/>
  <c r="AD88" i="7"/>
  <c r="W22" i="7"/>
  <c r="U23" i="7"/>
  <c r="AB47" i="7"/>
  <c r="I235" i="5"/>
  <c r="J235" i="5" s="1"/>
  <c r="H235" i="5"/>
  <c r="AD46" i="7"/>
  <c r="AD52" i="7"/>
  <c r="AD73" i="7"/>
  <c r="AD34" i="7"/>
  <c r="AD49" i="7"/>
  <c r="E226" i="5"/>
  <c r="D226" i="5"/>
  <c r="G226" i="5" s="1"/>
  <c r="C226" i="5"/>
  <c r="B226" i="5"/>
  <c r="C239" i="5"/>
  <c r="F239" i="5" s="1"/>
  <c r="B246" i="5"/>
  <c r="E250" i="5"/>
  <c r="D250" i="5"/>
  <c r="C250" i="5"/>
  <c r="B250" i="5"/>
  <c r="AI2" i="7"/>
  <c r="AI6" i="7"/>
  <c r="AI10" i="7"/>
  <c r="D21" i="7"/>
  <c r="F21" i="7" s="1"/>
  <c r="AD87" i="7" s="1"/>
  <c r="AE76" i="7"/>
  <c r="W23" i="7"/>
  <c r="K33" i="7"/>
  <c r="B140" i="5"/>
  <c r="C140" i="5"/>
  <c r="I163" i="5"/>
  <c r="J163" i="5" s="1"/>
  <c r="H181" i="5"/>
  <c r="E209" i="5"/>
  <c r="D209" i="5"/>
  <c r="E233" i="5"/>
  <c r="D233" i="5"/>
  <c r="C246" i="5"/>
  <c r="N81" i="7"/>
  <c r="N67" i="7"/>
  <c r="N65" i="7"/>
  <c r="N63" i="7"/>
  <c r="N80" i="7"/>
  <c r="N79" i="7"/>
  <c r="N75" i="7"/>
  <c r="N71" i="7"/>
  <c r="E5" i="7"/>
  <c r="G5" i="7" s="1"/>
  <c r="N91" i="7" s="1"/>
  <c r="N36" i="7"/>
  <c r="N33" i="7"/>
  <c r="N30" i="7"/>
  <c r="N25" i="7"/>
  <c r="N19" i="7"/>
  <c r="N88" i="7"/>
  <c r="N83" i="7"/>
  <c r="N74" i="7"/>
  <c r="N52" i="7"/>
  <c r="N58" i="7"/>
  <c r="N50" i="7"/>
  <c r="N43" i="7"/>
  <c r="N34" i="7"/>
  <c r="N70" i="7"/>
  <c r="N54" i="7"/>
  <c r="N3" i="7"/>
  <c r="N62" i="7"/>
  <c r="N49" i="7"/>
  <c r="N40" i="7"/>
  <c r="N31" i="7"/>
  <c r="N44" i="7"/>
  <c r="N41" i="7"/>
  <c r="N32" i="7"/>
  <c r="M8" i="7"/>
  <c r="R68" i="7"/>
  <c r="R28" i="7"/>
  <c r="R26" i="7"/>
  <c r="R15" i="7"/>
  <c r="R53" i="7"/>
  <c r="V89" i="7"/>
  <c r="V88" i="7"/>
  <c r="V77" i="7"/>
  <c r="V70" i="7"/>
  <c r="V73" i="7"/>
  <c r="V76" i="7"/>
  <c r="E13" i="7"/>
  <c r="G13" i="7" s="1"/>
  <c r="V90" i="7" s="1"/>
  <c r="V62" i="7"/>
  <c r="V60" i="7"/>
  <c r="V58" i="7"/>
  <c r="V56" i="7"/>
  <c r="V29" i="7"/>
  <c r="V27" i="7"/>
  <c r="V91" i="7"/>
  <c r="V81" i="7"/>
  <c r="V40" i="7"/>
  <c r="V37" i="7"/>
  <c r="V34" i="7"/>
  <c r="V31" i="7"/>
  <c r="V72" i="7"/>
  <c r="V51" i="7"/>
  <c r="V50" i="7"/>
  <c r="V83" i="7"/>
  <c r="V41" i="7"/>
  <c r="V38" i="7"/>
  <c r="V35" i="7"/>
  <c r="V32" i="7"/>
  <c r="V59" i="7"/>
  <c r="V54" i="7"/>
  <c r="V16" i="7"/>
  <c r="V80" i="7"/>
  <c r="V79" i="7"/>
  <c r="V61" i="7"/>
  <c r="V42" i="7"/>
  <c r="V33" i="7"/>
  <c r="V13" i="7"/>
  <c r="V5" i="7"/>
  <c r="V84" i="7"/>
  <c r="V74" i="7"/>
  <c r="V48" i="7"/>
  <c r="V39" i="7"/>
  <c r="V69" i="7"/>
  <c r="V57" i="7"/>
  <c r="V55" i="7"/>
  <c r="AE17" i="7"/>
  <c r="AE37" i="7"/>
  <c r="AE89" i="7"/>
  <c r="AE15" i="7"/>
  <c r="AE11" i="7"/>
  <c r="AE7" i="7"/>
  <c r="AE12" i="7"/>
  <c r="AE8" i="7"/>
  <c r="AE4" i="7"/>
  <c r="AE51" i="7"/>
  <c r="AE82" i="7"/>
  <c r="AE40" i="7"/>
  <c r="AE36" i="7"/>
  <c r="W25" i="7"/>
  <c r="AD27" i="7"/>
  <c r="O52" i="7"/>
  <c r="I143" i="5"/>
  <c r="B182" i="5"/>
  <c r="C182" i="5"/>
  <c r="I199" i="5"/>
  <c r="I205" i="5"/>
  <c r="H205" i="5"/>
  <c r="F209" i="5"/>
  <c r="I209" i="5"/>
  <c r="I229" i="5"/>
  <c r="J229" i="5" s="1"/>
  <c r="H229" i="5"/>
  <c r="B233" i="5"/>
  <c r="D246" i="5"/>
  <c r="G246" i="5" s="1"/>
  <c r="C5" i="7"/>
  <c r="N86" i="7" s="1"/>
  <c r="N8" i="7"/>
  <c r="C9" i="7"/>
  <c r="R89" i="7" s="1"/>
  <c r="AB9" i="7"/>
  <c r="Q10" i="7"/>
  <c r="C13" i="7"/>
  <c r="V64" i="7" s="1"/>
  <c r="AB13" i="7"/>
  <c r="N16" i="7"/>
  <c r="C17" i="7"/>
  <c r="AF17" i="7"/>
  <c r="W18" i="7"/>
  <c r="K19" i="7"/>
  <c r="D22" i="7"/>
  <c r="F22" i="7" s="1"/>
  <c r="AE48" i="7" s="1"/>
  <c r="AI33" i="7"/>
  <c r="AB56" i="7"/>
  <c r="V82" i="7"/>
  <c r="I216" i="5"/>
  <c r="F216" i="5"/>
  <c r="H216" i="5" s="1"/>
  <c r="E220" i="5"/>
  <c r="D220" i="5"/>
  <c r="C220" i="5"/>
  <c r="B220" i="5"/>
  <c r="F235" i="5"/>
  <c r="I240" i="5"/>
  <c r="F240" i="5"/>
  <c r="H240" i="5" s="1"/>
  <c r="E244" i="5"/>
  <c r="D244" i="5"/>
  <c r="C244" i="5"/>
  <c r="B244" i="5"/>
  <c r="S2" i="7"/>
  <c r="AH3" i="7"/>
  <c r="S6" i="7"/>
  <c r="AH7" i="7"/>
  <c r="O8" i="7"/>
  <c r="D9" i="7"/>
  <c r="F9" i="7" s="1"/>
  <c r="R78" i="7" s="1"/>
  <c r="AC9" i="7"/>
  <c r="S10" i="7"/>
  <c r="O12" i="7"/>
  <c r="D13" i="7"/>
  <c r="F13" i="7" s="1"/>
  <c r="V85" i="7" s="1"/>
  <c r="AH15" i="7"/>
  <c r="O16" i="7"/>
  <c r="V19" i="7"/>
  <c r="AF29" i="7"/>
  <c r="Y25" i="7"/>
  <c r="AC26" i="7"/>
  <c r="AI27" i="7"/>
  <c r="AH36" i="7"/>
  <c r="AB78" i="7"/>
  <c r="E203" i="5"/>
  <c r="D203" i="5"/>
  <c r="G203" i="5" s="1"/>
  <c r="E227" i="5"/>
  <c r="D227" i="5"/>
  <c r="E251" i="5"/>
  <c r="D251" i="5"/>
  <c r="AI7" i="7"/>
  <c r="AI11" i="7"/>
  <c r="AI15" i="7"/>
  <c r="AH17" i="7"/>
  <c r="W19" i="7"/>
  <c r="V20" i="7"/>
  <c r="AC25" i="7"/>
  <c r="N29" i="7"/>
  <c r="K42" i="7"/>
  <c r="E184" i="5"/>
  <c r="D184" i="5"/>
  <c r="C184" i="5"/>
  <c r="F184" i="5" s="1"/>
  <c r="B203" i="5"/>
  <c r="G216" i="5"/>
  <c r="I223" i="5"/>
  <c r="H223" i="5"/>
  <c r="B227" i="5"/>
  <c r="G240" i="5"/>
  <c r="I247" i="5"/>
  <c r="J247" i="5" s="1"/>
  <c r="H247" i="5"/>
  <c r="B251" i="5"/>
  <c r="AI17" i="7"/>
  <c r="W20" i="7"/>
  <c r="U21" i="7"/>
  <c r="AF61" i="7"/>
  <c r="AF15" i="7"/>
  <c r="AF73" i="7"/>
  <c r="AF22" i="7"/>
  <c r="AF48" i="7"/>
  <c r="AF21" i="7"/>
  <c r="AF28" i="7"/>
  <c r="AF82" i="7"/>
  <c r="AF38" i="7"/>
  <c r="AF85" i="7"/>
  <c r="AF42" i="7"/>
  <c r="AG85" i="7"/>
  <c r="AH82" i="7"/>
  <c r="AI86" i="7"/>
  <c r="S42" i="7"/>
  <c r="AH53" i="7"/>
  <c r="E159" i="5"/>
  <c r="G159" i="5" s="1"/>
  <c r="E165" i="5"/>
  <c r="G165" i="5" s="1"/>
  <c r="H165" i="5" s="1"/>
  <c r="J165" i="5" s="1"/>
  <c r="E171" i="5"/>
  <c r="G171" i="5" s="1"/>
  <c r="H171" i="5" s="1"/>
  <c r="J171" i="5" s="1"/>
  <c r="E177" i="5"/>
  <c r="G177" i="5" s="1"/>
  <c r="H177" i="5" s="1"/>
  <c r="J177" i="5" s="1"/>
  <c r="E183" i="5"/>
  <c r="G183" i="5" s="1"/>
  <c r="C188" i="5"/>
  <c r="F188" i="5" s="1"/>
  <c r="H188" i="5" s="1"/>
  <c r="J188" i="5" s="1"/>
  <c r="E189" i="5"/>
  <c r="G189" i="5" s="1"/>
  <c r="C194" i="5"/>
  <c r="F194" i="5" s="1"/>
  <c r="H194" i="5" s="1"/>
  <c r="E195" i="5"/>
  <c r="C200" i="5"/>
  <c r="F200" i="5" s="1"/>
  <c r="H200" i="5" s="1"/>
  <c r="E201" i="5"/>
  <c r="G201" i="5" s="1"/>
  <c r="C206" i="5"/>
  <c r="F206" i="5" s="1"/>
  <c r="H206" i="5" s="1"/>
  <c r="E207" i="5"/>
  <c r="G207" i="5" s="1"/>
  <c r="C212" i="5"/>
  <c r="F212" i="5" s="1"/>
  <c r="H212" i="5" s="1"/>
  <c r="J212" i="5" s="1"/>
  <c r="E213" i="5"/>
  <c r="G213" i="5" s="1"/>
  <c r="C218" i="5"/>
  <c r="F218" i="5" s="1"/>
  <c r="H218" i="5" s="1"/>
  <c r="J218" i="5" s="1"/>
  <c r="E219" i="5"/>
  <c r="G219" i="5" s="1"/>
  <c r="C224" i="5"/>
  <c r="F224" i="5" s="1"/>
  <c r="H224" i="5" s="1"/>
  <c r="E225" i="5"/>
  <c r="G225" i="5" s="1"/>
  <c r="C230" i="5"/>
  <c r="F230" i="5" s="1"/>
  <c r="H230" i="5" s="1"/>
  <c r="E231" i="5"/>
  <c r="G231" i="5" s="1"/>
  <c r="C236" i="5"/>
  <c r="F236" i="5" s="1"/>
  <c r="H236" i="5" s="1"/>
  <c r="J236" i="5" s="1"/>
  <c r="E237" i="5"/>
  <c r="C242" i="5"/>
  <c r="F242" i="5" s="1"/>
  <c r="H242" i="5" s="1"/>
  <c r="J242" i="5" s="1"/>
  <c r="E243" i="5"/>
  <c r="G243" i="5" s="1"/>
  <c r="C248" i="5"/>
  <c r="F248" i="5" s="1"/>
  <c r="H248" i="5" s="1"/>
  <c r="J248" i="5" s="1"/>
  <c r="E249" i="5"/>
  <c r="G249" i="5" s="1"/>
  <c r="K85" i="7"/>
  <c r="K88" i="7"/>
  <c r="K90" i="7"/>
  <c r="K83" i="7"/>
  <c r="K76" i="7"/>
  <c r="K80" i="7"/>
  <c r="K72" i="7"/>
  <c r="K69" i="7"/>
  <c r="K67" i="7"/>
  <c r="K65" i="7"/>
  <c r="K63" i="7"/>
  <c r="K61" i="7"/>
  <c r="K59" i="7"/>
  <c r="K57" i="7"/>
  <c r="E2" i="7"/>
  <c r="G2" i="7" s="1"/>
  <c r="K29" i="7" s="1"/>
  <c r="K53" i="7"/>
  <c r="K52" i="7"/>
  <c r="K71" i="7"/>
  <c r="K78" i="7"/>
  <c r="K55" i="7"/>
  <c r="K54" i="7"/>
  <c r="K87" i="7"/>
  <c r="O87" i="7"/>
  <c r="O86" i="7"/>
  <c r="O82" i="7"/>
  <c r="O81" i="7"/>
  <c r="O69" i="7"/>
  <c r="O67" i="7"/>
  <c r="O65" i="7"/>
  <c r="O63" i="7"/>
  <c r="O57" i="7"/>
  <c r="O55" i="7"/>
  <c r="O53" i="7"/>
  <c r="O51" i="7"/>
  <c r="O49" i="7"/>
  <c r="O47" i="7"/>
  <c r="O45" i="7"/>
  <c r="O43" i="7"/>
  <c r="O41" i="7"/>
  <c r="O39" i="7"/>
  <c r="O37" i="7"/>
  <c r="O35" i="7"/>
  <c r="O33" i="7"/>
  <c r="O72" i="7"/>
  <c r="O91" i="7"/>
  <c r="O80" i="7"/>
  <c r="O79" i="7"/>
  <c r="O75" i="7"/>
  <c r="O78" i="7"/>
  <c r="O71" i="7"/>
  <c r="O54" i="7"/>
  <c r="E6" i="7"/>
  <c r="G6" i="7" s="1"/>
  <c r="O17" i="7" s="1"/>
  <c r="O85" i="7"/>
  <c r="O30" i="7"/>
  <c r="O28" i="7"/>
  <c r="O26" i="7"/>
  <c r="O25" i="7"/>
  <c r="O24" i="7"/>
  <c r="O23" i="7"/>
  <c r="O22" i="7"/>
  <c r="O21" i="7"/>
  <c r="O20" i="7"/>
  <c r="O68" i="7"/>
  <c r="O66" i="7"/>
  <c r="O64" i="7"/>
  <c r="O62" i="7"/>
  <c r="O60" i="7"/>
  <c r="O58" i="7"/>
  <c r="O56" i="7"/>
  <c r="O90" i="7"/>
  <c r="S83" i="7"/>
  <c r="S79" i="7"/>
  <c r="S77" i="7"/>
  <c r="S75" i="7"/>
  <c r="S71" i="7"/>
  <c r="S86" i="7"/>
  <c r="S78" i="7"/>
  <c r="S87" i="7"/>
  <c r="S74" i="7"/>
  <c r="S68" i="7"/>
  <c r="S66" i="7"/>
  <c r="S64" i="7"/>
  <c r="S58" i="7"/>
  <c r="S56" i="7"/>
  <c r="S54" i="7"/>
  <c r="S52" i="7"/>
  <c r="S50" i="7"/>
  <c r="S88" i="7"/>
  <c r="S70" i="7"/>
  <c r="S85" i="7"/>
  <c r="S82" i="7"/>
  <c r="E10" i="7"/>
  <c r="G10" i="7" s="1"/>
  <c r="S81" i="7" s="1"/>
  <c r="S47" i="7"/>
  <c r="S41" i="7"/>
  <c r="S35" i="7"/>
  <c r="S90" i="7"/>
  <c r="S84" i="7"/>
  <c r="S91" i="7"/>
  <c r="S89" i="7"/>
  <c r="S55" i="7"/>
  <c r="S30" i="7"/>
  <c r="S28" i="7"/>
  <c r="S26" i="7"/>
  <c r="S25" i="7"/>
  <c r="S23" i="7"/>
  <c r="S20" i="7"/>
  <c r="S19" i="7"/>
  <c r="S18" i="7"/>
  <c r="S17" i="7"/>
  <c r="W85" i="7"/>
  <c r="W70" i="7"/>
  <c r="W82" i="7"/>
  <c r="W69" i="7"/>
  <c r="W67" i="7"/>
  <c r="W65" i="7"/>
  <c r="W63" i="7"/>
  <c r="W59" i="7"/>
  <c r="E14" i="7"/>
  <c r="G14" i="7" s="1"/>
  <c r="W8" i="7" s="1"/>
  <c r="W91" i="7"/>
  <c r="W49" i="7"/>
  <c r="W46" i="7"/>
  <c r="W43" i="7"/>
  <c r="W40" i="7"/>
  <c r="W37" i="7"/>
  <c r="W31" i="7"/>
  <c r="W51" i="7"/>
  <c r="W50" i="7"/>
  <c r="W87" i="7"/>
  <c r="W16" i="7"/>
  <c r="AB83" i="7"/>
  <c r="K37" i="7"/>
  <c r="AA40" i="7"/>
  <c r="K46" i="7"/>
  <c r="X47" i="7"/>
  <c r="O48" i="7"/>
  <c r="W53" i="7"/>
  <c r="K64" i="7"/>
  <c r="S67" i="7"/>
  <c r="W68" i="7"/>
  <c r="AA71" i="7"/>
  <c r="W78" i="7"/>
  <c r="X79" i="7"/>
  <c r="K2" i="7"/>
  <c r="K6" i="7"/>
  <c r="K10" i="7"/>
  <c r="W17" i="7"/>
  <c r="O18" i="7"/>
  <c r="K20" i="7"/>
  <c r="K26" i="7"/>
  <c r="AA32" i="7"/>
  <c r="K36" i="7"/>
  <c r="K45" i="7"/>
  <c r="S80" i="7"/>
  <c r="O7" i="7"/>
  <c r="S8" i="7"/>
  <c r="O11" i="7"/>
  <c r="S12" i="7"/>
  <c r="O15" i="7"/>
  <c r="S16" i="7"/>
  <c r="K25" i="7"/>
  <c r="S27" i="7"/>
  <c r="K28" i="7"/>
  <c r="K34" i="7"/>
  <c r="O36" i="7"/>
  <c r="K43" i="7"/>
  <c r="AA46" i="7"/>
  <c r="S53" i="7"/>
  <c r="K56" i="7"/>
  <c r="S59" i="7"/>
  <c r="W60" i="7"/>
  <c r="K68" i="7"/>
  <c r="W71" i="7"/>
  <c r="K79" i="7"/>
  <c r="O83" i="7"/>
  <c r="B183" i="5"/>
  <c r="B189" i="5"/>
  <c r="B195" i="5"/>
  <c r="B201" i="5"/>
  <c r="B207" i="5"/>
  <c r="B213" i="5"/>
  <c r="B219" i="5"/>
  <c r="B225" i="5"/>
  <c r="B231" i="5"/>
  <c r="B237" i="5"/>
  <c r="B243" i="5"/>
  <c r="B249" i="5"/>
  <c r="L69" i="7"/>
  <c r="X82" i="7"/>
  <c r="X80" i="7"/>
  <c r="X59" i="7"/>
  <c r="X57" i="7"/>
  <c r="E15" i="7"/>
  <c r="G15" i="7" s="1"/>
  <c r="X91" i="7"/>
  <c r="K17" i="7"/>
  <c r="AA91" i="7"/>
  <c r="AA84" i="7"/>
  <c r="AA83" i="7"/>
  <c r="AA76" i="7"/>
  <c r="AA57" i="7"/>
  <c r="AA55" i="7"/>
  <c r="AA53" i="7"/>
  <c r="AA51" i="7"/>
  <c r="AA49" i="7"/>
  <c r="AA47" i="7"/>
  <c r="AA33" i="7"/>
  <c r="AA31" i="7"/>
  <c r="AA90" i="7"/>
  <c r="AA85" i="7"/>
  <c r="AA82" i="7"/>
  <c r="AA81" i="7"/>
  <c r="E18" i="7"/>
  <c r="G18" i="7" s="1"/>
  <c r="AA48" i="7"/>
  <c r="AA42" i="7"/>
  <c r="AA36" i="7"/>
  <c r="AA54" i="7"/>
  <c r="AA30" i="7"/>
  <c r="AA21" i="7"/>
  <c r="AA20" i="7"/>
  <c r="AA19" i="7"/>
  <c r="AA18" i="7"/>
  <c r="AA89" i="7"/>
  <c r="AA87" i="7"/>
  <c r="W27" i="7"/>
  <c r="S29" i="7"/>
  <c r="K30" i="7"/>
  <c r="S31" i="7"/>
  <c r="K32" i="7"/>
  <c r="W33" i="7"/>
  <c r="O38" i="7"/>
  <c r="K41" i="7"/>
  <c r="S45" i="7"/>
  <c r="S49" i="7"/>
  <c r="AA52" i="7"/>
  <c r="O70" i="7"/>
  <c r="C189" i="5"/>
  <c r="C195" i="5"/>
  <c r="C201" i="5"/>
  <c r="C207" i="5"/>
  <c r="C213" i="5"/>
  <c r="C219" i="5"/>
  <c r="C225" i="5"/>
  <c r="C231" i="5"/>
  <c r="C237" i="5"/>
  <c r="C243" i="5"/>
  <c r="C249" i="5"/>
  <c r="C3" i="7"/>
  <c r="K5" i="7"/>
  <c r="C7" i="7"/>
  <c r="K9" i="7"/>
  <c r="C11" i="7"/>
  <c r="K13" i="7"/>
  <c r="X13" i="7"/>
  <c r="C15" i="7"/>
  <c r="C18" i="7"/>
  <c r="AA58" i="7" s="1"/>
  <c r="K23" i="7"/>
  <c r="W29" i="7"/>
  <c r="O34" i="7"/>
  <c r="S36" i="7"/>
  <c r="S38" i="7"/>
  <c r="S40" i="7"/>
  <c r="O50" i="7"/>
  <c r="S57" i="7"/>
  <c r="W58" i="7"/>
  <c r="K66" i="7"/>
  <c r="S69" i="7"/>
  <c r="K77" i="7"/>
  <c r="O2" i="7"/>
  <c r="D3" i="7"/>
  <c r="F3" i="7" s="1"/>
  <c r="L89" i="7" s="1"/>
  <c r="S3" i="7"/>
  <c r="O6" i="7"/>
  <c r="S7" i="7"/>
  <c r="O10" i="7"/>
  <c r="S11" i="7"/>
  <c r="O14" i="7"/>
  <c r="D15" i="7"/>
  <c r="F15" i="7" s="1"/>
  <c r="X58" i="7" s="1"/>
  <c r="S15" i="7"/>
  <c r="AA17" i="7"/>
  <c r="D18" i="7"/>
  <c r="F18" i="7" s="1"/>
  <c r="AA67" i="7" s="1"/>
  <c r="W38" i="7"/>
  <c r="K39" i="7"/>
  <c r="X40" i="7"/>
  <c r="AA44" i="7"/>
  <c r="K48" i="7"/>
  <c r="K75" i="7"/>
  <c r="AE20" i="7"/>
  <c r="AE22" i="7"/>
  <c r="AE23" i="7"/>
  <c r="AE24" i="7"/>
  <c r="AE25" i="7"/>
  <c r="AE26" i="7"/>
  <c r="AE28" i="7"/>
  <c r="AE30" i="7"/>
  <c r="AI32" i="7"/>
  <c r="AI35" i="7"/>
  <c r="AI38" i="7"/>
  <c r="AE39" i="7"/>
  <c r="AI41" i="7"/>
  <c r="AD42" i="7"/>
  <c r="AI44" i="7"/>
  <c r="AE45" i="7"/>
  <c r="AI47" i="7"/>
  <c r="AF53" i="7"/>
  <c r="AH55" i="7"/>
  <c r="AH59" i="7"/>
  <c r="AH61" i="7"/>
  <c r="AH63" i="7"/>
  <c r="AH65" i="7"/>
  <c r="AH67" i="7"/>
  <c r="AI69" i="7"/>
  <c r="AG72" i="7"/>
  <c r="AI80" i="7"/>
  <c r="AF84" i="7"/>
  <c r="AG90" i="7"/>
  <c r="AE85" i="7"/>
  <c r="AB88" i="7"/>
  <c r="AH85" i="7"/>
  <c r="AH31" i="7"/>
  <c r="AH34" i="7"/>
  <c r="AH37" i="7"/>
  <c r="AC38" i="7"/>
  <c r="AH40" i="7"/>
  <c r="AD41" i="7"/>
  <c r="AH43" i="7"/>
  <c r="AH46" i="7"/>
  <c r="AC59" i="7"/>
  <c r="AC61" i="7"/>
  <c r="AC63" i="7"/>
  <c r="AC65" i="7"/>
  <c r="AC67" i="7"/>
  <c r="AH71" i="7"/>
  <c r="AH79" i="7"/>
  <c r="AI85" i="7"/>
  <c r="AB87" i="7"/>
  <c r="AB85" i="7"/>
  <c r="AB82" i="7"/>
  <c r="AB72" i="7"/>
  <c r="AB80" i="7"/>
  <c r="AC81" i="7"/>
  <c r="AC72" i="7"/>
  <c r="AC86" i="7"/>
  <c r="AC84" i="7"/>
  <c r="AC75" i="7"/>
  <c r="AC80" i="7"/>
  <c r="AC64" i="7"/>
  <c r="AC62" i="7"/>
  <c r="AC60" i="7"/>
  <c r="AC58" i="7"/>
  <c r="AC56" i="7"/>
  <c r="AD91" i="7"/>
  <c r="AD84" i="7"/>
  <c r="AD75" i="7"/>
  <c r="AD80" i="7"/>
  <c r="AD71" i="7"/>
  <c r="AD74" i="7"/>
  <c r="AE90" i="7"/>
  <c r="AE81" i="7"/>
  <c r="AE79" i="7"/>
  <c r="AE77" i="7"/>
  <c r="AE75" i="7"/>
  <c r="AE69" i="7"/>
  <c r="AE86" i="7"/>
  <c r="AE80" i="7"/>
  <c r="AE78" i="7"/>
  <c r="AE68" i="7"/>
  <c r="AE66" i="7"/>
  <c r="AE64" i="7"/>
  <c r="AE62" i="7"/>
  <c r="AE60" i="7"/>
  <c r="AE54" i="7"/>
  <c r="AE50" i="7"/>
  <c r="AE91" i="7"/>
  <c r="AE74" i="7"/>
  <c r="AE87" i="7"/>
  <c r="AF83" i="7"/>
  <c r="AF86" i="7"/>
  <c r="AF78" i="7"/>
  <c r="AF68" i="7"/>
  <c r="AF64" i="7"/>
  <c r="AF60" i="7"/>
  <c r="AF58" i="7"/>
  <c r="AF56" i="7"/>
  <c r="AF54" i="7"/>
  <c r="AF52" i="7"/>
  <c r="AF87" i="7"/>
  <c r="AG87" i="7"/>
  <c r="AG79" i="7"/>
  <c r="AG78" i="7"/>
  <c r="AG54" i="7"/>
  <c r="AG52" i="7"/>
  <c r="AG50" i="7"/>
  <c r="AG48" i="7"/>
  <c r="AG36" i="7"/>
  <c r="AG74" i="7"/>
  <c r="AG77" i="7"/>
  <c r="AG70" i="7"/>
  <c r="AH89" i="7"/>
  <c r="AH74" i="7"/>
  <c r="AH87" i="7"/>
  <c r="AH77" i="7"/>
  <c r="AH70" i="7"/>
  <c r="AH88" i="7"/>
  <c r="AH73" i="7"/>
  <c r="AI89" i="7"/>
  <c r="AI90" i="7"/>
  <c r="AI91" i="7"/>
  <c r="AI87" i="7"/>
  <c r="AI77" i="7"/>
  <c r="AI70" i="7"/>
  <c r="AI88" i="7"/>
  <c r="AI76" i="7"/>
  <c r="AI67" i="7"/>
  <c r="AI65" i="7"/>
  <c r="AI63" i="7"/>
  <c r="AI61" i="7"/>
  <c r="AI59" i="7"/>
  <c r="AI57" i="7"/>
  <c r="AI55" i="7"/>
  <c r="AI34" i="7"/>
  <c r="AI37" i="7"/>
  <c r="AI40" i="7"/>
  <c r="AE41" i="7"/>
  <c r="AI43" i="7"/>
  <c r="AD44" i="7"/>
  <c r="AI46" i="7"/>
  <c r="AE47" i="7"/>
  <c r="AB53" i="7"/>
  <c r="AD57" i="7"/>
  <c r="AD65" i="7"/>
  <c r="AD67" i="7"/>
  <c r="AD69" i="7"/>
  <c r="AI71" i="7"/>
  <c r="AI79" i="7"/>
  <c r="AB89" i="7"/>
  <c r="AB26" i="7"/>
  <c r="AH27" i="7"/>
  <c r="AB28" i="7"/>
  <c r="AH29" i="7"/>
  <c r="AF35" i="7"/>
  <c r="AE38" i="7"/>
  <c r="AF41" i="7"/>
  <c r="AE44" i="7"/>
  <c r="AF47" i="7"/>
  <c r="AE63" i="7"/>
  <c r="AE65" i="7"/>
  <c r="AE67" i="7"/>
  <c r="AF69" i="7"/>
  <c r="AD72" i="7"/>
  <c r="AC74" i="7"/>
  <c r="AD5" i="7"/>
  <c r="AD6" i="7"/>
  <c r="AD7" i="7"/>
  <c r="AD8" i="7"/>
  <c r="AD10" i="7"/>
  <c r="AD17" i="7"/>
  <c r="AD18" i="7"/>
  <c r="E19" i="7"/>
  <c r="G19" i="7" s="1"/>
  <c r="AB14" i="7" s="1"/>
  <c r="AD19" i="7"/>
  <c r="E20" i="7"/>
  <c r="G20" i="7" s="1"/>
  <c r="E21" i="7"/>
  <c r="G21" i="7" s="1"/>
  <c r="AD76" i="7" s="1"/>
  <c r="E22" i="7"/>
  <c r="G22" i="7" s="1"/>
  <c r="AE43" i="7" s="1"/>
  <c r="E23" i="7"/>
  <c r="G23" i="7" s="1"/>
  <c r="AF27" i="7" s="1"/>
  <c r="E24" i="7"/>
  <c r="G24" i="7" s="1"/>
  <c r="AG73" i="7" s="1"/>
  <c r="AD24" i="7"/>
  <c r="E25" i="7"/>
  <c r="G25" i="7" s="1"/>
  <c r="AH54" i="7" s="1"/>
  <c r="AD25" i="7"/>
  <c r="E26" i="7"/>
  <c r="G26" i="7" s="1"/>
  <c r="AH35" i="7"/>
  <c r="AC36" i="7"/>
  <c r="AH38" i="7"/>
  <c r="AD39" i="7"/>
  <c r="AH41" i="7"/>
  <c r="AC42" i="7"/>
  <c r="AH44" i="7"/>
  <c r="AH47" i="7"/>
  <c r="AE53" i="7"/>
  <c r="AD54" i="7"/>
  <c r="AG55" i="7"/>
  <c r="AG57" i="7"/>
  <c r="AG59" i="7"/>
  <c r="AG61" i="7"/>
  <c r="AG67" i="7"/>
  <c r="AH69" i="7"/>
  <c r="AF72" i="7"/>
  <c r="AH80" i="7"/>
  <c r="AI83" i="7"/>
  <c r="AE84" i="7"/>
  <c r="AF89" i="7"/>
  <c r="AF90" i="7"/>
  <c r="E21" i="10"/>
  <c r="D21" i="10"/>
  <c r="C21" i="10"/>
  <c r="D142" i="10"/>
  <c r="C142" i="10"/>
  <c r="E15" i="10"/>
  <c r="D15" i="10"/>
  <c r="C15" i="10"/>
  <c r="E55" i="10"/>
  <c r="D55" i="10"/>
  <c r="E67" i="10"/>
  <c r="D67" i="10"/>
  <c r="E79" i="10"/>
  <c r="D79" i="10"/>
  <c r="C79" i="10"/>
  <c r="D190" i="10"/>
  <c r="C190" i="10"/>
  <c r="E9" i="10"/>
  <c r="D9" i="10"/>
  <c r="C9" i="10"/>
  <c r="E25" i="10"/>
  <c r="D25" i="10"/>
  <c r="C25" i="10"/>
  <c r="C55" i="10"/>
  <c r="C67" i="10"/>
  <c r="E190" i="10"/>
  <c r="E19" i="10"/>
  <c r="D19" i="10"/>
  <c r="C19" i="10"/>
  <c r="E172" i="10"/>
  <c r="D172" i="10"/>
  <c r="C172" i="10"/>
  <c r="E13" i="10"/>
  <c r="D13" i="10"/>
  <c r="C13" i="10"/>
  <c r="E122" i="10"/>
  <c r="D122" i="10"/>
  <c r="C122" i="10"/>
  <c r="E53" i="10"/>
  <c r="D53" i="10"/>
  <c r="C53" i="10"/>
  <c r="E105" i="10"/>
  <c r="D105" i="10"/>
  <c r="C111" i="10"/>
  <c r="E111" i="10"/>
  <c r="D111" i="10"/>
  <c r="C4" i="10"/>
  <c r="G4" i="10" s="1"/>
  <c r="E4" i="10"/>
  <c r="E7" i="10"/>
  <c r="D7" i="10"/>
  <c r="C7" i="10"/>
  <c r="E41" i="10"/>
  <c r="D41" i="10"/>
  <c r="C41" i="10"/>
  <c r="E81" i="10"/>
  <c r="D81" i="10"/>
  <c r="E93" i="10"/>
  <c r="D93" i="10"/>
  <c r="C105" i="10"/>
  <c r="D4" i="10"/>
  <c r="H4" i="10" s="1"/>
  <c r="D166" i="10"/>
  <c r="C166" i="10"/>
  <c r="E166" i="10"/>
  <c r="E5" i="10"/>
  <c r="D5" i="10"/>
  <c r="H3" i="10" s="1"/>
  <c r="C5" i="10"/>
  <c r="E33" i="10"/>
  <c r="D33" i="10"/>
  <c r="C81" i="10"/>
  <c r="C93" i="10"/>
  <c r="E27" i="10"/>
  <c r="D27" i="10"/>
  <c r="C27" i="10"/>
  <c r="E148" i="10"/>
  <c r="D148" i="10"/>
  <c r="C148" i="10"/>
  <c r="E101" i="10"/>
  <c r="D101" i="10"/>
  <c r="C101" i="10"/>
  <c r="E196" i="10"/>
  <c r="D196" i="10"/>
  <c r="E31" i="10"/>
  <c r="D31" i="10"/>
  <c r="E45" i="10"/>
  <c r="D45" i="10"/>
  <c r="E65" i="10"/>
  <c r="D65" i="10"/>
  <c r="C65" i="10"/>
  <c r="E91" i="10"/>
  <c r="D91" i="10"/>
  <c r="H6" i="10" s="1"/>
  <c r="E103" i="10"/>
  <c r="D103" i="10"/>
  <c r="C182" i="10"/>
  <c r="E182" i="10"/>
  <c r="D182" i="10"/>
  <c r="C206" i="10"/>
  <c r="E206" i="10"/>
  <c r="D206" i="10"/>
  <c r="C31" i="10"/>
  <c r="C45" i="10"/>
  <c r="E57" i="10"/>
  <c r="D57" i="10"/>
  <c r="E77" i="10"/>
  <c r="D77" i="10"/>
  <c r="C77" i="10"/>
  <c r="C91" i="10"/>
  <c r="C134" i="10"/>
  <c r="E134" i="10"/>
  <c r="D134" i="10"/>
  <c r="C174" i="10"/>
  <c r="I4" i="10"/>
  <c r="E11" i="10"/>
  <c r="D11" i="10"/>
  <c r="C11" i="10"/>
  <c r="E17" i="10"/>
  <c r="D17" i="10"/>
  <c r="C17" i="10"/>
  <c r="E23" i="10"/>
  <c r="D23" i="10"/>
  <c r="C23" i="10"/>
  <c r="E29" i="10"/>
  <c r="D29" i="10"/>
  <c r="C103" i="10"/>
  <c r="E116" i="10"/>
  <c r="C116" i="10"/>
  <c r="D174" i="10"/>
  <c r="E43" i="10"/>
  <c r="D43" i="10"/>
  <c r="E69" i="10"/>
  <c r="D69" i="10"/>
  <c r="E89" i="10"/>
  <c r="D89" i="10"/>
  <c r="C89" i="10"/>
  <c r="C150" i="10"/>
  <c r="D115" i="10"/>
  <c r="D128" i="10"/>
  <c r="E168" i="10"/>
  <c r="D168" i="10"/>
  <c r="C168" i="10"/>
  <c r="E39" i="10"/>
  <c r="D39" i="10"/>
  <c r="E51" i="10"/>
  <c r="D51" i="10"/>
  <c r="E63" i="10"/>
  <c r="D63" i="10"/>
  <c r="E75" i="10"/>
  <c r="D75" i="10"/>
  <c r="E87" i="10"/>
  <c r="D87" i="10"/>
  <c r="E99" i="10"/>
  <c r="D99" i="10"/>
  <c r="E120" i="10"/>
  <c r="D120" i="10"/>
  <c r="E140" i="10"/>
  <c r="C140" i="10"/>
  <c r="E194" i="10"/>
  <c r="D194" i="10"/>
  <c r="D117" i="10"/>
  <c r="D158" i="10"/>
  <c r="E170" i="10"/>
  <c r="D170" i="10"/>
  <c r="E37" i="10"/>
  <c r="D37" i="10"/>
  <c r="C39" i="10"/>
  <c r="E49" i="10"/>
  <c r="D49" i="10"/>
  <c r="C51" i="10"/>
  <c r="E61" i="10"/>
  <c r="D61" i="10"/>
  <c r="C63" i="10"/>
  <c r="E73" i="10"/>
  <c r="D73" i="10"/>
  <c r="C75" i="10"/>
  <c r="E85" i="10"/>
  <c r="D85" i="10"/>
  <c r="E97" i="10"/>
  <c r="D97" i="10"/>
  <c r="C99" i="10"/>
  <c r="C109" i="10"/>
  <c r="E109" i="10"/>
  <c r="E117" i="10"/>
  <c r="C120" i="10"/>
  <c r="D140" i="10"/>
  <c r="E158" i="10"/>
  <c r="E35" i="10"/>
  <c r="D35" i="10"/>
  <c r="E47" i="10"/>
  <c r="D47" i="10"/>
  <c r="E59" i="10"/>
  <c r="D59" i="10"/>
  <c r="E71" i="10"/>
  <c r="D71" i="10"/>
  <c r="E83" i="10"/>
  <c r="D83" i="10"/>
  <c r="C85" i="10"/>
  <c r="E95" i="10"/>
  <c r="D95" i="10"/>
  <c r="C97" i="10"/>
  <c r="E107" i="10"/>
  <c r="D107" i="10"/>
  <c r="D109" i="10"/>
  <c r="D118" i="10"/>
  <c r="C118" i="10"/>
  <c r="E144" i="10"/>
  <c r="D144" i="10"/>
  <c r="E192" i="10"/>
  <c r="D192" i="10"/>
  <c r="C192" i="10"/>
  <c r="C164" i="10"/>
  <c r="C188" i="10"/>
  <c r="C112" i="10"/>
  <c r="D114" i="10"/>
  <c r="C136" i="10"/>
  <c r="D138" i="10"/>
  <c r="C160" i="10"/>
  <c r="D162" i="10"/>
  <c r="C184" i="10"/>
  <c r="D186" i="10"/>
  <c r="C208" i="10"/>
  <c r="D210" i="10"/>
  <c r="F244" i="5" l="1"/>
  <c r="I244" i="5"/>
  <c r="I189" i="5"/>
  <c r="F189" i="5"/>
  <c r="H189" i="5" s="1"/>
  <c r="Q20" i="7"/>
  <c r="Q65" i="7"/>
  <c r="Q44" i="7"/>
  <c r="M9" i="7"/>
  <c r="M25" i="7"/>
  <c r="M48" i="7"/>
  <c r="M70" i="7"/>
  <c r="F146" i="5"/>
  <c r="H146" i="5" s="1"/>
  <c r="I146" i="5"/>
  <c r="F53" i="5"/>
  <c r="H53" i="5" s="1"/>
  <c r="I53" i="5"/>
  <c r="G13" i="5"/>
  <c r="H13" i="5" s="1"/>
  <c r="I13" i="5"/>
  <c r="J84" i="5"/>
  <c r="I8" i="5"/>
  <c r="J8" i="5" s="1"/>
  <c r="H8" i="5"/>
  <c r="F8" i="5"/>
  <c r="X63" i="7"/>
  <c r="X84" i="7"/>
  <c r="R17" i="7"/>
  <c r="M18" i="7"/>
  <c r="AB57" i="7"/>
  <c r="AB46" i="7"/>
  <c r="Y60" i="7"/>
  <c r="Y81" i="7"/>
  <c r="M7" i="7"/>
  <c r="F185" i="5"/>
  <c r="I185" i="5"/>
  <c r="I153" i="5"/>
  <c r="I89" i="5"/>
  <c r="F89" i="5"/>
  <c r="H89" i="5" s="1"/>
  <c r="G65" i="5"/>
  <c r="I71" i="5"/>
  <c r="F71" i="5"/>
  <c r="H71" i="5" s="1"/>
  <c r="C178" i="4"/>
  <c r="F178" i="4" s="1"/>
  <c r="J178" i="4"/>
  <c r="G178" i="4"/>
  <c r="I178" i="4" s="1"/>
  <c r="AD16" i="7"/>
  <c r="AD63" i="7"/>
  <c r="AG32" i="7"/>
  <c r="AG89" i="7"/>
  <c r="AD86" i="7"/>
  <c r="AH57" i="7"/>
  <c r="L13" i="7"/>
  <c r="X56" i="7"/>
  <c r="F203" i="5"/>
  <c r="H203" i="5" s="1"/>
  <c r="I203" i="5"/>
  <c r="U20" i="7"/>
  <c r="Y62" i="7"/>
  <c r="F191" i="5"/>
  <c r="H191" i="5" s="1"/>
  <c r="I191" i="5"/>
  <c r="H177" i="4"/>
  <c r="E177" i="4"/>
  <c r="G3" i="10"/>
  <c r="I3" i="10"/>
  <c r="I2" i="10"/>
  <c r="I6" i="10"/>
  <c r="AG63" i="7"/>
  <c r="AI84" i="7"/>
  <c r="AI62" i="7"/>
  <c r="AI30" i="7"/>
  <c r="AI24" i="7"/>
  <c r="AI51" i="7"/>
  <c r="AI81" i="7"/>
  <c r="AI50" i="7"/>
  <c r="AI21" i="7"/>
  <c r="AI3" i="7"/>
  <c r="AI22" i="7"/>
  <c r="AI14" i="7"/>
  <c r="AI29" i="7"/>
  <c r="AC16" i="7"/>
  <c r="AC12" i="7"/>
  <c r="AC8" i="7"/>
  <c r="AC4" i="7"/>
  <c r="AC18" i="7"/>
  <c r="AD9" i="7"/>
  <c r="AG76" i="7"/>
  <c r="AC53" i="7"/>
  <c r="AB74" i="7"/>
  <c r="AG27" i="7"/>
  <c r="AG46" i="7"/>
  <c r="AG71" i="7"/>
  <c r="AF50" i="7"/>
  <c r="AF79" i="7"/>
  <c r="AD78" i="7"/>
  <c r="AD89" i="7"/>
  <c r="AC79" i="7"/>
  <c r="AB79" i="7"/>
  <c r="AC44" i="7"/>
  <c r="AD48" i="7"/>
  <c r="X33" i="7"/>
  <c r="X9" i="7"/>
  <c r="X5" i="7"/>
  <c r="X10" i="7"/>
  <c r="X6" i="7"/>
  <c r="X2" i="7"/>
  <c r="X81" i="7"/>
  <c r="X74" i="7"/>
  <c r="X48" i="7"/>
  <c r="X41" i="7"/>
  <c r="X32" i="7"/>
  <c r="X45" i="7"/>
  <c r="X36" i="7"/>
  <c r="X54" i="7"/>
  <c r="X34" i="7"/>
  <c r="X19" i="7"/>
  <c r="X16" i="7"/>
  <c r="X12" i="7"/>
  <c r="X8" i="7"/>
  <c r="X4" i="7"/>
  <c r="X39" i="7"/>
  <c r="X18" i="7"/>
  <c r="X25" i="7"/>
  <c r="X24" i="7"/>
  <c r="X26" i="7"/>
  <c r="X23" i="7"/>
  <c r="X15" i="7"/>
  <c r="X11" i="7"/>
  <c r="X7" i="7"/>
  <c r="X3" i="7"/>
  <c r="X55" i="7"/>
  <c r="X22" i="7"/>
  <c r="X28" i="7"/>
  <c r="X43" i="7"/>
  <c r="X21" i="7"/>
  <c r="X30" i="7"/>
  <c r="X75" i="7"/>
  <c r="X20" i="7"/>
  <c r="AA74" i="7"/>
  <c r="AA28" i="7"/>
  <c r="AA72" i="7"/>
  <c r="AA45" i="7"/>
  <c r="AA69" i="7"/>
  <c r="X51" i="7"/>
  <c r="X72" i="7"/>
  <c r="X78" i="7"/>
  <c r="L42" i="7"/>
  <c r="H201" i="5"/>
  <c r="F201" i="5"/>
  <c r="I201" i="5"/>
  <c r="W52" i="7"/>
  <c r="X17" i="7"/>
  <c r="W35" i="7"/>
  <c r="W34" i="7"/>
  <c r="W61" i="7"/>
  <c r="W77" i="7"/>
  <c r="U30" i="7"/>
  <c r="G251" i="5"/>
  <c r="F182" i="5"/>
  <c r="H182" i="5" s="1"/>
  <c r="I182" i="5"/>
  <c r="AE3" i="7"/>
  <c r="V9" i="7"/>
  <c r="V53" i="7"/>
  <c r="R13" i="7"/>
  <c r="M4" i="7"/>
  <c r="W26" i="7"/>
  <c r="I246" i="5"/>
  <c r="H246" i="5"/>
  <c r="F246" i="5"/>
  <c r="AD77" i="7"/>
  <c r="AC40" i="7"/>
  <c r="AC41" i="7"/>
  <c r="G215" i="5"/>
  <c r="H215" i="5" s="1"/>
  <c r="AB44" i="7"/>
  <c r="AB51" i="7"/>
  <c r="U22" i="7"/>
  <c r="Y2" i="7"/>
  <c r="Y27" i="7"/>
  <c r="Y36" i="7"/>
  <c r="Y43" i="7"/>
  <c r="Y57" i="7"/>
  <c r="Y72" i="7"/>
  <c r="W55" i="7"/>
  <c r="U26" i="7"/>
  <c r="U25" i="7"/>
  <c r="U24" i="7"/>
  <c r="U17" i="7"/>
  <c r="U11" i="7"/>
  <c r="U7" i="7"/>
  <c r="U3" i="7"/>
  <c r="U16" i="7"/>
  <c r="U75" i="7"/>
  <c r="U70" i="7"/>
  <c r="U50" i="7"/>
  <c r="U89" i="7"/>
  <c r="Q51" i="7"/>
  <c r="Q31" i="7"/>
  <c r="Q55" i="7"/>
  <c r="Q61" i="7"/>
  <c r="Q32" i="7"/>
  <c r="Q60" i="7"/>
  <c r="Q91" i="7"/>
  <c r="M38" i="7"/>
  <c r="M26" i="7"/>
  <c r="M27" i="7"/>
  <c r="M42" i="7"/>
  <c r="M57" i="7"/>
  <c r="M90" i="7"/>
  <c r="AB29" i="7"/>
  <c r="F238" i="5"/>
  <c r="I238" i="5"/>
  <c r="H238" i="5"/>
  <c r="F232" i="5"/>
  <c r="H232" i="5" s="1"/>
  <c r="I232" i="5"/>
  <c r="J206" i="5"/>
  <c r="G97" i="5"/>
  <c r="H97" i="5"/>
  <c r="G95" i="5"/>
  <c r="F144" i="5"/>
  <c r="I144" i="5"/>
  <c r="H144" i="5"/>
  <c r="G164" i="5"/>
  <c r="F37" i="5"/>
  <c r="H37" i="5" s="1"/>
  <c r="I37" i="5"/>
  <c r="E232" i="4"/>
  <c r="H232" i="4"/>
  <c r="E116" i="4"/>
  <c r="F116" i="4" s="1"/>
  <c r="J116" i="4"/>
  <c r="H116" i="4"/>
  <c r="G219" i="4"/>
  <c r="C219" i="4"/>
  <c r="J219" i="4"/>
  <c r="I35" i="5"/>
  <c r="J35" i="5" s="1"/>
  <c r="F35" i="5"/>
  <c r="H35" i="5"/>
  <c r="G29" i="5"/>
  <c r="H234" i="4"/>
  <c r="I234" i="4" s="1"/>
  <c r="E234" i="4"/>
  <c r="F234" i="4" s="1"/>
  <c r="J200" i="4"/>
  <c r="G200" i="4"/>
  <c r="C200" i="4"/>
  <c r="L210" i="4"/>
  <c r="K210" i="4"/>
  <c r="H222" i="4"/>
  <c r="E222" i="4"/>
  <c r="H214" i="4"/>
  <c r="E214" i="4"/>
  <c r="G213" i="4"/>
  <c r="I213" i="4" s="1"/>
  <c r="C213" i="4"/>
  <c r="J213" i="4"/>
  <c r="H165" i="4"/>
  <c r="E165" i="4"/>
  <c r="H119" i="4"/>
  <c r="I119" i="4" s="1"/>
  <c r="E119" i="4"/>
  <c r="F119" i="4" s="1"/>
  <c r="C94" i="4"/>
  <c r="F94" i="4" s="1"/>
  <c r="J94" i="4"/>
  <c r="G94" i="4"/>
  <c r="I94" i="4" s="1"/>
  <c r="L251" i="4"/>
  <c r="K251" i="4"/>
  <c r="J34" i="4"/>
  <c r="G34" i="4"/>
  <c r="I34" i="4" s="1"/>
  <c r="C34" i="4"/>
  <c r="F34" i="4" s="1"/>
  <c r="L121" i="4"/>
  <c r="K121" i="4"/>
  <c r="H37" i="4"/>
  <c r="I37" i="4" s="1"/>
  <c r="E37" i="4"/>
  <c r="F37" i="4" s="1"/>
  <c r="J37" i="4"/>
  <c r="H76" i="4"/>
  <c r="E76" i="4"/>
  <c r="L159" i="4"/>
  <c r="L123" i="4"/>
  <c r="J47" i="4"/>
  <c r="G47" i="4"/>
  <c r="C47" i="4"/>
  <c r="G49" i="4"/>
  <c r="C49" i="4"/>
  <c r="J49" i="4"/>
  <c r="C13" i="4"/>
  <c r="G13" i="4"/>
  <c r="J13" i="4"/>
  <c r="C79" i="4"/>
  <c r="F79" i="4" s="1"/>
  <c r="G79" i="4"/>
  <c r="I79" i="4" s="1"/>
  <c r="J79" i="4"/>
  <c r="L23" i="4"/>
  <c r="K23" i="4"/>
  <c r="F180" i="4"/>
  <c r="C139" i="4"/>
  <c r="G139" i="4"/>
  <c r="J139" i="4"/>
  <c r="C100" i="4"/>
  <c r="G100" i="4"/>
  <c r="J100" i="4"/>
  <c r="J212" i="4"/>
  <c r="C212" i="4"/>
  <c r="G212" i="4"/>
  <c r="G81" i="4"/>
  <c r="J81" i="4"/>
  <c r="C81" i="4"/>
  <c r="L149" i="4"/>
  <c r="K149" i="4"/>
  <c r="J40" i="5"/>
  <c r="H213" i="4"/>
  <c r="E213" i="4"/>
  <c r="J216" i="4"/>
  <c r="G216" i="4"/>
  <c r="I216" i="4" s="1"/>
  <c r="C216" i="4"/>
  <c r="F216" i="4" s="1"/>
  <c r="H179" i="4"/>
  <c r="I179" i="4" s="1"/>
  <c r="E179" i="4"/>
  <c r="F179" i="4" s="1"/>
  <c r="G141" i="4"/>
  <c r="J141" i="4"/>
  <c r="C141" i="4"/>
  <c r="J91" i="4"/>
  <c r="C91" i="4"/>
  <c r="F91" i="4" s="1"/>
  <c r="G91" i="4"/>
  <c r="I91" i="4" s="1"/>
  <c r="H208" i="4"/>
  <c r="E208" i="4"/>
  <c r="G220" i="4"/>
  <c r="I220" i="4" s="1"/>
  <c r="C220" i="4"/>
  <c r="F220" i="4" s="1"/>
  <c r="J220" i="4"/>
  <c r="E77" i="4"/>
  <c r="H77" i="4"/>
  <c r="L84" i="4"/>
  <c r="K84" i="4"/>
  <c r="L108" i="4"/>
  <c r="K108" i="4"/>
  <c r="H22" i="4"/>
  <c r="I22" i="4" s="1"/>
  <c r="E22" i="4"/>
  <c r="F22" i="4" s="1"/>
  <c r="J22" i="4"/>
  <c r="L146" i="4"/>
  <c r="K146" i="4"/>
  <c r="J35" i="4"/>
  <c r="G35" i="4"/>
  <c r="C35" i="4"/>
  <c r="L9" i="4"/>
  <c r="K9" i="4"/>
  <c r="C229" i="4"/>
  <c r="J229" i="4"/>
  <c r="G229" i="4"/>
  <c r="L145" i="4"/>
  <c r="K145" i="4"/>
  <c r="E83" i="4"/>
  <c r="H83" i="4"/>
  <c r="H59" i="4"/>
  <c r="E59" i="4"/>
  <c r="I195" i="5"/>
  <c r="H195" i="5"/>
  <c r="F195" i="5"/>
  <c r="AB45" i="7"/>
  <c r="G100" i="5"/>
  <c r="L170" i="4"/>
  <c r="K170" i="4"/>
  <c r="H95" i="4"/>
  <c r="E95" i="4"/>
  <c r="I36" i="5"/>
  <c r="J36" i="5" s="1"/>
  <c r="H141" i="4"/>
  <c r="E141" i="4"/>
  <c r="H201" i="4"/>
  <c r="E201" i="4"/>
  <c r="H220" i="4"/>
  <c r="E220" i="4"/>
  <c r="L20" i="4"/>
  <c r="K20" i="4"/>
  <c r="L27" i="4"/>
  <c r="K27" i="4"/>
  <c r="C76" i="4"/>
  <c r="F76" i="4" s="1"/>
  <c r="G76" i="4"/>
  <c r="I76" i="4" s="1"/>
  <c r="J76" i="4"/>
  <c r="J119" i="4"/>
  <c r="E148" i="4"/>
  <c r="H148" i="4"/>
  <c r="E175" i="4"/>
  <c r="H175" i="4"/>
  <c r="L120" i="4"/>
  <c r="K120" i="4"/>
  <c r="G8" i="4"/>
  <c r="C8" i="4"/>
  <c r="J8" i="4"/>
  <c r="J234" i="4"/>
  <c r="E127" i="4"/>
  <c r="H127" i="4"/>
  <c r="J25" i="4"/>
  <c r="G25" i="4"/>
  <c r="C25" i="4"/>
  <c r="G209" i="4"/>
  <c r="I209" i="4" s="1"/>
  <c r="J209" i="4"/>
  <c r="C209" i="4"/>
  <c r="F209" i="4" s="1"/>
  <c r="L180" i="4"/>
  <c r="K180" i="4"/>
  <c r="I36" i="4"/>
  <c r="J76" i="5"/>
  <c r="AB75" i="7"/>
  <c r="AB70" i="7"/>
  <c r="I98" i="5"/>
  <c r="F98" i="5"/>
  <c r="H98" i="5" s="1"/>
  <c r="J78" i="5"/>
  <c r="G6" i="10"/>
  <c r="X27" i="7"/>
  <c r="X61" i="7"/>
  <c r="X85" i="7"/>
  <c r="L72" i="7"/>
  <c r="I183" i="5"/>
  <c r="F183" i="5"/>
  <c r="H183" i="5" s="1"/>
  <c r="AB18" i="7"/>
  <c r="J223" i="5"/>
  <c r="G227" i="5"/>
  <c r="Y24" i="7"/>
  <c r="G244" i="5"/>
  <c r="H244" i="5" s="1"/>
  <c r="J216" i="5"/>
  <c r="E17" i="7"/>
  <c r="G17" i="7" s="1"/>
  <c r="Z51" i="7" s="1"/>
  <c r="R82" i="7"/>
  <c r="Y7" i="7"/>
  <c r="AD37" i="7"/>
  <c r="AB58" i="7"/>
  <c r="AB63" i="7"/>
  <c r="Q17" i="7"/>
  <c r="Y47" i="7"/>
  <c r="Y14" i="7"/>
  <c r="Y58" i="7"/>
  <c r="Y45" i="7"/>
  <c r="Y91" i="7"/>
  <c r="Y63" i="7"/>
  <c r="Y78" i="7"/>
  <c r="U18" i="7"/>
  <c r="U29" i="7"/>
  <c r="U32" i="7"/>
  <c r="U56" i="7"/>
  <c r="Q73" i="7"/>
  <c r="Q40" i="7"/>
  <c r="Q25" i="7"/>
  <c r="Q67" i="7"/>
  <c r="Q70" i="7"/>
  <c r="Q66" i="7"/>
  <c r="Q90" i="7"/>
  <c r="M13" i="7"/>
  <c r="M19" i="7"/>
  <c r="M28" i="7"/>
  <c r="M34" i="7"/>
  <c r="M54" i="7"/>
  <c r="M63" i="7"/>
  <c r="M72" i="7"/>
  <c r="K49" i="7"/>
  <c r="J217" i="5"/>
  <c r="G190" i="5"/>
  <c r="H190" i="5" s="1"/>
  <c r="I190" i="5"/>
  <c r="I192" i="5"/>
  <c r="F192" i="5"/>
  <c r="H192" i="5" s="1"/>
  <c r="F196" i="5"/>
  <c r="I196" i="5"/>
  <c r="G135" i="5"/>
  <c r="G222" i="5"/>
  <c r="I94" i="5"/>
  <c r="H94" i="5"/>
  <c r="G94" i="5"/>
  <c r="G168" i="5"/>
  <c r="H168" i="5" s="1"/>
  <c r="J168" i="5" s="1"/>
  <c r="I156" i="5"/>
  <c r="F156" i="5"/>
  <c r="H156" i="5" s="1"/>
  <c r="G202" i="5"/>
  <c r="H202" i="5" s="1"/>
  <c r="I147" i="5"/>
  <c r="F147" i="5"/>
  <c r="G57" i="5"/>
  <c r="I57" i="5"/>
  <c r="H104" i="5"/>
  <c r="I104" i="5"/>
  <c r="F104" i="5"/>
  <c r="I122" i="5"/>
  <c r="F122" i="5"/>
  <c r="H122" i="5" s="1"/>
  <c r="G53" i="5"/>
  <c r="J96" i="5"/>
  <c r="I164" i="5"/>
  <c r="F164" i="5"/>
  <c r="H164" i="5" s="1"/>
  <c r="H153" i="5"/>
  <c r="F178" i="5"/>
  <c r="I178" i="5"/>
  <c r="F87" i="5"/>
  <c r="I87" i="5"/>
  <c r="H87" i="5"/>
  <c r="G77" i="5"/>
  <c r="F75" i="5"/>
  <c r="I75" i="5"/>
  <c r="H75" i="5"/>
  <c r="J82" i="5"/>
  <c r="G63" i="5"/>
  <c r="E219" i="4"/>
  <c r="H219" i="4"/>
  <c r="H245" i="4"/>
  <c r="E245" i="4"/>
  <c r="I65" i="5"/>
  <c r="H65" i="5"/>
  <c r="F65" i="5"/>
  <c r="C199" i="4"/>
  <c r="J199" i="4"/>
  <c r="G199" i="4"/>
  <c r="L75" i="4"/>
  <c r="K75" i="4"/>
  <c r="L125" i="4"/>
  <c r="K125" i="4"/>
  <c r="L217" i="4"/>
  <c r="K217" i="4"/>
  <c r="J27" i="5"/>
  <c r="I5" i="5"/>
  <c r="F5" i="5"/>
  <c r="H5" i="5" s="1"/>
  <c r="J208" i="4"/>
  <c r="G208" i="4"/>
  <c r="I208" i="4" s="1"/>
  <c r="C208" i="4"/>
  <c r="F208" i="4" s="1"/>
  <c r="H155" i="4"/>
  <c r="I155" i="4" s="1"/>
  <c r="E155" i="4"/>
  <c r="F155" i="4" s="1"/>
  <c r="G117" i="4"/>
  <c r="J117" i="4"/>
  <c r="C117" i="4"/>
  <c r="E160" i="4"/>
  <c r="H160" i="4"/>
  <c r="E124" i="4"/>
  <c r="H124" i="4"/>
  <c r="H32" i="4"/>
  <c r="E32" i="4"/>
  <c r="H10" i="4"/>
  <c r="I10" i="4" s="1"/>
  <c r="E10" i="4"/>
  <c r="F10" i="4" s="1"/>
  <c r="L72" i="4"/>
  <c r="K72" i="4"/>
  <c r="E151" i="4"/>
  <c r="H151" i="4"/>
  <c r="G97" i="4"/>
  <c r="C97" i="4"/>
  <c r="J97" i="4"/>
  <c r="L17" i="4"/>
  <c r="K17" i="4"/>
  <c r="H60" i="4"/>
  <c r="I60" i="4" s="1"/>
  <c r="E60" i="4"/>
  <c r="L98" i="4"/>
  <c r="K98" i="4"/>
  <c r="H82" i="4"/>
  <c r="I82" i="4" s="1"/>
  <c r="E82" i="4"/>
  <c r="C175" i="4"/>
  <c r="G175" i="4"/>
  <c r="I175" i="4" s="1"/>
  <c r="J175" i="4"/>
  <c r="C31" i="4"/>
  <c r="F31" i="4" s="1"/>
  <c r="J31" i="4"/>
  <c r="G31" i="4"/>
  <c r="I31" i="4" s="1"/>
  <c r="F215" i="4"/>
  <c r="K215" i="4" s="1"/>
  <c r="C127" i="4"/>
  <c r="F127" i="4" s="1"/>
  <c r="G127" i="4"/>
  <c r="I127" i="4" s="1"/>
  <c r="J127" i="4"/>
  <c r="E184" i="4"/>
  <c r="H184" i="4"/>
  <c r="H209" i="4"/>
  <c r="E209" i="4"/>
  <c r="G68" i="4"/>
  <c r="I68" i="4" s="1"/>
  <c r="C68" i="4"/>
  <c r="F68" i="4" s="1"/>
  <c r="J68" i="4"/>
  <c r="F171" i="4"/>
  <c r="K171" i="4" s="1"/>
  <c r="L36" i="4"/>
  <c r="K36" i="4"/>
  <c r="J108" i="5"/>
  <c r="J228" i="4"/>
  <c r="G228" i="4"/>
  <c r="I228" i="4" s="1"/>
  <c r="C228" i="4"/>
  <c r="F228" i="4" s="1"/>
  <c r="J201" i="4"/>
  <c r="G201" i="4"/>
  <c r="I201" i="4" s="1"/>
  <c r="C201" i="4"/>
  <c r="F201" i="4" s="1"/>
  <c r="G177" i="4"/>
  <c r="I177" i="4" s="1"/>
  <c r="J177" i="4"/>
  <c r="C177" i="4"/>
  <c r="F177" i="4" s="1"/>
  <c r="H117" i="4"/>
  <c r="E117" i="4"/>
  <c r="C88" i="4"/>
  <c r="F88" i="4" s="1"/>
  <c r="J88" i="4"/>
  <c r="G88" i="4"/>
  <c r="I88" i="4" s="1"/>
  <c r="L157" i="4"/>
  <c r="K157" i="4"/>
  <c r="L2" i="4"/>
  <c r="K2" i="4"/>
  <c r="C151" i="4"/>
  <c r="F151" i="4" s="1"/>
  <c r="G151" i="4"/>
  <c r="I151" i="4" s="1"/>
  <c r="J151" i="4"/>
  <c r="L14" i="4"/>
  <c r="K14" i="4"/>
  <c r="C148" i="4"/>
  <c r="F148" i="4" s="1"/>
  <c r="J148" i="4"/>
  <c r="G148" i="4"/>
  <c r="I148" i="4" s="1"/>
  <c r="H45" i="4"/>
  <c r="I45" i="4" s="1"/>
  <c r="E45" i="4"/>
  <c r="F45" i="4" s="1"/>
  <c r="L104" i="4"/>
  <c r="K104" i="4"/>
  <c r="L29" i="4"/>
  <c r="K29" i="4"/>
  <c r="I215" i="4"/>
  <c r="L132" i="4"/>
  <c r="K132" i="4"/>
  <c r="C61" i="4"/>
  <c r="F61" i="4" s="1"/>
  <c r="J61" i="4"/>
  <c r="G61" i="4"/>
  <c r="I61" i="4" s="1"/>
  <c r="L80" i="4"/>
  <c r="K80" i="4"/>
  <c r="I222" i="5"/>
  <c r="H222" i="5"/>
  <c r="F222" i="5"/>
  <c r="J43" i="5"/>
  <c r="U14" i="7"/>
  <c r="J250" i="4"/>
  <c r="G250" i="4"/>
  <c r="C250" i="4"/>
  <c r="C124" i="4"/>
  <c r="F124" i="4" s="1"/>
  <c r="J124" i="4"/>
  <c r="G124" i="4"/>
  <c r="I124" i="4" s="1"/>
  <c r="H64" i="4"/>
  <c r="E64" i="4"/>
  <c r="L192" i="4"/>
  <c r="K192" i="4"/>
  <c r="E53" i="4"/>
  <c r="F53" i="4" s="1"/>
  <c r="H53" i="4"/>
  <c r="I53" i="4" s="1"/>
  <c r="I92" i="4"/>
  <c r="H58" i="4"/>
  <c r="I58" i="4" s="1"/>
  <c r="L58" i="4" s="1"/>
  <c r="E58" i="4"/>
  <c r="F58" i="4" s="1"/>
  <c r="K58" i="4" s="1"/>
  <c r="C19" i="4"/>
  <c r="F19" i="4" s="1"/>
  <c r="G19" i="4"/>
  <c r="I19" i="4" s="1"/>
  <c r="J19" i="4"/>
  <c r="J202" i="4"/>
  <c r="G202" i="4"/>
  <c r="C202" i="4"/>
  <c r="F202" i="4" s="1"/>
  <c r="E71" i="4"/>
  <c r="H71" i="4"/>
  <c r="H49" i="4"/>
  <c r="E49" i="4"/>
  <c r="E43" i="4"/>
  <c r="H43" i="4"/>
  <c r="L215" i="4"/>
  <c r="E112" i="4"/>
  <c r="H112" i="4"/>
  <c r="J53" i="4"/>
  <c r="L109" i="4"/>
  <c r="K109" i="4"/>
  <c r="J59" i="4"/>
  <c r="G59" i="4"/>
  <c r="I59" i="4" s="1"/>
  <c r="C59" i="4"/>
  <c r="F59" i="4" s="1"/>
  <c r="L171" i="4"/>
  <c r="F233" i="5"/>
  <c r="I233" i="5"/>
  <c r="G206" i="4"/>
  <c r="I206" i="4" s="1"/>
  <c r="C206" i="4"/>
  <c r="F206" i="4" s="1"/>
  <c r="J206" i="4"/>
  <c r="K81" i="7"/>
  <c r="X67" i="7"/>
  <c r="P30" i="7"/>
  <c r="P63" i="7"/>
  <c r="L85" i="7"/>
  <c r="X38" i="7"/>
  <c r="W75" i="7"/>
  <c r="K51" i="7"/>
  <c r="K86" i="7"/>
  <c r="AB20" i="7"/>
  <c r="J34" i="5"/>
  <c r="H246" i="4"/>
  <c r="I246" i="4" s="1"/>
  <c r="E246" i="4"/>
  <c r="F246" i="4" s="1"/>
  <c r="L161" i="4"/>
  <c r="K161" i="4"/>
  <c r="G153" i="4"/>
  <c r="I153" i="4" s="1"/>
  <c r="J153" i="4"/>
  <c r="C153" i="4"/>
  <c r="E56" i="4"/>
  <c r="F56" i="4" s="1"/>
  <c r="K56" i="4" s="1"/>
  <c r="H56" i="4"/>
  <c r="G7" i="4"/>
  <c r="I7" i="4" s="1"/>
  <c r="C7" i="4"/>
  <c r="F7" i="4" s="1"/>
  <c r="J7" i="4"/>
  <c r="H11" i="4"/>
  <c r="I11" i="4" s="1"/>
  <c r="L11" i="4" s="1"/>
  <c r="E11" i="4"/>
  <c r="F11" i="4" s="1"/>
  <c r="K11" i="4" s="1"/>
  <c r="H202" i="4"/>
  <c r="E202" i="4"/>
  <c r="E103" i="4"/>
  <c r="H103" i="4"/>
  <c r="H47" i="4"/>
  <c r="E47" i="4"/>
  <c r="J43" i="4"/>
  <c r="G43" i="4"/>
  <c r="I43" i="4" s="1"/>
  <c r="C43" i="4"/>
  <c r="F43" i="4" s="1"/>
  <c r="C184" i="4"/>
  <c r="F184" i="4" s="1"/>
  <c r="J184" i="4"/>
  <c r="G184" i="4"/>
  <c r="I184" i="4" s="1"/>
  <c r="G57" i="4"/>
  <c r="I57" i="4" s="1"/>
  <c r="C57" i="4"/>
  <c r="F57" i="4" s="1"/>
  <c r="J57" i="4"/>
  <c r="E55" i="4"/>
  <c r="H55" i="4"/>
  <c r="E225" i="4"/>
  <c r="H225" i="4"/>
  <c r="H200" i="4"/>
  <c r="E200" i="4"/>
  <c r="F226" i="5"/>
  <c r="I226" i="5"/>
  <c r="H226" i="5"/>
  <c r="AB40" i="7"/>
  <c r="AB65" i="7"/>
  <c r="AB37" i="7"/>
  <c r="Q72" i="7"/>
  <c r="Q64" i="7"/>
  <c r="H92" i="5"/>
  <c r="J92" i="5" s="1"/>
  <c r="I23" i="5"/>
  <c r="J23" i="5" s="1"/>
  <c r="F23" i="5"/>
  <c r="H23" i="5"/>
  <c r="AB86" i="7"/>
  <c r="AB91" i="7"/>
  <c r="AG82" i="7"/>
  <c r="AG80" i="7"/>
  <c r="AG22" i="7"/>
  <c r="AG23" i="7"/>
  <c r="AG21" i="7"/>
  <c r="AG43" i="7"/>
  <c r="AG41" i="7"/>
  <c r="AG39" i="7"/>
  <c r="AG30" i="7"/>
  <c r="AG24" i="7"/>
  <c r="AG20" i="7"/>
  <c r="AG8" i="7"/>
  <c r="AG4" i="7"/>
  <c r="AG51" i="7"/>
  <c r="AG28" i="7"/>
  <c r="AG25" i="7"/>
  <c r="AG19" i="7"/>
  <c r="AG84" i="7"/>
  <c r="AG47" i="7"/>
  <c r="AG45" i="7"/>
  <c r="AG31" i="7"/>
  <c r="AG75" i="7"/>
  <c r="AG49" i="7"/>
  <c r="AG53" i="7"/>
  <c r="AG35" i="7"/>
  <c r="AG33" i="7"/>
  <c r="AG15" i="7"/>
  <c r="AG11" i="7"/>
  <c r="AG7" i="7"/>
  <c r="AG3" i="7"/>
  <c r="AG17" i="7"/>
  <c r="AG69" i="7"/>
  <c r="AG14" i="7"/>
  <c r="AG10" i="7"/>
  <c r="AG2" i="7"/>
  <c r="AG13" i="7"/>
  <c r="AG9" i="7"/>
  <c r="AG5" i="7"/>
  <c r="AB24" i="7"/>
  <c r="AG91" i="7"/>
  <c r="AG88" i="7"/>
  <c r="X29" i="7"/>
  <c r="M35" i="7"/>
  <c r="AB41" i="7"/>
  <c r="Y79" i="7"/>
  <c r="Y80" i="7"/>
  <c r="H49" i="5"/>
  <c r="F49" i="5"/>
  <c r="I49" i="5"/>
  <c r="E212" i="4"/>
  <c r="H212" i="4"/>
  <c r="H250" i="4"/>
  <c r="E250" i="4"/>
  <c r="I243" i="5"/>
  <c r="J243" i="5" s="1"/>
  <c r="F243" i="5"/>
  <c r="H243" i="5" s="1"/>
  <c r="X46" i="7"/>
  <c r="P39" i="7"/>
  <c r="K50" i="7"/>
  <c r="M76" i="7"/>
  <c r="F48" i="5"/>
  <c r="H48" i="5"/>
  <c r="I48" i="5"/>
  <c r="C166" i="4"/>
  <c r="F166" i="4" s="1"/>
  <c r="J166" i="4"/>
  <c r="G166" i="4"/>
  <c r="I166" i="4" s="1"/>
  <c r="L194" i="4"/>
  <c r="K194" i="4"/>
  <c r="H191" i="4"/>
  <c r="E191" i="4"/>
  <c r="J235" i="4"/>
  <c r="G235" i="4"/>
  <c r="C235" i="4"/>
  <c r="AF81" i="7"/>
  <c r="Y35" i="7"/>
  <c r="Y77" i="7"/>
  <c r="Y69" i="7"/>
  <c r="M15" i="7"/>
  <c r="U79" i="7"/>
  <c r="U71" i="7"/>
  <c r="Q36" i="7"/>
  <c r="I167" i="5"/>
  <c r="F167" i="5"/>
  <c r="H167" i="5" s="1"/>
  <c r="H125" i="5"/>
  <c r="I125" i="5"/>
  <c r="F125" i="5"/>
  <c r="G178" i="5"/>
  <c r="E187" i="4"/>
  <c r="H187" i="4"/>
  <c r="G69" i="5"/>
  <c r="H69" i="5" s="1"/>
  <c r="J69" i="5" s="1"/>
  <c r="G207" i="4"/>
  <c r="I207" i="4" s="1"/>
  <c r="C207" i="4"/>
  <c r="F207" i="4" s="1"/>
  <c r="J207" i="4"/>
  <c r="C154" i="4"/>
  <c r="F154" i="4" s="1"/>
  <c r="G154" i="4"/>
  <c r="I154" i="4" s="1"/>
  <c r="J154" i="4"/>
  <c r="G5" i="5"/>
  <c r="AB52" i="7"/>
  <c r="AD33" i="7"/>
  <c r="AD22" i="7"/>
  <c r="AD14" i="7"/>
  <c r="AD2" i="7"/>
  <c r="AE61" i="7"/>
  <c r="AE88" i="7"/>
  <c r="AD59" i="7"/>
  <c r="AE35" i="7"/>
  <c r="AG60" i="7"/>
  <c r="AF70" i="7"/>
  <c r="AE52" i="7"/>
  <c r="AE83" i="7"/>
  <c r="AD60" i="7"/>
  <c r="AD81" i="7"/>
  <c r="AC66" i="7"/>
  <c r="AC82" i="7"/>
  <c r="AC57" i="7"/>
  <c r="AE21" i="7"/>
  <c r="AA27" i="7"/>
  <c r="D11" i="7"/>
  <c r="F11" i="7" s="1"/>
  <c r="T38" i="7" s="1"/>
  <c r="X70" i="7"/>
  <c r="L22" i="7"/>
  <c r="L53" i="7"/>
  <c r="L47" i="7"/>
  <c r="L52" i="7"/>
  <c r="L35" i="7"/>
  <c r="L64" i="7"/>
  <c r="L62" i="7"/>
  <c r="L16" i="7"/>
  <c r="L12" i="7"/>
  <c r="L8" i="7"/>
  <c r="L38" i="7"/>
  <c r="L11" i="7"/>
  <c r="L3" i="7"/>
  <c r="O89" i="7"/>
  <c r="W42" i="7"/>
  <c r="K22" i="7"/>
  <c r="AA22" i="7"/>
  <c r="AA77" i="7"/>
  <c r="AA35" i="7"/>
  <c r="AA59" i="7"/>
  <c r="P15" i="7"/>
  <c r="X60" i="7"/>
  <c r="X69" i="7"/>
  <c r="X90" i="7"/>
  <c r="T52" i="7"/>
  <c r="P60" i="7"/>
  <c r="P55" i="7"/>
  <c r="P65" i="7"/>
  <c r="E3" i="7"/>
  <c r="G3" i="7" s="1"/>
  <c r="L60" i="7" s="1"/>
  <c r="L87" i="7"/>
  <c r="F231" i="5"/>
  <c r="I231" i="5"/>
  <c r="H231" i="5"/>
  <c r="W44" i="7"/>
  <c r="AA15" i="7"/>
  <c r="W80" i="7"/>
  <c r="W81" i="7"/>
  <c r="W84" i="7"/>
  <c r="S21" i="7"/>
  <c r="S73" i="7"/>
  <c r="O73" i="7"/>
  <c r="O31" i="7"/>
  <c r="O84" i="7"/>
  <c r="U6" i="7"/>
  <c r="G184" i="5"/>
  <c r="D17" i="7"/>
  <c r="F17" i="7" s="1"/>
  <c r="J240" i="5"/>
  <c r="Q14" i="7"/>
  <c r="AB5" i="7"/>
  <c r="W24" i="7"/>
  <c r="AE16" i="7"/>
  <c r="AE18" i="7"/>
  <c r="Z18" i="7"/>
  <c r="Z75" i="7"/>
  <c r="Z59" i="7"/>
  <c r="Y15" i="7"/>
  <c r="V65" i="7"/>
  <c r="V87" i="7"/>
  <c r="V44" i="7"/>
  <c r="V43" i="7"/>
  <c r="Y11" i="7"/>
  <c r="R46" i="7"/>
  <c r="R40" i="7"/>
  <c r="R47" i="7"/>
  <c r="E9" i="7"/>
  <c r="G9" i="7" s="1"/>
  <c r="R56" i="7"/>
  <c r="N37" i="7"/>
  <c r="N7" i="7"/>
  <c r="N2" i="7"/>
  <c r="N20" i="7"/>
  <c r="N39" i="7"/>
  <c r="N51" i="7"/>
  <c r="G233" i="5"/>
  <c r="H233" i="5" s="1"/>
  <c r="W41" i="7"/>
  <c r="AD53" i="7"/>
  <c r="I239" i="5"/>
  <c r="AC10" i="7"/>
  <c r="AC24" i="7"/>
  <c r="AC37" i="7"/>
  <c r="Y21" i="7"/>
  <c r="AB43" i="7"/>
  <c r="AB2" i="7"/>
  <c r="AD40" i="7"/>
  <c r="Y32" i="7"/>
  <c r="Y44" i="7"/>
  <c r="Y66" i="7"/>
  <c r="E16" i="7"/>
  <c r="G16" i="7" s="1"/>
  <c r="Y84" i="7"/>
  <c r="W4" i="7"/>
  <c r="W86" i="7"/>
  <c r="U65" i="7"/>
  <c r="U80" i="7"/>
  <c r="U83" i="7"/>
  <c r="U35" i="7"/>
  <c r="U40" i="7"/>
  <c r="U64" i="7"/>
  <c r="Q21" i="7"/>
  <c r="Q27" i="7"/>
  <c r="Q13" i="7"/>
  <c r="Q9" i="7"/>
  <c r="Q5" i="7"/>
  <c r="Q7" i="7"/>
  <c r="Q42" i="7"/>
  <c r="Q84" i="7"/>
  <c r="Q39" i="7"/>
  <c r="Q71" i="7"/>
  <c r="M64" i="7"/>
  <c r="M2" i="7"/>
  <c r="M22" i="7"/>
  <c r="M46" i="7"/>
  <c r="M79" i="7"/>
  <c r="M81" i="7"/>
  <c r="M80" i="7"/>
  <c r="G245" i="5"/>
  <c r="F208" i="5"/>
  <c r="H208" i="5"/>
  <c r="I208" i="5"/>
  <c r="G141" i="5"/>
  <c r="H141" i="5"/>
  <c r="I141" i="5"/>
  <c r="G162" i="5"/>
  <c r="H162" i="5" s="1"/>
  <c r="J162" i="5" s="1"/>
  <c r="F148" i="5"/>
  <c r="H148" i="5" s="1"/>
  <c r="I148" i="5"/>
  <c r="J148" i="5" s="1"/>
  <c r="H150" i="5"/>
  <c r="I150" i="5"/>
  <c r="J150" i="5" s="1"/>
  <c r="F150" i="5"/>
  <c r="H186" i="5"/>
  <c r="J54" i="5"/>
  <c r="G117" i="5"/>
  <c r="I121" i="5"/>
  <c r="J121" i="5" s="1"/>
  <c r="F121" i="5"/>
  <c r="H121" i="5"/>
  <c r="F134" i="5"/>
  <c r="H134" i="5" s="1"/>
  <c r="I134" i="5"/>
  <c r="I68" i="5"/>
  <c r="J72" i="5"/>
  <c r="G28" i="5"/>
  <c r="J236" i="4"/>
  <c r="G236" i="4"/>
  <c r="I236" i="4" s="1"/>
  <c r="C236" i="4"/>
  <c r="F236" i="4" s="1"/>
  <c r="I28" i="5"/>
  <c r="J28" i="5" s="1"/>
  <c r="F28" i="5"/>
  <c r="H28" i="5" s="1"/>
  <c r="H176" i="4"/>
  <c r="E176" i="4"/>
  <c r="F176" i="4" s="1"/>
  <c r="J176" i="4"/>
  <c r="I59" i="5"/>
  <c r="H59" i="5"/>
  <c r="F59" i="5"/>
  <c r="G4" i="5"/>
  <c r="H4" i="5" s="1"/>
  <c r="I67" i="5"/>
  <c r="F67" i="5"/>
  <c r="J39" i="5"/>
  <c r="E207" i="4"/>
  <c r="H207" i="4"/>
  <c r="C142" i="4"/>
  <c r="F142" i="4" s="1"/>
  <c r="G142" i="4"/>
  <c r="I142" i="4" s="1"/>
  <c r="J142" i="4"/>
  <c r="J10" i="5"/>
  <c r="I17" i="5"/>
  <c r="F17" i="5"/>
  <c r="H17" i="5" s="1"/>
  <c r="L196" i="4"/>
  <c r="K196" i="4"/>
  <c r="F227" i="4"/>
  <c r="H235" i="4"/>
  <c r="E235" i="4"/>
  <c r="H153" i="4"/>
  <c r="E153" i="4"/>
  <c r="H107" i="4"/>
  <c r="I107" i="4" s="1"/>
  <c r="E107" i="4"/>
  <c r="F107" i="4" s="1"/>
  <c r="F147" i="4"/>
  <c r="C103" i="4"/>
  <c r="F103" i="4" s="1"/>
  <c r="G103" i="4"/>
  <c r="I103" i="4" s="1"/>
  <c r="J103" i="4"/>
  <c r="H4" i="4"/>
  <c r="I4" i="4" s="1"/>
  <c r="L4" i="4" s="1"/>
  <c r="E4" i="4"/>
  <c r="F4" i="4" s="1"/>
  <c r="K4" i="4" s="1"/>
  <c r="C64" i="4"/>
  <c r="F64" i="4" s="1"/>
  <c r="J64" i="4"/>
  <c r="G64" i="4"/>
  <c r="I64" i="4" s="1"/>
  <c r="J82" i="4"/>
  <c r="H25" i="4"/>
  <c r="E25" i="4"/>
  <c r="E136" i="4"/>
  <c r="H136" i="4"/>
  <c r="I99" i="4"/>
  <c r="L99" i="4" s="1"/>
  <c r="I38" i="4"/>
  <c r="L38" i="4" s="1"/>
  <c r="J107" i="4"/>
  <c r="C112" i="4"/>
  <c r="F112" i="4" s="1"/>
  <c r="J112" i="4"/>
  <c r="G112" i="4"/>
  <c r="I112" i="4" s="1"/>
  <c r="E172" i="4"/>
  <c r="H172" i="4"/>
  <c r="E100" i="4"/>
  <c r="H100" i="4"/>
  <c r="C41" i="4"/>
  <c r="G41" i="4"/>
  <c r="J41" i="4"/>
  <c r="L12" i="4"/>
  <c r="K12" i="4"/>
  <c r="I168" i="4"/>
  <c r="L168" i="4" s="1"/>
  <c r="G55" i="4"/>
  <c r="I55" i="4" s="1"/>
  <c r="J55" i="4"/>
  <c r="C55" i="4"/>
  <c r="I56" i="4"/>
  <c r="L56" i="4" s="1"/>
  <c r="G5" i="10"/>
  <c r="G2" i="10"/>
  <c r="I77" i="5"/>
  <c r="F77" i="5"/>
  <c r="H77" i="5" s="1"/>
  <c r="G247" i="4"/>
  <c r="I247" i="4" s="1"/>
  <c r="J247" i="4"/>
  <c r="C247" i="4"/>
  <c r="F247" i="4" s="1"/>
  <c r="AB23" i="7"/>
  <c r="AD56" i="7"/>
  <c r="H131" i="4"/>
  <c r="I131" i="4" s="1"/>
  <c r="E131" i="4"/>
  <c r="F131" i="4" s="1"/>
  <c r="I237" i="5"/>
  <c r="H237" i="5"/>
  <c r="F237" i="5"/>
  <c r="W88" i="7"/>
  <c r="W83" i="7"/>
  <c r="J123" i="5"/>
  <c r="L21" i="7"/>
  <c r="AA23" i="7"/>
  <c r="AA79" i="7"/>
  <c r="AA37" i="7"/>
  <c r="AA61" i="7"/>
  <c r="X52" i="7"/>
  <c r="X62" i="7"/>
  <c r="X83" i="7"/>
  <c r="W13" i="7"/>
  <c r="T86" i="7"/>
  <c r="P73" i="7"/>
  <c r="I225" i="5"/>
  <c r="F225" i="5"/>
  <c r="H225" i="5" s="1"/>
  <c r="T42" i="7"/>
  <c r="X14" i="7"/>
  <c r="AA29" i="7"/>
  <c r="W76" i="7"/>
  <c r="S22" i="7"/>
  <c r="K82" i="7"/>
  <c r="U2" i="7"/>
  <c r="U39" i="7"/>
  <c r="AC5" i="7"/>
  <c r="AC31" i="7"/>
  <c r="N64" i="7"/>
  <c r="N27" i="7"/>
  <c r="N9" i="7"/>
  <c r="N5" i="7"/>
  <c r="AE42" i="7"/>
  <c r="N18" i="7"/>
  <c r="Z44" i="7"/>
  <c r="V18" i="7"/>
  <c r="V52" i="7"/>
  <c r="V4" i="7"/>
  <c r="V47" i="7"/>
  <c r="V46" i="7"/>
  <c r="V66" i="7"/>
  <c r="R43" i="7"/>
  <c r="R61" i="7"/>
  <c r="R32" i="7"/>
  <c r="R9" i="7"/>
  <c r="R21" i="7"/>
  <c r="N46" i="7"/>
  <c r="N11" i="7"/>
  <c r="N6" i="7"/>
  <c r="N76" i="7"/>
  <c r="F250" i="5"/>
  <c r="H250" i="5" s="1"/>
  <c r="I250" i="5"/>
  <c r="AD70" i="7"/>
  <c r="AC14" i="7"/>
  <c r="AC30" i="7"/>
  <c r="AC46" i="7"/>
  <c r="AC69" i="7"/>
  <c r="AB55" i="7"/>
  <c r="AB3" i="7"/>
  <c r="AB6" i="7"/>
  <c r="W32" i="7"/>
  <c r="Y41" i="7"/>
  <c r="Y71" i="7"/>
  <c r="Y68" i="7"/>
  <c r="Y31" i="7"/>
  <c r="Y49" i="7"/>
  <c r="Y89" i="7"/>
  <c r="W5" i="7"/>
  <c r="U86" i="7"/>
  <c r="U87" i="7"/>
  <c r="U31" i="7"/>
  <c r="U41" i="7"/>
  <c r="U42" i="7"/>
  <c r="U66" i="7"/>
  <c r="S51" i="7"/>
  <c r="Q24" i="7"/>
  <c r="Q8" i="7"/>
  <c r="Q11" i="7"/>
  <c r="Q48" i="7"/>
  <c r="Q35" i="7"/>
  <c r="Q45" i="7"/>
  <c r="Q78" i="7"/>
  <c r="M62" i="7"/>
  <c r="M6" i="7"/>
  <c r="M24" i="7"/>
  <c r="M49" i="7"/>
  <c r="M87" i="7"/>
  <c r="M86" i="7"/>
  <c r="M82" i="7"/>
  <c r="I176" i="5"/>
  <c r="H176" i="5"/>
  <c r="F176" i="5"/>
  <c r="F214" i="5"/>
  <c r="I214" i="5"/>
  <c r="I135" i="5"/>
  <c r="J135" i="5" s="1"/>
  <c r="H135" i="5"/>
  <c r="F135" i="5"/>
  <c r="G136" i="5"/>
  <c r="H136" i="5" s="1"/>
  <c r="I136" i="5"/>
  <c r="H113" i="5"/>
  <c r="F113" i="5"/>
  <c r="I113" i="5"/>
  <c r="J113" i="5" s="1"/>
  <c r="J186" i="5"/>
  <c r="F124" i="5"/>
  <c r="I124" i="5"/>
  <c r="H124" i="5"/>
  <c r="H131" i="5"/>
  <c r="I131" i="5"/>
  <c r="F131" i="5"/>
  <c r="J145" i="5"/>
  <c r="J66" i="5"/>
  <c r="I44" i="5"/>
  <c r="F44" i="5"/>
  <c r="H44" i="5" s="1"/>
  <c r="I45" i="5"/>
  <c r="J45" i="5" s="1"/>
  <c r="F45" i="5"/>
  <c r="H45" i="5" s="1"/>
  <c r="J230" i="4"/>
  <c r="G230" i="4"/>
  <c r="I230" i="4" s="1"/>
  <c r="C230" i="4"/>
  <c r="F230" i="4" s="1"/>
  <c r="E164" i="4"/>
  <c r="F164" i="4" s="1"/>
  <c r="H164" i="4"/>
  <c r="I164" i="4" s="1"/>
  <c r="J164" i="4"/>
  <c r="J20" i="5"/>
  <c r="J246" i="4"/>
  <c r="C130" i="4"/>
  <c r="F130" i="4" s="1"/>
  <c r="J130" i="4"/>
  <c r="G130" i="4"/>
  <c r="I130" i="4" s="1"/>
  <c r="G233" i="4"/>
  <c r="I233" i="4" s="1"/>
  <c r="C233" i="4"/>
  <c r="F233" i="4" s="1"/>
  <c r="J233" i="4"/>
  <c r="L137" i="4"/>
  <c r="K137" i="4"/>
  <c r="H6" i="5"/>
  <c r="I6" i="5"/>
  <c r="F6" i="5"/>
  <c r="H190" i="4"/>
  <c r="I190" i="4" s="1"/>
  <c r="E190" i="4"/>
  <c r="F190" i="4" s="1"/>
  <c r="J190" i="4"/>
  <c r="H167" i="4"/>
  <c r="I167" i="4" s="1"/>
  <c r="L167" i="4" s="1"/>
  <c r="E167" i="4"/>
  <c r="F167" i="4" s="1"/>
  <c r="G129" i="4"/>
  <c r="I129" i="4" s="1"/>
  <c r="J129" i="4"/>
  <c r="C129" i="4"/>
  <c r="G226" i="4"/>
  <c r="C226" i="4"/>
  <c r="F226" i="4" s="1"/>
  <c r="J226" i="4"/>
  <c r="J55" i="5"/>
  <c r="J7" i="5"/>
  <c r="L147" i="4"/>
  <c r="K147" i="4"/>
  <c r="L111" i="4"/>
  <c r="K111" i="4"/>
  <c r="J48" i="4"/>
  <c r="G48" i="4"/>
  <c r="C48" i="4"/>
  <c r="L134" i="4"/>
  <c r="K134" i="4"/>
  <c r="I144" i="4"/>
  <c r="L33" i="4"/>
  <c r="K33" i="4"/>
  <c r="E96" i="4"/>
  <c r="F96" i="4" s="1"/>
  <c r="K96" i="4" s="1"/>
  <c r="H96" i="4"/>
  <c r="I96" i="4" s="1"/>
  <c r="L96" i="4" s="1"/>
  <c r="F82" i="4"/>
  <c r="K5" i="4"/>
  <c r="L5" i="4"/>
  <c r="H16" i="4"/>
  <c r="I16" i="4" s="1"/>
  <c r="E16" i="4"/>
  <c r="F16" i="4" s="1"/>
  <c r="K99" i="4"/>
  <c r="J16" i="4"/>
  <c r="L133" i="4"/>
  <c r="K133" i="4"/>
  <c r="L66" i="4"/>
  <c r="K66" i="4"/>
  <c r="L169" i="4"/>
  <c r="K169" i="4"/>
  <c r="I158" i="4"/>
  <c r="L158" i="4" s="1"/>
  <c r="H41" i="4"/>
  <c r="E41" i="4"/>
  <c r="K168" i="4"/>
  <c r="F60" i="4"/>
  <c r="F221" i="5"/>
  <c r="I221" i="5"/>
  <c r="I170" i="5"/>
  <c r="J170" i="5" s="1"/>
  <c r="F170" i="5"/>
  <c r="H170" i="5" s="1"/>
  <c r="H29" i="5"/>
  <c r="I29" i="5"/>
  <c r="J29" i="5" s="1"/>
  <c r="F29" i="5"/>
  <c r="AH39" i="7"/>
  <c r="AH8" i="7"/>
  <c r="AH51" i="7"/>
  <c r="AH18" i="7"/>
  <c r="AH76" i="7"/>
  <c r="AH84" i="7"/>
  <c r="AH75" i="7"/>
  <c r="AH11" i="7"/>
  <c r="J210" i="5"/>
  <c r="J193" i="5"/>
  <c r="J202" i="5"/>
  <c r="J169" i="5"/>
  <c r="F63" i="5"/>
  <c r="H63" i="5" s="1"/>
  <c r="I63" i="5"/>
  <c r="L224" i="4"/>
  <c r="K224" i="4"/>
  <c r="H81" i="4"/>
  <c r="E81" i="4"/>
  <c r="AB25" i="7"/>
  <c r="I140" i="5"/>
  <c r="H140" i="5"/>
  <c r="F140" i="5"/>
  <c r="H179" i="5"/>
  <c r="F179" i="5"/>
  <c r="I179" i="5"/>
  <c r="J179" i="5" s="1"/>
  <c r="X65" i="7"/>
  <c r="X86" i="7"/>
  <c r="T34" i="7"/>
  <c r="P56" i="7"/>
  <c r="P28" i="7"/>
  <c r="P61" i="7"/>
  <c r="K91" i="7"/>
  <c r="AB62" i="7"/>
  <c r="Y17" i="7"/>
  <c r="Y67" i="7"/>
  <c r="W74" i="7"/>
  <c r="U72" i="7"/>
  <c r="U36" i="7"/>
  <c r="Q54" i="7"/>
  <c r="Q43" i="7"/>
  <c r="Q74" i="7"/>
  <c r="M68" i="7"/>
  <c r="M40" i="7"/>
  <c r="M52" i="7"/>
  <c r="M67" i="7"/>
  <c r="J181" i="5"/>
  <c r="J230" i="5"/>
  <c r="Q37" i="7"/>
  <c r="J187" i="5"/>
  <c r="C187" i="4"/>
  <c r="F187" i="4" s="1"/>
  <c r="J187" i="4"/>
  <c r="G187" i="4"/>
  <c r="I187" i="4" s="1"/>
  <c r="C160" i="4"/>
  <c r="F160" i="4" s="1"/>
  <c r="J160" i="4"/>
  <c r="G160" i="4"/>
  <c r="I160" i="4" s="1"/>
  <c r="I5" i="10"/>
  <c r="U10" i="7"/>
  <c r="U38" i="7"/>
  <c r="U62" i="7"/>
  <c r="Q4" i="7"/>
  <c r="Q3" i="7"/>
  <c r="Q83" i="7"/>
  <c r="Q33" i="7"/>
  <c r="Q88" i="7"/>
  <c r="M77" i="7"/>
  <c r="M89" i="7"/>
  <c r="M17" i="7"/>
  <c r="M43" i="7"/>
  <c r="M75" i="7"/>
  <c r="M69" i="7"/>
  <c r="M78" i="7"/>
  <c r="J198" i="5"/>
  <c r="F129" i="5"/>
  <c r="H129" i="5" s="1"/>
  <c r="I129" i="5"/>
  <c r="J211" i="5"/>
  <c r="G147" i="5"/>
  <c r="J73" i="5"/>
  <c r="I81" i="5"/>
  <c r="J74" i="5"/>
  <c r="H68" i="5"/>
  <c r="J22" i="5"/>
  <c r="H32" i="5"/>
  <c r="J32" i="5" s="1"/>
  <c r="I16" i="5"/>
  <c r="F16" i="5"/>
  <c r="H16" i="5" s="1"/>
  <c r="AE29" i="7"/>
  <c r="AE14" i="7"/>
  <c r="AE2" i="7"/>
  <c r="AD13" i="7"/>
  <c r="AC89" i="7"/>
  <c r="AE59" i="7"/>
  <c r="AB33" i="7"/>
  <c r="AC83" i="7"/>
  <c r="AG38" i="7"/>
  <c r="AG62" i="7"/>
  <c r="AF77" i="7"/>
  <c r="AF66" i="7"/>
  <c r="AD62" i="7"/>
  <c r="AD90" i="7"/>
  <c r="AC68" i="7"/>
  <c r="AC85" i="7"/>
  <c r="AB90" i="7"/>
  <c r="AC55" i="7"/>
  <c r="AC32" i="7"/>
  <c r="AB77" i="7"/>
  <c r="AD36" i="7"/>
  <c r="P50" i="7"/>
  <c r="T26" i="7"/>
  <c r="P20" i="7"/>
  <c r="AC48" i="7"/>
  <c r="AD30" i="7"/>
  <c r="AD21" i="7"/>
  <c r="AD12" i="7"/>
  <c r="AF88" i="7"/>
  <c r="AE57" i="7"/>
  <c r="AE32" i="7"/>
  <c r="AI82" i="7"/>
  <c r="AD55" i="7"/>
  <c r="AD32" i="7"/>
  <c r="AI73" i="7"/>
  <c r="AG40" i="7"/>
  <c r="AG64" i="7"/>
  <c r="AE56" i="7"/>
  <c r="AE71" i="7"/>
  <c r="AD64" i="7"/>
  <c r="AD83" i="7"/>
  <c r="AC78" i="7"/>
  <c r="AC90" i="7"/>
  <c r="AI49" i="7"/>
  <c r="AF75" i="7"/>
  <c r="AC52" i="7"/>
  <c r="AE19" i="7"/>
  <c r="X49" i="7"/>
  <c r="L9" i="7"/>
  <c r="T18" i="7"/>
  <c r="X71" i="7"/>
  <c r="P19" i="7"/>
  <c r="AA24" i="7"/>
  <c r="AA80" i="7"/>
  <c r="AA39" i="7"/>
  <c r="AA63" i="7"/>
  <c r="X53" i="7"/>
  <c r="X64" i="7"/>
  <c r="X76" i="7"/>
  <c r="T56" i="7"/>
  <c r="P64" i="7"/>
  <c r="P69" i="7"/>
  <c r="I219" i="5"/>
  <c r="F219" i="5"/>
  <c r="H219" i="5" s="1"/>
  <c r="K21" i="7"/>
  <c r="K14" i="7"/>
  <c r="W3" i="7"/>
  <c r="W21" i="7"/>
  <c r="W14" i="7"/>
  <c r="W2" i="7"/>
  <c r="W89" i="7"/>
  <c r="S60" i="7"/>
  <c r="O19" i="7"/>
  <c r="O76" i="7"/>
  <c r="O59" i="7"/>
  <c r="K89" i="7"/>
  <c r="V30" i="7"/>
  <c r="H251" i="5"/>
  <c r="F251" i="5"/>
  <c r="I251" i="5"/>
  <c r="AC45" i="7"/>
  <c r="AE13" i="7"/>
  <c r="D5" i="7"/>
  <c r="F5" i="7" s="1"/>
  <c r="N53" i="7" s="1"/>
  <c r="F220" i="5"/>
  <c r="I220" i="5"/>
  <c r="AE27" i="7"/>
  <c r="V25" i="7"/>
  <c r="V24" i="7"/>
  <c r="V17" i="7"/>
  <c r="V26" i="7"/>
  <c r="V23" i="7"/>
  <c r="V15" i="7"/>
  <c r="V11" i="7"/>
  <c r="V7" i="7"/>
  <c r="V3" i="7"/>
  <c r="V22" i="7"/>
  <c r="V67" i="7"/>
  <c r="V28" i="7"/>
  <c r="V21" i="7"/>
  <c r="V14" i="7"/>
  <c r="V10" i="7"/>
  <c r="V6" i="7"/>
  <c r="V2" i="7"/>
  <c r="N4" i="7"/>
  <c r="J205" i="5"/>
  <c r="AE46" i="7"/>
  <c r="AE34" i="7"/>
  <c r="AC17" i="7"/>
  <c r="Z73" i="7"/>
  <c r="Z29" i="7"/>
  <c r="Z39" i="7"/>
  <c r="Z72" i="7"/>
  <c r="V36" i="7"/>
  <c r="V63" i="7"/>
  <c r="V8" i="7"/>
  <c r="V78" i="7"/>
  <c r="V49" i="7"/>
  <c r="V68" i="7"/>
  <c r="R34" i="7"/>
  <c r="R72" i="7"/>
  <c r="R69" i="7"/>
  <c r="R38" i="7"/>
  <c r="R10" i="7"/>
  <c r="R22" i="7"/>
  <c r="R60" i="7"/>
  <c r="N66" i="7"/>
  <c r="N10" i="7"/>
  <c r="N45" i="7"/>
  <c r="N55" i="7"/>
  <c r="K31" i="7"/>
  <c r="AD50" i="7"/>
  <c r="AC35" i="7"/>
  <c r="AC39" i="7"/>
  <c r="AC33" i="7"/>
  <c r="AB67" i="7"/>
  <c r="AB7" i="7"/>
  <c r="AB10" i="7"/>
  <c r="Y30" i="7"/>
  <c r="Y28" i="7"/>
  <c r="Y20" i="7"/>
  <c r="Y19" i="7"/>
  <c r="Y16" i="7"/>
  <c r="Y12" i="7"/>
  <c r="Y8" i="7"/>
  <c r="Y4" i="7"/>
  <c r="Y5" i="7"/>
  <c r="Y86" i="7"/>
  <c r="Y34" i="7"/>
  <c r="Y73" i="7"/>
  <c r="W12" i="7"/>
  <c r="W9" i="7"/>
  <c r="U63" i="7"/>
  <c r="U4" i="7"/>
  <c r="U37" i="7"/>
  <c r="U47" i="7"/>
  <c r="U44" i="7"/>
  <c r="U68" i="7"/>
  <c r="Q30" i="7"/>
  <c r="Q12" i="7"/>
  <c r="Q15" i="7"/>
  <c r="Q53" i="7"/>
  <c r="Q41" i="7"/>
  <c r="Q76" i="7"/>
  <c r="Q75" i="7"/>
  <c r="M60" i="7"/>
  <c r="M10" i="7"/>
  <c r="M30" i="7"/>
  <c r="M33" i="7"/>
  <c r="M51" i="7"/>
  <c r="M85" i="7"/>
  <c r="M88" i="7"/>
  <c r="F245" i="5"/>
  <c r="H245" i="5" s="1"/>
  <c r="I245" i="5"/>
  <c r="J245" i="5" s="1"/>
  <c r="J173" i="5"/>
  <c r="G196" i="5"/>
  <c r="G208" i="5"/>
  <c r="G133" i="5"/>
  <c r="H133" i="5" s="1"/>
  <c r="I133" i="5"/>
  <c r="F154" i="5"/>
  <c r="I154" i="5"/>
  <c r="H154" i="5"/>
  <c r="AD29" i="7"/>
  <c r="H137" i="5"/>
  <c r="I137" i="5"/>
  <c r="F137" i="5"/>
  <c r="F51" i="5"/>
  <c r="H51" i="5" s="1"/>
  <c r="I51" i="5"/>
  <c r="I100" i="5"/>
  <c r="I161" i="5"/>
  <c r="F161" i="5"/>
  <c r="H184" i="5"/>
  <c r="H107" i="5"/>
  <c r="I107" i="5"/>
  <c r="F107" i="5"/>
  <c r="I111" i="5"/>
  <c r="H111" i="5"/>
  <c r="F111" i="5"/>
  <c r="H119" i="5"/>
  <c r="F119" i="5"/>
  <c r="I119" i="5"/>
  <c r="J119" i="5" s="1"/>
  <c r="G131" i="5"/>
  <c r="G142" i="5"/>
  <c r="J64" i="5"/>
  <c r="J223" i="4"/>
  <c r="C223" i="4"/>
  <c r="F223" i="4" s="1"/>
  <c r="G223" i="4"/>
  <c r="I223" i="4" s="1"/>
  <c r="J61" i="5"/>
  <c r="E152" i="4"/>
  <c r="F152" i="4" s="1"/>
  <c r="J152" i="4"/>
  <c r="H152" i="4"/>
  <c r="I152" i="4" s="1"/>
  <c r="I41" i="5"/>
  <c r="F41" i="5"/>
  <c r="H41" i="5" s="1"/>
  <c r="G232" i="4"/>
  <c r="I232" i="4" s="1"/>
  <c r="C232" i="4"/>
  <c r="F232" i="4" s="1"/>
  <c r="J232" i="4"/>
  <c r="J245" i="4"/>
  <c r="G245" i="4"/>
  <c r="I245" i="4" s="1"/>
  <c r="C245" i="4"/>
  <c r="F245" i="4" s="1"/>
  <c r="G67" i="5"/>
  <c r="K242" i="4"/>
  <c r="L242" i="4"/>
  <c r="I19" i="5"/>
  <c r="G19" i="5"/>
  <c r="H19" i="5" s="1"/>
  <c r="C239" i="4"/>
  <c r="F239" i="4" s="1"/>
  <c r="J239" i="4"/>
  <c r="G239" i="4"/>
  <c r="I239" i="4" s="1"/>
  <c r="L243" i="4"/>
  <c r="K243" i="4"/>
  <c r="C118" i="4"/>
  <c r="F118" i="4" s="1"/>
  <c r="G118" i="4"/>
  <c r="I118" i="4" s="1"/>
  <c r="J118" i="4"/>
  <c r="H233" i="4"/>
  <c r="E233" i="4"/>
  <c r="I116" i="4"/>
  <c r="J191" i="4"/>
  <c r="G191" i="4"/>
  <c r="I191" i="4" s="1"/>
  <c r="C191" i="4"/>
  <c r="G93" i="4"/>
  <c r="C93" i="4"/>
  <c r="F93" i="4" s="1"/>
  <c r="J93" i="4"/>
  <c r="J222" i="4"/>
  <c r="G222" i="4"/>
  <c r="I222" i="4" s="1"/>
  <c r="C222" i="4"/>
  <c r="F222" i="4" s="1"/>
  <c r="J179" i="4"/>
  <c r="H221" i="4"/>
  <c r="I221" i="4" s="1"/>
  <c r="E221" i="4"/>
  <c r="F221" i="4" s="1"/>
  <c r="H129" i="4"/>
  <c r="E129" i="4"/>
  <c r="J67" i="4"/>
  <c r="G67" i="4"/>
  <c r="I67" i="4" s="1"/>
  <c r="C67" i="4"/>
  <c r="F67" i="4" s="1"/>
  <c r="H226" i="4"/>
  <c r="E226" i="4"/>
  <c r="L92" i="4"/>
  <c r="K92" i="4"/>
  <c r="J46" i="4"/>
  <c r="C46" i="4"/>
  <c r="G46" i="4"/>
  <c r="L144" i="4"/>
  <c r="K144" i="4"/>
  <c r="L101" i="4"/>
  <c r="K101" i="4"/>
  <c r="G44" i="4"/>
  <c r="I44" i="4" s="1"/>
  <c r="C44" i="4"/>
  <c r="J44" i="4"/>
  <c r="E115" i="4"/>
  <c r="H115" i="4"/>
  <c r="H13" i="4"/>
  <c r="E13" i="4"/>
  <c r="C136" i="4"/>
  <c r="F136" i="4" s="1"/>
  <c r="J136" i="4"/>
  <c r="G136" i="4"/>
  <c r="I136" i="4" s="1"/>
  <c r="H97" i="4"/>
  <c r="E97" i="4"/>
  <c r="C65" i="4"/>
  <c r="F65" i="4" s="1"/>
  <c r="J65" i="4"/>
  <c r="G65" i="4"/>
  <c r="I65" i="4" s="1"/>
  <c r="F70" i="4"/>
  <c r="K70" i="4" s="1"/>
  <c r="E163" i="4"/>
  <c r="H163" i="4"/>
  <c r="K158" i="4"/>
  <c r="L204" i="4"/>
  <c r="K204" i="4"/>
  <c r="L89" i="4"/>
  <c r="K89" i="4"/>
  <c r="F183" i="4"/>
  <c r="K183" i="4" s="1"/>
  <c r="F2" i="5"/>
  <c r="H2" i="5" s="1"/>
  <c r="I2" i="5"/>
  <c r="M61" i="7"/>
  <c r="J160" i="5"/>
  <c r="Y48" i="7"/>
  <c r="Y65" i="7"/>
  <c r="Q18" i="7"/>
  <c r="Q28" i="7"/>
  <c r="Q69" i="7"/>
  <c r="Q68" i="7"/>
  <c r="M23" i="7"/>
  <c r="M56" i="7"/>
  <c r="M37" i="7"/>
  <c r="J174" i="5"/>
  <c r="F158" i="5"/>
  <c r="I158" i="5"/>
  <c r="H158" i="5"/>
  <c r="I83" i="5"/>
  <c r="F83" i="5"/>
  <c r="H83" i="5" s="1"/>
  <c r="J80" i="5"/>
  <c r="E240" i="4"/>
  <c r="F240" i="4" s="1"/>
  <c r="K240" i="4" s="1"/>
  <c r="H240" i="4"/>
  <c r="I240" i="4" s="1"/>
  <c r="L240" i="4" s="1"/>
  <c r="H238" i="4"/>
  <c r="E238" i="4"/>
  <c r="AD23" i="7"/>
  <c r="AD4" i="7"/>
  <c r="AB39" i="7"/>
  <c r="AD38" i="7"/>
  <c r="AG56" i="7"/>
  <c r="AB81" i="7"/>
  <c r="P3" i="7"/>
  <c r="P49" i="7"/>
  <c r="P35" i="7"/>
  <c r="P52" i="7"/>
  <c r="P33" i="7"/>
  <c r="P37" i="7"/>
  <c r="P6" i="7"/>
  <c r="P2" i="7"/>
  <c r="P88" i="7"/>
  <c r="P16" i="7"/>
  <c r="P12" i="7"/>
  <c r="P8" i="7"/>
  <c r="P4" i="7"/>
  <c r="P74" i="7"/>
  <c r="P31" i="7"/>
  <c r="P77" i="7"/>
  <c r="P81" i="7"/>
  <c r="P13" i="7"/>
  <c r="P9" i="7"/>
  <c r="P5" i="7"/>
  <c r="P17" i="7"/>
  <c r="P84" i="7"/>
  <c r="P46" i="7"/>
  <c r="P29" i="7"/>
  <c r="T88" i="7"/>
  <c r="P45" i="7"/>
  <c r="Z17" i="7"/>
  <c r="Z55" i="7"/>
  <c r="R86" i="7"/>
  <c r="R49" i="7"/>
  <c r="R35" i="7"/>
  <c r="R7" i="7"/>
  <c r="R73" i="7"/>
  <c r="R88" i="7"/>
  <c r="M73" i="7"/>
  <c r="Y50" i="7"/>
  <c r="Y52" i="7"/>
  <c r="Y82" i="7"/>
  <c r="U82" i="7"/>
  <c r="U85" i="7"/>
  <c r="U60" i="7"/>
  <c r="Q52" i="7"/>
  <c r="Q86" i="7"/>
  <c r="M58" i="7"/>
  <c r="I127" i="5"/>
  <c r="F127" i="5"/>
  <c r="H127" i="5" s="1"/>
  <c r="E199" i="4"/>
  <c r="H199" i="4"/>
  <c r="G189" i="4"/>
  <c r="C189" i="4"/>
  <c r="J189" i="4"/>
  <c r="J214" i="4"/>
  <c r="G214" i="4"/>
  <c r="I214" i="4" s="1"/>
  <c r="C214" i="4"/>
  <c r="F214" i="4" s="1"/>
  <c r="L193" i="4"/>
  <c r="K193" i="4"/>
  <c r="G85" i="4"/>
  <c r="I85" i="4" s="1"/>
  <c r="J85" i="4"/>
  <c r="C85" i="4"/>
  <c r="F85" i="4" s="1"/>
  <c r="K24" i="7"/>
  <c r="X88" i="7"/>
  <c r="P87" i="7"/>
  <c r="Y18" i="7"/>
  <c r="X44" i="7"/>
  <c r="R36" i="7"/>
  <c r="Q22" i="7"/>
  <c r="I95" i="5"/>
  <c r="F95" i="5"/>
  <c r="H95" i="5" s="1"/>
  <c r="I110" i="5"/>
  <c r="F110" i="5"/>
  <c r="H110" i="5" s="1"/>
  <c r="E188" i="4"/>
  <c r="F188" i="4" s="1"/>
  <c r="J188" i="4"/>
  <c r="H188" i="4"/>
  <c r="I188" i="4" s="1"/>
  <c r="H189" i="4"/>
  <c r="E189" i="4"/>
  <c r="AC51" i="7"/>
  <c r="AH32" i="7"/>
  <c r="AD28" i="7"/>
  <c r="AD11" i="7"/>
  <c r="AG83" i="7"/>
  <c r="AE55" i="7"/>
  <c r="AB30" i="7"/>
  <c r="AI31" i="7"/>
  <c r="AG42" i="7"/>
  <c r="AG66" i="7"/>
  <c r="AF74" i="7"/>
  <c r="AF71" i="7"/>
  <c r="AE58" i="7"/>
  <c r="AE73" i="7"/>
  <c r="AD66" i="7"/>
  <c r="AD85" i="7"/>
  <c r="AC91" i="7"/>
  <c r="AC87" i="7"/>
  <c r="AB84" i="7"/>
  <c r="AD47" i="7"/>
  <c r="AD51" i="7"/>
  <c r="AE33" i="7"/>
  <c r="X87" i="7"/>
  <c r="P21" i="7"/>
  <c r="AA60" i="7"/>
  <c r="AA14" i="7"/>
  <c r="AA10" i="7"/>
  <c r="AA6" i="7"/>
  <c r="AA2" i="7"/>
  <c r="AA11" i="7"/>
  <c r="AA7" i="7"/>
  <c r="AA3" i="7"/>
  <c r="AA73" i="7"/>
  <c r="AA64" i="7"/>
  <c r="AA88" i="7"/>
  <c r="AA66" i="7"/>
  <c r="AA34" i="7"/>
  <c r="AA78" i="7"/>
  <c r="AA68" i="7"/>
  <c r="AA56" i="7"/>
  <c r="AA13" i="7"/>
  <c r="AA9" i="7"/>
  <c r="AA5" i="7"/>
  <c r="AA38" i="7"/>
  <c r="AA16" i="7"/>
  <c r="AA12" i="7"/>
  <c r="AA8" i="7"/>
  <c r="AA4" i="7"/>
  <c r="AA50" i="7"/>
  <c r="AA25" i="7"/>
  <c r="AA75" i="7"/>
  <c r="AA41" i="7"/>
  <c r="AA65" i="7"/>
  <c r="X77" i="7"/>
  <c r="X66" i="7"/>
  <c r="X89" i="7"/>
  <c r="P11" i="7"/>
  <c r="E11" i="7"/>
  <c r="G11" i="7" s="1"/>
  <c r="T76" i="7" s="1"/>
  <c r="T58" i="7"/>
  <c r="P54" i="7"/>
  <c r="P66" i="7"/>
  <c r="E7" i="7"/>
  <c r="G7" i="7" s="1"/>
  <c r="P86" i="7"/>
  <c r="L61" i="7"/>
  <c r="I213" i="5"/>
  <c r="F213" i="5"/>
  <c r="H213" i="5" s="1"/>
  <c r="X37" i="7"/>
  <c r="W56" i="7"/>
  <c r="W72" i="7"/>
  <c r="W57" i="7"/>
  <c r="W73" i="7"/>
  <c r="S24" i="7"/>
  <c r="S62" i="7"/>
  <c r="O61" i="7"/>
  <c r="K73" i="7"/>
  <c r="O29" i="7"/>
  <c r="AD31" i="7"/>
  <c r="S14" i="7"/>
  <c r="O4" i="7"/>
  <c r="Y26" i="7"/>
  <c r="N12" i="7"/>
  <c r="J199" i="5"/>
  <c r="AE49" i="7"/>
  <c r="Z42" i="7"/>
  <c r="Z65" i="7"/>
  <c r="V45" i="7"/>
  <c r="V71" i="7"/>
  <c r="V12" i="7"/>
  <c r="V86" i="7"/>
  <c r="V75" i="7"/>
  <c r="R48" i="7"/>
  <c r="R44" i="7"/>
  <c r="R11" i="7"/>
  <c r="R62" i="7"/>
  <c r="R85" i="7"/>
  <c r="N77" i="7"/>
  <c r="N14" i="7"/>
  <c r="N23" i="7"/>
  <c r="N57" i="7"/>
  <c r="N84" i="7"/>
  <c r="G209" i="5"/>
  <c r="H209" i="5" s="1"/>
  <c r="J209" i="5" s="1"/>
  <c r="AC28" i="7"/>
  <c r="G250" i="5"/>
  <c r="AD43" i="7"/>
  <c r="AC49" i="7"/>
  <c r="AC21" i="7"/>
  <c r="G239" i="5"/>
  <c r="H239" i="5" s="1"/>
  <c r="AB27" i="7"/>
  <c r="AB76" i="7"/>
  <c r="AB11" i="7"/>
  <c r="AC29" i="7"/>
  <c r="Y9" i="7"/>
  <c r="Y87" i="7"/>
  <c r="Y37" i="7"/>
  <c r="Y53" i="7"/>
  <c r="Y88" i="7"/>
  <c r="U5" i="7"/>
  <c r="U8" i="7"/>
  <c r="U43" i="7"/>
  <c r="U78" i="7"/>
  <c r="U46" i="7"/>
  <c r="U74" i="7"/>
  <c r="Q34" i="7"/>
  <c r="Q16" i="7"/>
  <c r="Q19" i="7"/>
  <c r="Q57" i="7"/>
  <c r="Q47" i="7"/>
  <c r="Q56" i="7"/>
  <c r="Q79" i="7"/>
  <c r="O42" i="7"/>
  <c r="M71" i="7"/>
  <c r="M14" i="7"/>
  <c r="M32" i="7"/>
  <c r="M36" i="7"/>
  <c r="M53" i="7"/>
  <c r="G221" i="5"/>
  <c r="H221" i="5" s="1"/>
  <c r="I152" i="5"/>
  <c r="F152" i="5"/>
  <c r="H152" i="5" s="1"/>
  <c r="K3" i="7"/>
  <c r="G214" i="5"/>
  <c r="J166" i="5"/>
  <c r="I93" i="5"/>
  <c r="J93" i="5" s="1"/>
  <c r="F93" i="5"/>
  <c r="H93" i="5"/>
  <c r="I130" i="5"/>
  <c r="G130" i="5"/>
  <c r="H130" i="5"/>
  <c r="J204" i="5"/>
  <c r="U28" i="7"/>
  <c r="J109" i="5"/>
  <c r="G161" i="5"/>
  <c r="H161" i="5" s="1"/>
  <c r="I184" i="5"/>
  <c r="F126" i="5"/>
  <c r="H126" i="5" s="1"/>
  <c r="I126" i="5"/>
  <c r="J126" i="5" s="1"/>
  <c r="I118" i="5"/>
  <c r="J79" i="5"/>
  <c r="F31" i="5"/>
  <c r="H31" i="5" s="1"/>
  <c r="I31" i="5"/>
  <c r="J31" i="5" s="1"/>
  <c r="H81" i="5"/>
  <c r="J60" i="5"/>
  <c r="J103" i="5"/>
  <c r="J211" i="4"/>
  <c r="H211" i="4"/>
  <c r="I211" i="4" s="1"/>
  <c r="E211" i="4"/>
  <c r="F211" i="4" s="1"/>
  <c r="E140" i="4"/>
  <c r="F140" i="4" s="1"/>
  <c r="J140" i="4"/>
  <c r="H140" i="4"/>
  <c r="I140" i="4" s="1"/>
  <c r="F25" i="5"/>
  <c r="H25" i="5"/>
  <c r="I25" i="5"/>
  <c r="L182" i="4"/>
  <c r="K182" i="4"/>
  <c r="C106" i="4"/>
  <c r="F106" i="4" s="1"/>
  <c r="J106" i="4"/>
  <c r="G106" i="4"/>
  <c r="I106" i="4" s="1"/>
  <c r="I176" i="4"/>
  <c r="L113" i="4"/>
  <c r="K113" i="4"/>
  <c r="L185" i="4"/>
  <c r="K185" i="4"/>
  <c r="H93" i="4"/>
  <c r="E93" i="4"/>
  <c r="L221" i="4"/>
  <c r="K221" i="4"/>
  <c r="H143" i="4"/>
  <c r="I143" i="4" s="1"/>
  <c r="L143" i="4" s="1"/>
  <c r="E143" i="4"/>
  <c r="F143" i="4" s="1"/>
  <c r="K143" i="4" s="1"/>
  <c r="G105" i="4"/>
  <c r="J105" i="4"/>
  <c r="C105" i="4"/>
  <c r="L86" i="4"/>
  <c r="K86" i="4"/>
  <c r="H44" i="4"/>
  <c r="E44" i="4"/>
  <c r="J131" i="4"/>
  <c r="L24" i="4"/>
  <c r="K24" i="4"/>
  <c r="C115" i="4"/>
  <c r="F115" i="4" s="1"/>
  <c r="G115" i="4"/>
  <c r="J115" i="4"/>
  <c r="G32" i="4"/>
  <c r="I32" i="4" s="1"/>
  <c r="C32" i="4"/>
  <c r="J32" i="4"/>
  <c r="H52" i="4"/>
  <c r="I52" i="4" s="1"/>
  <c r="L52" i="4" s="1"/>
  <c r="E52" i="4"/>
  <c r="F52" i="4" s="1"/>
  <c r="K52" i="4" s="1"/>
  <c r="L110" i="4"/>
  <c r="K110" i="4"/>
  <c r="F135" i="4"/>
  <c r="K135" i="4" s="1"/>
  <c r="I156" i="4"/>
  <c r="L156" i="4" s="1"/>
  <c r="L18" i="4"/>
  <c r="K18" i="4"/>
  <c r="C163" i="4"/>
  <c r="G163" i="4"/>
  <c r="I163" i="4" s="1"/>
  <c r="J163" i="4"/>
  <c r="C172" i="4"/>
  <c r="F172" i="4" s="1"/>
  <c r="J172" i="4"/>
  <c r="G172" i="4"/>
  <c r="I172" i="4" s="1"/>
  <c r="H48" i="4"/>
  <c r="E48" i="4"/>
  <c r="J60" i="4"/>
  <c r="F227" i="5"/>
  <c r="H227" i="5" s="1"/>
  <c r="I227" i="5"/>
  <c r="J143" i="5"/>
  <c r="AB16" i="7"/>
  <c r="AB12" i="7"/>
  <c r="AB8" i="7"/>
  <c r="AB4" i="7"/>
  <c r="AB19" i="7"/>
  <c r="I249" i="5"/>
  <c r="F249" i="5"/>
  <c r="H249" i="5" s="1"/>
  <c r="X35" i="7"/>
  <c r="M65" i="7"/>
  <c r="M74" i="7"/>
  <c r="I117" i="5"/>
  <c r="H117" i="5"/>
  <c r="F117" i="5"/>
  <c r="W15" i="7"/>
  <c r="W11" i="7"/>
  <c r="W7" i="7"/>
  <c r="W10" i="7"/>
  <c r="W6" i="7"/>
  <c r="Y85" i="7"/>
  <c r="M66" i="7"/>
  <c r="AF11" i="7"/>
  <c r="AF7" i="7"/>
  <c r="AF3" i="7"/>
  <c r="AF63" i="7"/>
  <c r="AF34" i="7"/>
  <c r="AF32" i="7"/>
  <c r="AF23" i="7"/>
  <c r="AF43" i="7"/>
  <c r="AF39" i="7"/>
  <c r="AF30" i="7"/>
  <c r="AF24" i="7"/>
  <c r="AF20" i="7"/>
  <c r="AF16" i="7"/>
  <c r="AF12" i="7"/>
  <c r="AF8" i="7"/>
  <c r="AF4" i="7"/>
  <c r="AF65" i="7"/>
  <c r="AF51" i="7"/>
  <c r="AF25" i="7"/>
  <c r="AF19" i="7"/>
  <c r="AF67" i="7"/>
  <c r="AF55" i="7"/>
  <c r="AF40" i="7"/>
  <c r="AF36" i="7"/>
  <c r="AF45" i="7"/>
  <c r="AF31" i="7"/>
  <c r="AF59" i="7"/>
  <c r="AF46" i="7"/>
  <c r="AF44" i="7"/>
  <c r="AF37" i="7"/>
  <c r="AF33" i="7"/>
  <c r="AF57" i="7"/>
  <c r="AF5" i="7"/>
  <c r="AF49" i="7"/>
  <c r="AF14" i="7"/>
  <c r="AF10" i="7"/>
  <c r="AF6" i="7"/>
  <c r="AF2" i="7"/>
  <c r="AF18" i="7"/>
  <c r="AD15" i="7"/>
  <c r="AD3" i="7"/>
  <c r="AD61" i="7"/>
  <c r="AG34" i="7"/>
  <c r="AG58" i="7"/>
  <c r="AG86" i="7"/>
  <c r="AF62" i="7"/>
  <c r="AD58" i="7"/>
  <c r="AD79" i="7"/>
  <c r="AD35" i="7"/>
  <c r="AG81" i="7"/>
  <c r="T55" i="7"/>
  <c r="X31" i="7"/>
  <c r="X42" i="7"/>
  <c r="T87" i="7"/>
  <c r="AB36" i="7"/>
  <c r="Q6" i="7"/>
  <c r="Z79" i="7"/>
  <c r="Z27" i="7"/>
  <c r="Z87" i="7"/>
  <c r="Z54" i="7"/>
  <c r="Z70" i="7"/>
  <c r="Z57" i="7"/>
  <c r="M16" i="7"/>
  <c r="M12" i="7"/>
  <c r="R42" i="7"/>
  <c r="R41" i="7"/>
  <c r="R8" i="7"/>
  <c r="R19" i="7"/>
  <c r="R77" i="7"/>
  <c r="R79" i="7"/>
  <c r="AD82" i="7"/>
  <c r="Y54" i="7"/>
  <c r="Y64" i="7"/>
  <c r="Y90" i="7"/>
  <c r="J234" i="5"/>
  <c r="H5" i="10"/>
  <c r="H2" i="10"/>
  <c r="AG65" i="7"/>
  <c r="AD45" i="7"/>
  <c r="AD26" i="7"/>
  <c r="AD20" i="7"/>
  <c r="AF80" i="7"/>
  <c r="AB54" i="7"/>
  <c r="AF76" i="7"/>
  <c r="AG29" i="7"/>
  <c r="AH91" i="7"/>
  <c r="AG44" i="7"/>
  <c r="AG68" i="7"/>
  <c r="AF91" i="7"/>
  <c r="AD68" i="7"/>
  <c r="AC71" i="7"/>
  <c r="AB71" i="7"/>
  <c r="AC88" i="7"/>
  <c r="AB49" i="7"/>
  <c r="W79" i="7"/>
  <c r="W47" i="7"/>
  <c r="T19" i="7"/>
  <c r="D7" i="7"/>
  <c r="F7" i="7" s="1"/>
  <c r="P78" i="7" s="1"/>
  <c r="L17" i="7"/>
  <c r="AA70" i="7"/>
  <c r="AA26" i="7"/>
  <c r="AA86" i="7"/>
  <c r="AA43" i="7"/>
  <c r="X50" i="7"/>
  <c r="X68" i="7"/>
  <c r="X73" i="7"/>
  <c r="T73" i="7"/>
  <c r="T32" i="7"/>
  <c r="P89" i="7"/>
  <c r="P68" i="7"/>
  <c r="P36" i="7"/>
  <c r="P71" i="7"/>
  <c r="F207" i="5"/>
  <c r="I207" i="5"/>
  <c r="H207" i="5"/>
  <c r="P18" i="7"/>
  <c r="W54" i="7"/>
  <c r="P22" i="7"/>
  <c r="K84" i="7"/>
  <c r="AE31" i="7"/>
  <c r="AC13" i="7"/>
  <c r="G220" i="5"/>
  <c r="H220" i="5" s="1"/>
  <c r="AE9" i="7"/>
  <c r="AE5" i="7"/>
  <c r="AE10" i="7"/>
  <c r="AE6" i="7"/>
  <c r="Z11" i="7"/>
  <c r="Q2" i="7"/>
  <c r="AE70" i="7"/>
  <c r="AE72" i="7"/>
  <c r="Z74" i="7"/>
  <c r="Z22" i="7"/>
  <c r="Z45" i="7"/>
  <c r="Z82" i="7"/>
  <c r="Z67" i="7"/>
  <c r="R50" i="7"/>
  <c r="R80" i="7"/>
  <c r="R24" i="7"/>
  <c r="R64" i="7"/>
  <c r="R87" i="7"/>
  <c r="N90" i="7"/>
  <c r="N24" i="7"/>
  <c r="N59" i="7"/>
  <c r="AC27" i="7"/>
  <c r="AC70" i="7"/>
  <c r="AC23" i="7"/>
  <c r="AB31" i="7"/>
  <c r="AB34" i="7"/>
  <c r="Q23" i="7"/>
  <c r="Y23" i="7"/>
  <c r="Y13" i="7"/>
  <c r="Y33" i="7"/>
  <c r="Y40" i="7"/>
  <c r="Y55" i="7"/>
  <c r="W45" i="7"/>
  <c r="U19" i="7"/>
  <c r="U9" i="7"/>
  <c r="U12" i="7"/>
  <c r="U49" i="7"/>
  <c r="U73" i="7"/>
  <c r="U48" i="7"/>
  <c r="U91" i="7"/>
  <c r="Q50" i="7"/>
  <c r="Q26" i="7"/>
  <c r="Q59" i="7"/>
  <c r="Q77" i="7"/>
  <c r="Q58" i="7"/>
  <c r="M3" i="7"/>
  <c r="M20" i="7"/>
  <c r="M41" i="7"/>
  <c r="M39" i="7"/>
  <c r="M55" i="7"/>
  <c r="M84" i="7"/>
  <c r="AB50" i="7"/>
  <c r="AC34" i="7"/>
  <c r="G185" i="5"/>
  <c r="J200" i="5"/>
  <c r="F172" i="5"/>
  <c r="I172" i="5"/>
  <c r="H172" i="5"/>
  <c r="J224" i="5"/>
  <c r="I215" i="5"/>
  <c r="J215" i="5" s="1"/>
  <c r="J180" i="5"/>
  <c r="H100" i="5"/>
  <c r="I97" i="5"/>
  <c r="J97" i="5" s="1"/>
  <c r="J114" i="5"/>
  <c r="F142" i="5"/>
  <c r="H142" i="5" s="1"/>
  <c r="I142" i="5"/>
  <c r="H118" i="5"/>
  <c r="H85" i="5"/>
  <c r="I85" i="5"/>
  <c r="J85" i="5" s="1"/>
  <c r="F85" i="5"/>
  <c r="J4" i="5"/>
  <c r="I24" i="5"/>
  <c r="J24" i="5" s="1"/>
  <c r="E128" i="4"/>
  <c r="F128" i="4" s="1"/>
  <c r="H128" i="4"/>
  <c r="I128" i="4" s="1"/>
  <c r="J128" i="4"/>
  <c r="C225" i="4"/>
  <c r="F225" i="4" s="1"/>
  <c r="G225" i="4"/>
  <c r="I225" i="4" s="1"/>
  <c r="J225" i="4"/>
  <c r="G238" i="4"/>
  <c r="I238" i="4" s="1"/>
  <c r="C238" i="4"/>
  <c r="J238" i="4"/>
  <c r="H57" i="5"/>
  <c r="L197" i="4"/>
  <c r="K197" i="4"/>
  <c r="L203" i="4"/>
  <c r="K203" i="4"/>
  <c r="J95" i="4"/>
  <c r="G95" i="4"/>
  <c r="I95" i="4" s="1"/>
  <c r="C95" i="4"/>
  <c r="F95" i="4" s="1"/>
  <c r="L173" i="4"/>
  <c r="K173" i="4"/>
  <c r="L227" i="4"/>
  <c r="K227" i="4"/>
  <c r="L87" i="4"/>
  <c r="K87" i="4"/>
  <c r="K167" i="4"/>
  <c r="G165" i="4"/>
  <c r="I165" i="4" s="1"/>
  <c r="J165" i="4"/>
  <c r="C165" i="4"/>
  <c r="F165" i="4" s="1"/>
  <c r="H105" i="4"/>
  <c r="E105" i="4"/>
  <c r="L63" i="4"/>
  <c r="K63" i="4"/>
  <c r="C77" i="4"/>
  <c r="F77" i="4" s="1"/>
  <c r="J77" i="4"/>
  <c r="G77" i="4"/>
  <c r="I77" i="4" s="1"/>
  <c r="J71" i="4"/>
  <c r="C71" i="4"/>
  <c r="F71" i="4" s="1"/>
  <c r="G71" i="4"/>
  <c r="I71" i="4" s="1"/>
  <c r="H35" i="4"/>
  <c r="E35" i="4"/>
  <c r="F159" i="4"/>
  <c r="K159" i="4" s="1"/>
  <c r="F123" i="4"/>
  <c r="K123" i="4" s="1"/>
  <c r="E8" i="4"/>
  <c r="H8" i="4"/>
  <c r="L135" i="4"/>
  <c r="K156" i="4"/>
  <c r="L122" i="4"/>
  <c r="K122" i="4"/>
  <c r="H229" i="4"/>
  <c r="E229" i="4"/>
  <c r="J155" i="4"/>
  <c r="J83" i="4"/>
  <c r="C83" i="4"/>
  <c r="F83" i="4" s="1"/>
  <c r="G83" i="4"/>
  <c r="I83" i="4" s="1"/>
  <c r="L183" i="4"/>
  <c r="E139" i="4"/>
  <c r="H139" i="4"/>
  <c r="H46" i="4"/>
  <c r="E46" i="4"/>
  <c r="J10" i="4"/>
  <c r="J45" i="4"/>
  <c r="J117" i="5" l="1"/>
  <c r="J227" i="5"/>
  <c r="I115" i="4"/>
  <c r="L115" i="4" s="1"/>
  <c r="J16" i="5"/>
  <c r="L82" i="4"/>
  <c r="K82" i="4"/>
  <c r="L45" i="4"/>
  <c r="K45" i="4"/>
  <c r="L225" i="4"/>
  <c r="K225" i="4"/>
  <c r="J142" i="5"/>
  <c r="J83" i="5"/>
  <c r="N15" i="7"/>
  <c r="L190" i="4"/>
  <c r="K190" i="4"/>
  <c r="L130" i="4"/>
  <c r="K130" i="4"/>
  <c r="J152" i="5"/>
  <c r="L154" i="4"/>
  <c r="K154" i="4"/>
  <c r="L206" i="4"/>
  <c r="K206" i="4"/>
  <c r="H178" i="5"/>
  <c r="L118" i="4"/>
  <c r="K118" i="4"/>
  <c r="J136" i="5"/>
  <c r="J250" i="5"/>
  <c r="L112" i="4"/>
  <c r="K112" i="4"/>
  <c r="Z53" i="7"/>
  <c r="Z68" i="7"/>
  <c r="Z90" i="7"/>
  <c r="Z37" i="7"/>
  <c r="Z24" i="7"/>
  <c r="Z56" i="7"/>
  <c r="Z83" i="7"/>
  <c r="Z80" i="7"/>
  <c r="Z6" i="7"/>
  <c r="Z52" i="7"/>
  <c r="Z25" i="7"/>
  <c r="Z28" i="7"/>
  <c r="Z43" i="7"/>
  <c r="Z60" i="7"/>
  <c r="Z38" i="7"/>
  <c r="Z41" i="7"/>
  <c r="Z34" i="7"/>
  <c r="Z47" i="7"/>
  <c r="Z89" i="7"/>
  <c r="Z16" i="7"/>
  <c r="Z20" i="7"/>
  <c r="Z15" i="7"/>
  <c r="Z66" i="7"/>
  <c r="Z4" i="7"/>
  <c r="Z13" i="7"/>
  <c r="Z63" i="7"/>
  <c r="Z30" i="7"/>
  <c r="Z5" i="7"/>
  <c r="Z62" i="7"/>
  <c r="Z9" i="7"/>
  <c r="Z2" i="7"/>
  <c r="Z78" i="7"/>
  <c r="Z64" i="7"/>
  <c r="Z21" i="7"/>
  <c r="Z31" i="7"/>
  <c r="Z14" i="7"/>
  <c r="Z88" i="7"/>
  <c r="Z58" i="7"/>
  <c r="Z69" i="7"/>
  <c r="Z23" i="7"/>
  <c r="Z40" i="7"/>
  <c r="Z77" i="7"/>
  <c r="Z48" i="7"/>
  <c r="Z26" i="7"/>
  <c r="Z85" i="7"/>
  <c r="Z19" i="7"/>
  <c r="Z81" i="7"/>
  <c r="Z71" i="7"/>
  <c r="Z36" i="7"/>
  <c r="Z3" i="7"/>
  <c r="Z33" i="7"/>
  <c r="H147" i="5"/>
  <c r="H196" i="5"/>
  <c r="J127" i="5"/>
  <c r="H67" i="5"/>
  <c r="L155" i="4"/>
  <c r="K155" i="4"/>
  <c r="J107" i="5"/>
  <c r="H185" i="5"/>
  <c r="J95" i="5"/>
  <c r="L65" i="4"/>
  <c r="K65" i="4"/>
  <c r="F44" i="4"/>
  <c r="K93" i="4"/>
  <c r="L245" i="4"/>
  <c r="K245" i="4"/>
  <c r="L223" i="4"/>
  <c r="K223" i="4"/>
  <c r="L60" i="4"/>
  <c r="K60" i="4"/>
  <c r="L83" i="4"/>
  <c r="K83" i="4"/>
  <c r="L232" i="4"/>
  <c r="K232" i="4"/>
  <c r="J219" i="5"/>
  <c r="J207" i="5"/>
  <c r="J220" i="5"/>
  <c r="Z35" i="7"/>
  <c r="I93" i="4"/>
  <c r="L93" i="4" s="1"/>
  <c r="J161" i="5"/>
  <c r="L187" i="4"/>
  <c r="K187" i="4"/>
  <c r="I48" i="4"/>
  <c r="L48" i="4" s="1"/>
  <c r="L129" i="4"/>
  <c r="L233" i="4"/>
  <c r="K233" i="4"/>
  <c r="H214" i="5"/>
  <c r="Z61" i="7"/>
  <c r="J134" i="5"/>
  <c r="AJ87" i="7"/>
  <c r="AK87" i="7" s="1"/>
  <c r="AL87" i="7" s="1"/>
  <c r="L166" i="4"/>
  <c r="K166" i="4"/>
  <c r="L238" i="4"/>
  <c r="N78" i="7"/>
  <c r="N56" i="7"/>
  <c r="N38" i="7"/>
  <c r="AJ38" i="7" s="1"/>
  <c r="AK38" i="7" s="1"/>
  <c r="AL38" i="7" s="1"/>
  <c r="N82" i="7"/>
  <c r="N87" i="7"/>
  <c r="N26" i="7"/>
  <c r="N72" i="7"/>
  <c r="AJ72" i="7" s="1"/>
  <c r="AK72" i="7" s="1"/>
  <c r="AL72" i="7" s="1"/>
  <c r="N89" i="7"/>
  <c r="N28" i="7"/>
  <c r="N61" i="7"/>
  <c r="AJ61" i="7" s="1"/>
  <c r="AK61" i="7" s="1"/>
  <c r="AL61" i="7" s="1"/>
  <c r="N68" i="7"/>
  <c r="N47" i="7"/>
  <c r="N35" i="7"/>
  <c r="N69" i="7"/>
  <c r="AJ69" i="7" s="1"/>
  <c r="AK69" i="7" s="1"/>
  <c r="AL69" i="7" s="1"/>
  <c r="N73" i="7"/>
  <c r="N17" i="7"/>
  <c r="AJ17" i="7" s="1"/>
  <c r="AK17" i="7" s="1"/>
  <c r="AL17" i="7" s="1"/>
  <c r="N85" i="7"/>
  <c r="N60" i="7"/>
  <c r="N13" i="7"/>
  <c r="N48" i="7"/>
  <c r="N42" i="7"/>
  <c r="N21" i="7"/>
  <c r="J63" i="5"/>
  <c r="L230" i="4"/>
  <c r="K230" i="4"/>
  <c r="Z86" i="7"/>
  <c r="J249" i="5"/>
  <c r="F238" i="4"/>
  <c r="K238" i="4" s="1"/>
  <c r="J172" i="5"/>
  <c r="F163" i="4"/>
  <c r="K115" i="4"/>
  <c r="I105" i="4"/>
  <c r="L105" i="4" s="1"/>
  <c r="N22" i="7"/>
  <c r="AJ22" i="7" s="1"/>
  <c r="AK22" i="7" s="1"/>
  <c r="AL22" i="7" s="1"/>
  <c r="Y3" i="7"/>
  <c r="Y22" i="7"/>
  <c r="R65" i="7"/>
  <c r="R91" i="7"/>
  <c r="R3" i="7"/>
  <c r="AJ3" i="7" s="1"/>
  <c r="AK3" i="7" s="1"/>
  <c r="AL3" i="7" s="1"/>
  <c r="R45" i="7"/>
  <c r="R6" i="7"/>
  <c r="R39" i="7"/>
  <c r="R74" i="7"/>
  <c r="R4" i="7"/>
  <c r="R59" i="7"/>
  <c r="R75" i="7"/>
  <c r="R55" i="7"/>
  <c r="R84" i="7"/>
  <c r="R31" i="7"/>
  <c r="R37" i="7"/>
  <c r="R14" i="7"/>
  <c r="J167" i="5"/>
  <c r="I235" i="4"/>
  <c r="L235" i="4" s="1"/>
  <c r="J49" i="5"/>
  <c r="L153" i="4"/>
  <c r="K202" i="4"/>
  <c r="L68" i="4"/>
  <c r="K68" i="4"/>
  <c r="L31" i="4"/>
  <c r="K31" i="4"/>
  <c r="F199" i="4"/>
  <c r="J147" i="5"/>
  <c r="T22" i="7"/>
  <c r="T65" i="7"/>
  <c r="T41" i="7"/>
  <c r="J98" i="5"/>
  <c r="K13" i="4"/>
  <c r="J37" i="5"/>
  <c r="J232" i="5"/>
  <c r="J89" i="5"/>
  <c r="T74" i="7"/>
  <c r="J140" i="5"/>
  <c r="J124" i="5"/>
  <c r="L107" i="4"/>
  <c r="K107" i="4"/>
  <c r="L10" i="4"/>
  <c r="K10" i="4"/>
  <c r="L165" i="4"/>
  <c r="K165" i="4"/>
  <c r="L95" i="4"/>
  <c r="K95" i="4"/>
  <c r="L128" i="4"/>
  <c r="K128" i="4"/>
  <c r="L131" i="4"/>
  <c r="K131" i="4"/>
  <c r="J25" i="5"/>
  <c r="R23" i="7"/>
  <c r="T25" i="7"/>
  <c r="L67" i="4"/>
  <c r="K67" i="4"/>
  <c r="F191" i="4"/>
  <c r="K191" i="4" s="1"/>
  <c r="L239" i="4"/>
  <c r="K239" i="4"/>
  <c r="J154" i="5"/>
  <c r="Y51" i="7"/>
  <c r="T71" i="7"/>
  <c r="J214" i="5"/>
  <c r="R57" i="7"/>
  <c r="L103" i="4"/>
  <c r="K103" i="4"/>
  <c r="J141" i="5"/>
  <c r="T90" i="7"/>
  <c r="P51" i="7"/>
  <c r="L207" i="4"/>
  <c r="K207" i="4"/>
  <c r="L57" i="4"/>
  <c r="K57" i="4"/>
  <c r="J233" i="5"/>
  <c r="L19" i="4"/>
  <c r="K19" i="4"/>
  <c r="Z10" i="7"/>
  <c r="Z84" i="7"/>
  <c r="Z91" i="7"/>
  <c r="Z49" i="7"/>
  <c r="Z76" i="7"/>
  <c r="Z7" i="7"/>
  <c r="T61" i="7"/>
  <c r="T37" i="7"/>
  <c r="T30" i="7"/>
  <c r="T43" i="7"/>
  <c r="F25" i="4"/>
  <c r="I229" i="4"/>
  <c r="L229" i="4" s="1"/>
  <c r="I100" i="4"/>
  <c r="L100" i="4" s="1"/>
  <c r="I13" i="4"/>
  <c r="L13" i="4" s="1"/>
  <c r="J246" i="5"/>
  <c r="J201" i="5"/>
  <c r="J153" i="5"/>
  <c r="T77" i="7"/>
  <c r="L124" i="4"/>
  <c r="K124" i="4"/>
  <c r="L175" i="4"/>
  <c r="F97" i="4"/>
  <c r="K97" i="4" s="1"/>
  <c r="J5" i="5"/>
  <c r="T23" i="7"/>
  <c r="T2" i="7"/>
  <c r="T75" i="7"/>
  <c r="I25" i="4"/>
  <c r="L25" i="4" s="1"/>
  <c r="F100" i="4"/>
  <c r="K100" i="4" s="1"/>
  <c r="F13" i="4"/>
  <c r="L94" i="4"/>
  <c r="K94" i="4"/>
  <c r="J203" i="5"/>
  <c r="J185" i="5"/>
  <c r="T46" i="7"/>
  <c r="L201" i="4"/>
  <c r="K201" i="4"/>
  <c r="I97" i="4"/>
  <c r="L97" i="4" s="1"/>
  <c r="J65" i="5"/>
  <c r="J87" i="5"/>
  <c r="J183" i="5"/>
  <c r="T17" i="7"/>
  <c r="T6" i="7"/>
  <c r="K25" i="4"/>
  <c r="F229" i="4"/>
  <c r="K229" i="4" s="1"/>
  <c r="L91" i="4"/>
  <c r="K91" i="4"/>
  <c r="L37" i="4"/>
  <c r="K37" i="4"/>
  <c r="J146" i="5"/>
  <c r="T49" i="7"/>
  <c r="T66" i="7"/>
  <c r="T31" i="7"/>
  <c r="J237" i="5"/>
  <c r="J226" i="5"/>
  <c r="L71" i="4"/>
  <c r="K71" i="4"/>
  <c r="R12" i="7"/>
  <c r="AJ12" i="7" s="1"/>
  <c r="AK12" i="7" s="1"/>
  <c r="L172" i="4"/>
  <c r="K172" i="4"/>
  <c r="J130" i="5"/>
  <c r="R54" i="7"/>
  <c r="AJ73" i="7"/>
  <c r="AK73" i="7" s="1"/>
  <c r="AL73" i="7" s="1"/>
  <c r="L189" i="4"/>
  <c r="J158" i="5"/>
  <c r="I46" i="4"/>
  <c r="L46" i="4" s="1"/>
  <c r="J19" i="5"/>
  <c r="J100" i="5"/>
  <c r="R90" i="7"/>
  <c r="P85" i="7"/>
  <c r="K246" i="4"/>
  <c r="L246" i="4"/>
  <c r="P67" i="7"/>
  <c r="J77" i="5"/>
  <c r="F41" i="4"/>
  <c r="K41" i="4" s="1"/>
  <c r="J17" i="5"/>
  <c r="J67" i="5"/>
  <c r="J208" i="5"/>
  <c r="J231" i="5"/>
  <c r="L7" i="7"/>
  <c r="L44" i="7"/>
  <c r="P58" i="7"/>
  <c r="F250" i="4"/>
  <c r="L61" i="4"/>
  <c r="K61" i="4"/>
  <c r="L148" i="4"/>
  <c r="K148" i="4"/>
  <c r="F175" i="4"/>
  <c r="K175" i="4" s="1"/>
  <c r="F117" i="4"/>
  <c r="J122" i="5"/>
  <c r="J156" i="5"/>
  <c r="J192" i="5"/>
  <c r="R71" i="7"/>
  <c r="T24" i="7"/>
  <c r="T10" i="7"/>
  <c r="T63" i="7"/>
  <c r="L119" i="4"/>
  <c r="K119" i="4"/>
  <c r="F141" i="4"/>
  <c r="K141" i="4" s="1"/>
  <c r="I139" i="4"/>
  <c r="L139" i="4" s="1"/>
  <c r="F49" i="4"/>
  <c r="K49" i="4" s="1"/>
  <c r="F219" i="4"/>
  <c r="K219" i="4" s="1"/>
  <c r="J144" i="5"/>
  <c r="J238" i="5"/>
  <c r="R66" i="7"/>
  <c r="J191" i="5"/>
  <c r="L178" i="4"/>
  <c r="K178" i="4"/>
  <c r="P40" i="7"/>
  <c r="J225" i="5"/>
  <c r="R70" i="7"/>
  <c r="F189" i="4"/>
  <c r="K189" i="4" s="1"/>
  <c r="F46" i="4"/>
  <c r="K46" i="4" s="1"/>
  <c r="K236" i="4"/>
  <c r="L236" i="4"/>
  <c r="L184" i="4"/>
  <c r="K184" i="4"/>
  <c r="T50" i="7"/>
  <c r="I250" i="4"/>
  <c r="L117" i="4"/>
  <c r="K117" i="4"/>
  <c r="J178" i="5"/>
  <c r="R30" i="7"/>
  <c r="T35" i="7"/>
  <c r="AJ35" i="7" s="1"/>
  <c r="AK35" i="7" s="1"/>
  <c r="AL35" i="7" s="1"/>
  <c r="T14" i="7"/>
  <c r="T81" i="7"/>
  <c r="L76" i="4"/>
  <c r="K76" i="4"/>
  <c r="F81" i="4"/>
  <c r="K81" i="4" s="1"/>
  <c r="F139" i="4"/>
  <c r="K139" i="4" s="1"/>
  <c r="I49" i="4"/>
  <c r="L49" i="4" s="1"/>
  <c r="I219" i="4"/>
  <c r="L219" i="4" s="1"/>
  <c r="R25" i="7"/>
  <c r="AJ84" i="7"/>
  <c r="AK84" i="7" s="1"/>
  <c r="AL84" i="7" s="1"/>
  <c r="L214" i="4"/>
  <c r="K214" i="4"/>
  <c r="L136" i="4"/>
  <c r="K136" i="4"/>
  <c r="L191" i="4"/>
  <c r="J41" i="5"/>
  <c r="J133" i="5"/>
  <c r="J221" i="5"/>
  <c r="I41" i="4"/>
  <c r="L41" i="4" s="1"/>
  <c r="L32" i="4"/>
  <c r="L140" i="4"/>
  <c r="K140" i="4"/>
  <c r="J118" i="5"/>
  <c r="R52" i="7"/>
  <c r="AJ52" i="7" s="1"/>
  <c r="AK52" i="7" s="1"/>
  <c r="AL52" i="7" s="1"/>
  <c r="L188" i="4"/>
  <c r="K188" i="4"/>
  <c r="J251" i="5"/>
  <c r="J81" i="5"/>
  <c r="J44" i="5"/>
  <c r="L77" i="4"/>
  <c r="K77" i="4"/>
  <c r="R67" i="7"/>
  <c r="T60" i="7"/>
  <c r="P43" i="7"/>
  <c r="P34" i="7"/>
  <c r="P79" i="7"/>
  <c r="P53" i="7"/>
  <c r="AJ53" i="7" s="1"/>
  <c r="AK53" i="7" s="1"/>
  <c r="AL53" i="7" s="1"/>
  <c r="P38" i="7"/>
  <c r="P75" i="7"/>
  <c r="P23" i="7"/>
  <c r="P48" i="7"/>
  <c r="P24" i="7"/>
  <c r="P76" i="7"/>
  <c r="P80" i="7"/>
  <c r="P57" i="7"/>
  <c r="P25" i="7"/>
  <c r="P44" i="7"/>
  <c r="P14" i="7"/>
  <c r="P91" i="7"/>
  <c r="P59" i="7"/>
  <c r="P26" i="7"/>
  <c r="P70" i="7"/>
  <c r="P10" i="7"/>
  <c r="P32" i="7"/>
  <c r="L163" i="4"/>
  <c r="K163" i="4"/>
  <c r="F32" i="4"/>
  <c r="K32" i="4" s="1"/>
  <c r="F105" i="4"/>
  <c r="K105" i="4" s="1"/>
  <c r="I189" i="4"/>
  <c r="P27" i="7"/>
  <c r="P41" i="7"/>
  <c r="L179" i="4"/>
  <c r="K179" i="4"/>
  <c r="L152" i="4"/>
  <c r="K152" i="4"/>
  <c r="J51" i="5"/>
  <c r="P7" i="7"/>
  <c r="P47" i="7"/>
  <c r="AJ47" i="7" s="1"/>
  <c r="AK47" i="7" s="1"/>
  <c r="AL47" i="7" s="1"/>
  <c r="L16" i="4"/>
  <c r="K16" i="4"/>
  <c r="K226" i="4"/>
  <c r="J6" i="5"/>
  <c r="L164" i="4"/>
  <c r="K164" i="4"/>
  <c r="J176" i="5"/>
  <c r="P62" i="7"/>
  <c r="AJ62" i="7" s="1"/>
  <c r="AK62" i="7" s="1"/>
  <c r="AL62" i="7" s="1"/>
  <c r="L76" i="7"/>
  <c r="L15" i="7"/>
  <c r="AJ15" i="7" s="1"/>
  <c r="AK15" i="7" s="1"/>
  <c r="AL15" i="7" s="1"/>
  <c r="L7" i="4"/>
  <c r="K7" i="4"/>
  <c r="T40" i="7"/>
  <c r="L250" i="4"/>
  <c r="K250" i="4"/>
  <c r="L88" i="4"/>
  <c r="K88" i="4"/>
  <c r="L228" i="4"/>
  <c r="K228" i="4"/>
  <c r="I117" i="4"/>
  <c r="J104" i="5"/>
  <c r="J190" i="5"/>
  <c r="R16" i="7"/>
  <c r="AJ16" i="7" s="1"/>
  <c r="AK16" i="7" s="1"/>
  <c r="AL16" i="7" s="1"/>
  <c r="R63" i="7"/>
  <c r="T68" i="7"/>
  <c r="T51" i="7"/>
  <c r="T21" i="7"/>
  <c r="AJ21" i="7" s="1"/>
  <c r="AK21" i="7" s="1"/>
  <c r="AL21" i="7" s="1"/>
  <c r="T4" i="7"/>
  <c r="L234" i="4"/>
  <c r="K234" i="4"/>
  <c r="J195" i="5"/>
  <c r="F35" i="4"/>
  <c r="K35" i="4" s="1"/>
  <c r="I141" i="4"/>
  <c r="L141" i="4" s="1"/>
  <c r="L81" i="4"/>
  <c r="F47" i="4"/>
  <c r="F200" i="4"/>
  <c r="P42" i="7"/>
  <c r="T83" i="7"/>
  <c r="J189" i="5"/>
  <c r="T80" i="7"/>
  <c r="L127" i="4"/>
  <c r="K127" i="4"/>
  <c r="R5" i="7"/>
  <c r="T70" i="7"/>
  <c r="T5" i="7"/>
  <c r="T3" i="7"/>
  <c r="T8" i="7"/>
  <c r="I35" i="4"/>
  <c r="L35" i="4" s="1"/>
  <c r="I81" i="4"/>
  <c r="I47" i="4"/>
  <c r="L47" i="4" s="1"/>
  <c r="I200" i="4"/>
  <c r="L200" i="4" s="1"/>
  <c r="L116" i="4"/>
  <c r="K116" i="4"/>
  <c r="R2" i="7"/>
  <c r="P82" i="7"/>
  <c r="AJ82" i="7" s="1"/>
  <c r="AK82" i="7" s="1"/>
  <c r="AL82" i="7" s="1"/>
  <c r="J213" i="5"/>
  <c r="J111" i="5"/>
  <c r="T84" i="7"/>
  <c r="L160" i="4"/>
  <c r="K160" i="4"/>
  <c r="I226" i="4"/>
  <c r="L226" i="4" s="1"/>
  <c r="R83" i="7"/>
  <c r="T54" i="7"/>
  <c r="P83" i="7"/>
  <c r="F55" i="4"/>
  <c r="K55" i="4" s="1"/>
  <c r="L142" i="4"/>
  <c r="K142" i="4"/>
  <c r="J59" i="5"/>
  <c r="J68" i="5"/>
  <c r="L82" i="7"/>
  <c r="L63" i="7"/>
  <c r="AJ63" i="7" s="1"/>
  <c r="AK63" i="7" s="1"/>
  <c r="AL63" i="7" s="1"/>
  <c r="L34" i="7"/>
  <c r="AJ34" i="7" s="1"/>
  <c r="AK34" i="7" s="1"/>
  <c r="AL34" i="7" s="1"/>
  <c r="L39" i="7"/>
  <c r="L68" i="7"/>
  <c r="AJ68" i="7" s="1"/>
  <c r="AK68" i="7" s="1"/>
  <c r="AL68" i="7" s="1"/>
  <c r="L75" i="7"/>
  <c r="AJ75" i="7" s="1"/>
  <c r="AK75" i="7" s="1"/>
  <c r="AL75" i="7" s="1"/>
  <c r="L58" i="7"/>
  <c r="L26" i="7"/>
  <c r="AJ26" i="7" s="1"/>
  <c r="AK26" i="7" s="1"/>
  <c r="AL26" i="7" s="1"/>
  <c r="L2" i="7"/>
  <c r="AJ2" i="7" s="1"/>
  <c r="AK2" i="7" s="1"/>
  <c r="L20" i="7"/>
  <c r="L80" i="7"/>
  <c r="L31" i="7"/>
  <c r="AJ31" i="7" s="1"/>
  <c r="AK31" i="7" s="1"/>
  <c r="AL31" i="7" s="1"/>
  <c r="L36" i="7"/>
  <c r="L6" i="7"/>
  <c r="AJ6" i="7" s="1"/>
  <c r="AK6" i="7" s="1"/>
  <c r="AL6" i="7" s="1"/>
  <c r="L73" i="7"/>
  <c r="L59" i="7"/>
  <c r="L29" i="7"/>
  <c r="AJ29" i="7" s="1"/>
  <c r="AK29" i="7" s="1"/>
  <c r="AL29" i="7" s="1"/>
  <c r="L33" i="7"/>
  <c r="AJ33" i="7" s="1"/>
  <c r="AK33" i="7" s="1"/>
  <c r="AL33" i="7" s="1"/>
  <c r="L23" i="7"/>
  <c r="AJ23" i="7" s="1"/>
  <c r="AK23" i="7" s="1"/>
  <c r="AL23" i="7" s="1"/>
  <c r="L91" i="7"/>
  <c r="AJ91" i="7" s="1"/>
  <c r="AK91" i="7" s="1"/>
  <c r="AL91" i="7" s="1"/>
  <c r="L74" i="7"/>
  <c r="AJ74" i="7" s="1"/>
  <c r="AK74" i="7" s="1"/>
  <c r="AL74" i="7" s="1"/>
  <c r="L78" i="7"/>
  <c r="L25" i="7"/>
  <c r="L66" i="7"/>
  <c r="AJ66" i="7" s="1"/>
  <c r="AK66" i="7" s="1"/>
  <c r="AL66" i="7" s="1"/>
  <c r="L40" i="7"/>
  <c r="L83" i="7"/>
  <c r="L57" i="7"/>
  <c r="L27" i="7"/>
  <c r="AJ27" i="7" s="1"/>
  <c r="AK27" i="7" s="1"/>
  <c r="AL27" i="7" s="1"/>
  <c r="L51" i="7"/>
  <c r="AJ51" i="7" s="1"/>
  <c r="AK51" i="7" s="1"/>
  <c r="AL51" i="7" s="1"/>
  <c r="L70" i="7"/>
  <c r="AJ70" i="7" s="1"/>
  <c r="AK70" i="7" s="1"/>
  <c r="AL70" i="7" s="1"/>
  <c r="L41" i="7"/>
  <c r="AJ41" i="7" s="1"/>
  <c r="AK41" i="7" s="1"/>
  <c r="AL41" i="7" s="1"/>
  <c r="L30" i="7"/>
  <c r="AJ30" i="7" s="1"/>
  <c r="AK30" i="7" s="1"/>
  <c r="AL30" i="7" s="1"/>
  <c r="L88" i="7"/>
  <c r="AJ88" i="7" s="1"/>
  <c r="AK88" i="7" s="1"/>
  <c r="AL88" i="7" s="1"/>
  <c r="L86" i="7"/>
  <c r="L67" i="7"/>
  <c r="L32" i="7"/>
  <c r="L10" i="7"/>
  <c r="L79" i="7"/>
  <c r="L71" i="7"/>
  <c r="AJ71" i="7" s="1"/>
  <c r="AK71" i="7" s="1"/>
  <c r="AL71" i="7" s="1"/>
  <c r="L55" i="7"/>
  <c r="AJ55" i="7" s="1"/>
  <c r="AK55" i="7" s="1"/>
  <c r="AL55" i="7" s="1"/>
  <c r="L43" i="7"/>
  <c r="AJ43" i="7" s="1"/>
  <c r="AK43" i="7" s="1"/>
  <c r="AL43" i="7" s="1"/>
  <c r="L14" i="7"/>
  <c r="AJ14" i="7" s="1"/>
  <c r="AK14" i="7" s="1"/>
  <c r="AL14" i="7" s="1"/>
  <c r="L90" i="7"/>
  <c r="AJ90" i="7" s="1"/>
  <c r="AK90" i="7" s="1"/>
  <c r="AL90" i="7" s="1"/>
  <c r="L46" i="7"/>
  <c r="AJ46" i="7" s="1"/>
  <c r="AK46" i="7" s="1"/>
  <c r="AL46" i="7" s="1"/>
  <c r="L54" i="7"/>
  <c r="AJ54" i="7" s="1"/>
  <c r="AK54" i="7" s="1"/>
  <c r="AL54" i="7" s="1"/>
  <c r="L28" i="7"/>
  <c r="L48" i="7"/>
  <c r="L84" i="7"/>
  <c r="L65" i="7"/>
  <c r="AJ65" i="7" s="1"/>
  <c r="AK65" i="7" s="1"/>
  <c r="AL65" i="7" s="1"/>
  <c r="L37" i="7"/>
  <c r="AJ37" i="7" s="1"/>
  <c r="AK37" i="7" s="1"/>
  <c r="AL37" i="7" s="1"/>
  <c r="L24" i="7"/>
  <c r="AJ24" i="7" s="1"/>
  <c r="AK24" i="7" s="1"/>
  <c r="AL24" i="7" s="1"/>
  <c r="L19" i="7"/>
  <c r="AJ19" i="7" s="1"/>
  <c r="AK19" i="7" s="1"/>
  <c r="AL19" i="7" s="1"/>
  <c r="L81" i="7"/>
  <c r="AJ81" i="7" s="1"/>
  <c r="AK81" i="7" s="1"/>
  <c r="AL81" i="7" s="1"/>
  <c r="L49" i="7"/>
  <c r="AJ49" i="7" s="1"/>
  <c r="AK49" i="7" s="1"/>
  <c r="AL49" i="7" s="1"/>
  <c r="L45" i="7"/>
  <c r="AJ45" i="7" s="1"/>
  <c r="AK45" i="7" s="1"/>
  <c r="AL45" i="7" s="1"/>
  <c r="L56" i="7"/>
  <c r="AJ56" i="7" s="1"/>
  <c r="AK56" i="7" s="1"/>
  <c r="AL56" i="7" s="1"/>
  <c r="L5" i="7"/>
  <c r="AJ5" i="7" s="1"/>
  <c r="AK5" i="7" s="1"/>
  <c r="AL5" i="7" s="1"/>
  <c r="L77" i="7"/>
  <c r="L18" i="7"/>
  <c r="T45" i="7"/>
  <c r="T16" i="7"/>
  <c r="L59" i="4"/>
  <c r="K59" i="4"/>
  <c r="L151" i="4"/>
  <c r="K151" i="4"/>
  <c r="J57" i="5"/>
  <c r="J94" i="5"/>
  <c r="R76" i="7"/>
  <c r="Z8" i="7"/>
  <c r="T27" i="7"/>
  <c r="T9" i="7"/>
  <c r="AJ9" i="7" s="1"/>
  <c r="AK9" i="7" s="1"/>
  <c r="AL9" i="7" s="1"/>
  <c r="T7" i="7"/>
  <c r="F8" i="4"/>
  <c r="K8" i="4" s="1"/>
  <c r="L220" i="4"/>
  <c r="K220" i="4"/>
  <c r="I212" i="4"/>
  <c r="L212" i="4" s="1"/>
  <c r="K47" i="4"/>
  <c r="L213" i="4"/>
  <c r="K200" i="4"/>
  <c r="R33" i="7"/>
  <c r="T20" i="7"/>
  <c r="P90" i="7"/>
  <c r="T59" i="7"/>
  <c r="R18" i="7"/>
  <c r="T57" i="7"/>
  <c r="J71" i="5"/>
  <c r="J244" i="5"/>
  <c r="L106" i="4"/>
  <c r="K106" i="4"/>
  <c r="L211" i="4"/>
  <c r="K211" i="4"/>
  <c r="J184" i="5"/>
  <c r="J110" i="5"/>
  <c r="L85" i="4"/>
  <c r="K85" i="4"/>
  <c r="J2" i="5"/>
  <c r="L44" i="4"/>
  <c r="K44" i="4"/>
  <c r="L222" i="4"/>
  <c r="K222" i="4"/>
  <c r="J137" i="5"/>
  <c r="T28" i="7"/>
  <c r="T12" i="7"/>
  <c r="J129" i="5"/>
  <c r="P72" i="7"/>
  <c r="F48" i="4"/>
  <c r="K48" i="4" s="1"/>
  <c r="F129" i="4"/>
  <c r="K129" i="4" s="1"/>
  <c r="J131" i="5"/>
  <c r="R58" i="7"/>
  <c r="T91" i="7"/>
  <c r="L247" i="4"/>
  <c r="K247" i="4"/>
  <c r="L55" i="4"/>
  <c r="L64" i="4"/>
  <c r="K64" i="4"/>
  <c r="L176" i="4"/>
  <c r="K176" i="4"/>
  <c r="R81" i="7"/>
  <c r="L50" i="7"/>
  <c r="AJ50" i="7" s="1"/>
  <c r="AK50" i="7" s="1"/>
  <c r="AL50" i="7" s="1"/>
  <c r="L4" i="7"/>
  <c r="AJ4" i="7" s="1"/>
  <c r="AK4" i="7" s="1"/>
  <c r="AL4" i="7" s="1"/>
  <c r="J125" i="5"/>
  <c r="J48" i="5"/>
  <c r="T36" i="7"/>
  <c r="L43" i="4"/>
  <c r="K43" i="4"/>
  <c r="AJ86" i="7"/>
  <c r="AK86" i="7" s="1"/>
  <c r="AL86" i="7" s="1"/>
  <c r="R29" i="7"/>
  <c r="Z12" i="7"/>
  <c r="T13" i="7"/>
  <c r="T11" i="7"/>
  <c r="AJ11" i="7" s="1"/>
  <c r="AK11" i="7" s="1"/>
  <c r="AL11" i="7" s="1"/>
  <c r="I8" i="4"/>
  <c r="L8" i="4" s="1"/>
  <c r="F212" i="4"/>
  <c r="K212" i="4" s="1"/>
  <c r="L79" i="4"/>
  <c r="K79" i="4"/>
  <c r="F213" i="4"/>
  <c r="K213" i="4" s="1"/>
  <c r="R27" i="7"/>
  <c r="J182" i="5"/>
  <c r="T62" i="7"/>
  <c r="Z50" i="7"/>
  <c r="J13" i="5"/>
  <c r="I199" i="4"/>
  <c r="L199" i="4" s="1"/>
  <c r="J164" i="5"/>
  <c r="T15" i="7"/>
  <c r="T33" i="7"/>
  <c r="T67" i="7"/>
  <c r="L34" i="4"/>
  <c r="K34" i="4"/>
  <c r="R51" i="7"/>
  <c r="Z46" i="7"/>
  <c r="J239" i="5"/>
  <c r="R20" i="7"/>
  <c r="T69" i="7"/>
  <c r="T85" i="7"/>
  <c r="T53" i="7"/>
  <c r="T89" i="7"/>
  <c r="AJ89" i="7" s="1"/>
  <c r="AK89" i="7" s="1"/>
  <c r="AL89" i="7" s="1"/>
  <c r="T64" i="7"/>
  <c r="AJ64" i="7" s="1"/>
  <c r="AK64" i="7" s="1"/>
  <c r="AL64" i="7" s="1"/>
  <c r="T82" i="7"/>
  <c r="T29" i="7"/>
  <c r="T72" i="7"/>
  <c r="T47" i="7"/>
  <c r="T44" i="7"/>
  <c r="F235" i="4"/>
  <c r="K235" i="4" s="1"/>
  <c r="F153" i="4"/>
  <c r="K153" i="4" s="1"/>
  <c r="L53" i="4"/>
  <c r="K53" i="4"/>
  <c r="I202" i="4"/>
  <c r="L202" i="4" s="1"/>
  <c r="J222" i="5"/>
  <c r="L177" i="4"/>
  <c r="K177" i="4"/>
  <c r="L208" i="4"/>
  <c r="K208" i="4"/>
  <c r="K199" i="4"/>
  <c r="J75" i="5"/>
  <c r="J196" i="5"/>
  <c r="Z32" i="7"/>
  <c r="T48" i="7"/>
  <c r="T39" i="7"/>
  <c r="L209" i="4"/>
  <c r="K209" i="4"/>
  <c r="L22" i="4"/>
  <c r="K22" i="4"/>
  <c r="L216" i="4"/>
  <c r="K216" i="4"/>
  <c r="T79" i="7"/>
  <c r="T78" i="7"/>
  <c r="J53" i="5"/>
  <c r="AL12" i="7" l="1"/>
  <c r="N2" i="4"/>
  <c r="N4" i="4"/>
  <c r="B16" i="13" s="1"/>
  <c r="AJ13" i="7"/>
  <c r="AK13" i="7" s="1"/>
  <c r="AL13" i="7" s="1"/>
  <c r="AJ60" i="7"/>
  <c r="AK60" i="7" s="1"/>
  <c r="AL60" i="7" s="1"/>
  <c r="AJ57" i="7"/>
  <c r="AK57" i="7" s="1"/>
  <c r="AL57" i="7" s="1"/>
  <c r="AJ85" i="7"/>
  <c r="AK85" i="7" s="1"/>
  <c r="AL85" i="7" s="1"/>
  <c r="AL2" i="7"/>
  <c r="AJ59" i="7"/>
  <c r="AK59" i="7" s="1"/>
  <c r="AL59" i="7" s="1"/>
  <c r="AJ39" i="7"/>
  <c r="AK39" i="7" s="1"/>
  <c r="AL39" i="7" s="1"/>
  <c r="AJ10" i="7"/>
  <c r="AK10" i="7" s="1"/>
  <c r="AL10" i="7" s="1"/>
  <c r="AJ40" i="7"/>
  <c r="AK40" i="7" s="1"/>
  <c r="AL40" i="7" s="1"/>
  <c r="AJ36" i="7"/>
  <c r="AK36" i="7" s="1"/>
  <c r="AL36" i="7" s="1"/>
  <c r="AJ18" i="7"/>
  <c r="AK18" i="7" s="1"/>
  <c r="AL18" i="7" s="1"/>
  <c r="AJ48" i="7"/>
  <c r="AK48" i="7" s="1"/>
  <c r="AL48" i="7" s="1"/>
  <c r="AJ67" i="7"/>
  <c r="AK67" i="7" s="1"/>
  <c r="AL67" i="7" s="1"/>
  <c r="AJ25" i="7"/>
  <c r="AK25" i="7" s="1"/>
  <c r="AL25" i="7" s="1"/>
  <c r="AJ80" i="7"/>
  <c r="AK80" i="7" s="1"/>
  <c r="AL80" i="7" s="1"/>
  <c r="AJ8" i="7"/>
  <c r="AK8" i="7" s="1"/>
  <c r="AL8" i="7" s="1"/>
  <c r="L2" i="5"/>
  <c r="AJ79" i="7"/>
  <c r="AK79" i="7" s="1"/>
  <c r="AL79" i="7" s="1"/>
  <c r="AJ83" i="7"/>
  <c r="AK83" i="7" s="1"/>
  <c r="AL83" i="7" s="1"/>
  <c r="AJ32" i="7"/>
  <c r="AK32" i="7" s="1"/>
  <c r="AL32" i="7" s="1"/>
  <c r="AJ44" i="7"/>
  <c r="AK44" i="7" s="1"/>
  <c r="AL44" i="7" s="1"/>
  <c r="AJ7" i="7"/>
  <c r="AK7" i="7" s="1"/>
  <c r="AL7" i="7" s="1"/>
  <c r="AJ77" i="7"/>
  <c r="AK77" i="7" s="1"/>
  <c r="AL77" i="7" s="1"/>
  <c r="AJ28" i="7"/>
  <c r="AK28" i="7" s="1"/>
  <c r="AL28" i="7" s="1"/>
  <c r="AJ78" i="7"/>
  <c r="AK78" i="7" s="1"/>
  <c r="AL78" i="7" s="1"/>
  <c r="AJ20" i="7"/>
  <c r="AK20" i="7" s="1"/>
  <c r="AL20" i="7" s="1"/>
  <c r="AJ76" i="7"/>
  <c r="AK76" i="7" s="1"/>
  <c r="AL76" i="7" s="1"/>
  <c r="AJ58" i="7"/>
  <c r="AK58" i="7" s="1"/>
  <c r="AL58" i="7" s="1"/>
  <c r="AJ42" i="7"/>
  <c r="AK42" i="7" s="1"/>
  <c r="AL42" i="7" s="1"/>
  <c r="B15" i="13" l="1"/>
  <c r="N6" i="4"/>
  <c r="J95" i="7"/>
  <c r="J96" i="7"/>
  <c r="M149" i="9"/>
  <c r="N144" i="9"/>
  <c r="M137" i="9"/>
  <c r="N147" i="9"/>
  <c r="M144" i="9"/>
  <c r="M139" i="9"/>
  <c r="O139" i="9" s="1"/>
  <c r="P139" i="9" s="1"/>
  <c r="M134" i="9"/>
  <c r="N129" i="9"/>
  <c r="M122" i="9"/>
  <c r="N117" i="9"/>
  <c r="M110" i="9"/>
  <c r="N105" i="9"/>
  <c r="M98" i="9"/>
  <c r="N93" i="9"/>
  <c r="M86" i="9"/>
  <c r="N81" i="9"/>
  <c r="M74" i="9"/>
  <c r="N69" i="9"/>
  <c r="M62" i="9"/>
  <c r="N57" i="9"/>
  <c r="O57" i="9" s="1"/>
  <c r="P57" i="9" s="1"/>
  <c r="M50" i="9"/>
  <c r="N45" i="9"/>
  <c r="N149" i="9"/>
  <c r="O149" i="9" s="1"/>
  <c r="P149" i="9" s="1"/>
  <c r="N136" i="9"/>
  <c r="M129" i="9"/>
  <c r="N124" i="9"/>
  <c r="M117" i="9"/>
  <c r="N112" i="9"/>
  <c r="M105" i="9"/>
  <c r="N100" i="9"/>
  <c r="M93" i="9"/>
  <c r="N88" i="9"/>
  <c r="M81" i="9"/>
  <c r="N76" i="9"/>
  <c r="M69" i="9"/>
  <c r="N64" i="9"/>
  <c r="M57" i="9"/>
  <c r="N52" i="9"/>
  <c r="M45" i="9"/>
  <c r="N40" i="9"/>
  <c r="M33" i="9"/>
  <c r="N28" i="9"/>
  <c r="M21" i="9"/>
  <c r="N16" i="9"/>
  <c r="M9" i="9"/>
  <c r="M3" i="9"/>
  <c r="N146" i="9"/>
  <c r="N141" i="9"/>
  <c r="M136" i="9"/>
  <c r="O136" i="9" s="1"/>
  <c r="P136" i="9" s="1"/>
  <c r="N131" i="9"/>
  <c r="M124" i="9"/>
  <c r="O124" i="9" s="1"/>
  <c r="P124" i="9" s="1"/>
  <c r="N119" i="9"/>
  <c r="M112" i="9"/>
  <c r="O112" i="9" s="1"/>
  <c r="N107" i="9"/>
  <c r="M100" i="9"/>
  <c r="O100" i="9" s="1"/>
  <c r="N95" i="9"/>
  <c r="M88" i="9"/>
  <c r="O88" i="9" s="1"/>
  <c r="P88" i="9" s="1"/>
  <c r="N83" i="9"/>
  <c r="M76" i="9"/>
  <c r="O76" i="9" s="1"/>
  <c r="N71" i="9"/>
  <c r="M150" i="9"/>
  <c r="N142" i="9"/>
  <c r="N137" i="9"/>
  <c r="N145" i="9"/>
  <c r="N138" i="9"/>
  <c r="O138" i="9" s="1"/>
  <c r="O128" i="9"/>
  <c r="P128" i="9" s="1"/>
  <c r="M145" i="9"/>
  <c r="O145" i="9" s="1"/>
  <c r="P145" i="9" s="1"/>
  <c r="M141" i="9"/>
  <c r="O141" i="9" s="1"/>
  <c r="P141" i="9" s="1"/>
  <c r="M138" i="9"/>
  <c r="M131" i="9"/>
  <c r="O131" i="9" s="1"/>
  <c r="P131" i="9" s="1"/>
  <c r="N128" i="9"/>
  <c r="M119" i="9"/>
  <c r="O119" i="9" s="1"/>
  <c r="P119" i="9" s="1"/>
  <c r="N116" i="9"/>
  <c r="M107" i="9"/>
  <c r="O107" i="9" s="1"/>
  <c r="P107" i="9" s="1"/>
  <c r="N104" i="9"/>
  <c r="M95" i="9"/>
  <c r="O95" i="9" s="1"/>
  <c r="P95" i="9" s="1"/>
  <c r="N92" i="9"/>
  <c r="M83" i="9"/>
  <c r="O83" i="9" s="1"/>
  <c r="P83" i="9" s="1"/>
  <c r="N80" i="9"/>
  <c r="M71" i="9"/>
  <c r="O71" i="9" s="1"/>
  <c r="P71" i="9" s="1"/>
  <c r="N68" i="9"/>
  <c r="N60" i="9"/>
  <c r="M49" i="9"/>
  <c r="N46" i="9"/>
  <c r="N38" i="9"/>
  <c r="N33" i="9"/>
  <c r="N20" i="9"/>
  <c r="M15" i="9"/>
  <c r="M10" i="9"/>
  <c r="M5" i="9"/>
  <c r="N148" i="9"/>
  <c r="M148" i="9"/>
  <c r="O148" i="9" s="1"/>
  <c r="P148" i="9" s="1"/>
  <c r="O144" i="9"/>
  <c r="P144" i="9" s="1"/>
  <c r="N151" i="9"/>
  <c r="O137" i="9"/>
  <c r="P137" i="9" s="1"/>
  <c r="O133" i="9"/>
  <c r="P133" i="9" s="1"/>
  <c r="M142" i="9"/>
  <c r="M135" i="9"/>
  <c r="O135" i="9" s="1"/>
  <c r="P135" i="9" s="1"/>
  <c r="M132" i="9"/>
  <c r="O150" i="9"/>
  <c r="P150" i="9" s="1"/>
  <c r="N134" i="9"/>
  <c r="O134" i="9" s="1"/>
  <c r="P134" i="9" s="1"/>
  <c r="M130" i="9"/>
  <c r="O130" i="9" s="1"/>
  <c r="M126" i="9"/>
  <c r="O126" i="9" s="1"/>
  <c r="N122" i="9"/>
  <c r="O122" i="9" s="1"/>
  <c r="P122" i="9" s="1"/>
  <c r="M109" i="9"/>
  <c r="N99" i="9"/>
  <c r="N96" i="9"/>
  <c r="N86" i="9"/>
  <c r="O86" i="9" s="1"/>
  <c r="P86" i="9" s="1"/>
  <c r="N150" i="9"/>
  <c r="N139" i="9"/>
  <c r="N102" i="9"/>
  <c r="M99" i="9"/>
  <c r="M96" i="9"/>
  <c r="O96" i="9" s="1"/>
  <c r="P96" i="9" s="1"/>
  <c r="N89" i="9"/>
  <c r="N143" i="9"/>
  <c r="O143" i="9" s="1"/>
  <c r="P143" i="9" s="1"/>
  <c r="N133" i="9"/>
  <c r="N125" i="9"/>
  <c r="O121" i="9"/>
  <c r="P121" i="9" s="1"/>
  <c r="N118" i="9"/>
  <c r="N115" i="9"/>
  <c r="O105" i="9"/>
  <c r="P105" i="9" s="1"/>
  <c r="M102" i="9"/>
  <c r="O102" i="9" s="1"/>
  <c r="M92" i="9"/>
  <c r="O92" i="9" s="1"/>
  <c r="P92" i="9" s="1"/>
  <c r="M89" i="9"/>
  <c r="O89" i="9" s="1"/>
  <c r="N82" i="9"/>
  <c r="N79" i="9"/>
  <c r="O69" i="9"/>
  <c r="P69" i="9" s="1"/>
  <c r="N66" i="9"/>
  <c r="N63" i="9"/>
  <c r="N54" i="9"/>
  <c r="N51" i="9"/>
  <c r="O45" i="9"/>
  <c r="P45" i="9" s="1"/>
  <c r="N42" i="9"/>
  <c r="M37" i="9"/>
  <c r="N26" i="9"/>
  <c r="M18" i="9"/>
  <c r="N15" i="9"/>
  <c r="M4" i="9"/>
  <c r="O4" i="9" s="1"/>
  <c r="P4" i="9" s="1"/>
  <c r="J91" i="8"/>
  <c r="J56" i="8"/>
  <c r="M143" i="9"/>
  <c r="M133" i="9"/>
  <c r="O129" i="9"/>
  <c r="P129" i="9" s="1"/>
  <c r="M125" i="9"/>
  <c r="O125" i="9" s="1"/>
  <c r="P125" i="9" s="1"/>
  <c r="N121" i="9"/>
  <c r="M118" i="9"/>
  <c r="O118" i="9" s="1"/>
  <c r="M115" i="9"/>
  <c r="O115" i="9" s="1"/>
  <c r="P115" i="9" s="1"/>
  <c r="M147" i="9"/>
  <c r="O147" i="9" s="1"/>
  <c r="P147" i="9" s="1"/>
  <c r="O142" i="9"/>
  <c r="P142" i="9" s="1"/>
  <c r="O132" i="9"/>
  <c r="P132" i="9" s="1"/>
  <c r="N132" i="9"/>
  <c r="M146" i="9"/>
  <c r="O146" i="9" s="1"/>
  <c r="P146" i="9" s="1"/>
  <c r="M151" i="9"/>
  <c r="O151" i="9" s="1"/>
  <c r="P151" i="9" s="1"/>
  <c r="N130" i="9"/>
  <c r="N126" i="9"/>
  <c r="N109" i="9"/>
  <c r="M106" i="9"/>
  <c r="M103" i="9"/>
  <c r="O103" i="9" s="1"/>
  <c r="P103" i="9" s="1"/>
  <c r="O99" i="9"/>
  <c r="P99" i="9" s="1"/>
  <c r="N98" i="9"/>
  <c r="O98" i="9" s="1"/>
  <c r="P98" i="9" s="1"/>
  <c r="M94" i="9"/>
  <c r="M90" i="9"/>
  <c r="O90" i="9" s="1"/>
  <c r="N85" i="9"/>
  <c r="O81" i="9"/>
  <c r="P81" i="9" s="1"/>
  <c r="N77" i="9"/>
  <c r="M70" i="9"/>
  <c r="O70" i="9" s="1"/>
  <c r="P70" i="9" s="1"/>
  <c r="N135" i="9"/>
  <c r="N127" i="9"/>
  <c r="M121" i="9"/>
  <c r="N103" i="9"/>
  <c r="M85" i="9"/>
  <c r="O85" i="9" s="1"/>
  <c r="P85" i="9" s="1"/>
  <c r="M77" i="9"/>
  <c r="O77" i="9" s="1"/>
  <c r="P77" i="9" s="1"/>
  <c r="N73" i="9"/>
  <c r="M63" i="9"/>
  <c r="O63" i="9" s="1"/>
  <c r="P63" i="9" s="1"/>
  <c r="M60" i="9"/>
  <c r="O60" i="9" s="1"/>
  <c r="P60" i="9" s="1"/>
  <c r="N50" i="9"/>
  <c r="O50" i="9" s="1"/>
  <c r="P50" i="9" s="1"/>
  <c r="M127" i="9"/>
  <c r="O127" i="9" s="1"/>
  <c r="P127" i="9" s="1"/>
  <c r="M116" i="9"/>
  <c r="O116" i="9" s="1"/>
  <c r="P116" i="9" s="1"/>
  <c r="N111" i="9"/>
  <c r="M111" i="9"/>
  <c r="O111" i="9" s="1"/>
  <c r="P111" i="9" s="1"/>
  <c r="O106" i="9"/>
  <c r="P106" i="9" s="1"/>
  <c r="N97" i="9"/>
  <c r="O97" i="9" s="1"/>
  <c r="O93" i="9"/>
  <c r="P93" i="9" s="1"/>
  <c r="O80" i="9"/>
  <c r="P80" i="9" s="1"/>
  <c r="N120" i="9"/>
  <c r="N106" i="9"/>
  <c r="M97" i="9"/>
  <c r="M80" i="9"/>
  <c r="O62" i="9"/>
  <c r="P62" i="9" s="1"/>
  <c r="M59" i="9"/>
  <c r="O59" i="9" s="1"/>
  <c r="P59" i="9" s="1"/>
  <c r="O49" i="9"/>
  <c r="P49" i="9" s="1"/>
  <c r="M46" i="9"/>
  <c r="O46" i="9" s="1"/>
  <c r="P46" i="9" s="1"/>
  <c r="M34" i="9"/>
  <c r="O34" i="9" s="1"/>
  <c r="P34" i="9" s="1"/>
  <c r="M31" i="9"/>
  <c r="O31" i="9" s="1"/>
  <c r="P31" i="9" s="1"/>
  <c r="M28" i="9"/>
  <c r="N25" i="9"/>
  <c r="N140" i="9"/>
  <c r="M140" i="9"/>
  <c r="O140" i="9" s="1"/>
  <c r="P140" i="9" s="1"/>
  <c r="M114" i="9"/>
  <c r="O114" i="9" s="1"/>
  <c r="P114" i="9" s="1"/>
  <c r="N110" i="9"/>
  <c r="O110" i="9" s="1"/>
  <c r="P110" i="9" s="1"/>
  <c r="M101" i="9"/>
  <c r="O101" i="9" s="1"/>
  <c r="P101" i="9" s="1"/>
  <c r="N123" i="9"/>
  <c r="M128" i="9"/>
  <c r="M108" i="9"/>
  <c r="M68" i="9"/>
  <c r="N113" i="9"/>
  <c r="M82" i="9"/>
  <c r="O82" i="9" s="1"/>
  <c r="P82" i="9" s="1"/>
  <c r="N72" i="9"/>
  <c r="M64" i="9"/>
  <c r="O64" i="9" s="1"/>
  <c r="P64" i="9" s="1"/>
  <c r="N59" i="9"/>
  <c r="M52" i="9"/>
  <c r="O52" i="9" s="1"/>
  <c r="P52" i="9" s="1"/>
  <c r="N48" i="9"/>
  <c r="O44" i="9"/>
  <c r="P44" i="9" s="1"/>
  <c r="N41" i="9"/>
  <c r="N32" i="9"/>
  <c r="M29" i="9"/>
  <c r="M26" i="9"/>
  <c r="N13" i="9"/>
  <c r="J77" i="8"/>
  <c r="J43" i="8"/>
  <c r="J27" i="8"/>
  <c r="M120" i="9"/>
  <c r="O120" i="9" s="1"/>
  <c r="P120" i="9" s="1"/>
  <c r="M113" i="9"/>
  <c r="O113" i="9" s="1"/>
  <c r="P113" i="9" s="1"/>
  <c r="M72" i="9"/>
  <c r="O72" i="9" s="1"/>
  <c r="P72" i="9" s="1"/>
  <c r="M48" i="9"/>
  <c r="O48" i="9" s="1"/>
  <c r="N44" i="9"/>
  <c r="M41" i="9"/>
  <c r="O41" i="9" s="1"/>
  <c r="P41" i="9" s="1"/>
  <c r="M38" i="9"/>
  <c r="O38" i="9" s="1"/>
  <c r="P38" i="9" s="1"/>
  <c r="N35" i="9"/>
  <c r="M32" i="9"/>
  <c r="M16" i="9"/>
  <c r="O16" i="9" s="1"/>
  <c r="M13" i="9"/>
  <c r="N6" i="9"/>
  <c r="N2" i="9"/>
  <c r="J76" i="8"/>
  <c r="J58" i="8"/>
  <c r="J50" i="8"/>
  <c r="J35" i="8"/>
  <c r="J17" i="8"/>
  <c r="N87" i="9"/>
  <c r="M87" i="9"/>
  <c r="O87" i="9" s="1"/>
  <c r="P87" i="9" s="1"/>
  <c r="N67" i="9"/>
  <c r="O58" i="9"/>
  <c r="P58" i="9" s="1"/>
  <c r="M55" i="9"/>
  <c r="O55" i="9" s="1"/>
  <c r="P55" i="9" s="1"/>
  <c r="M51" i="9"/>
  <c r="O51" i="9" s="1"/>
  <c r="P51" i="9" s="1"/>
  <c r="N47" i="9"/>
  <c r="O28" i="9"/>
  <c r="P28" i="9" s="1"/>
  <c r="M25" i="9"/>
  <c r="O25" i="9" s="1"/>
  <c r="P25" i="9" s="1"/>
  <c r="M22" i="9"/>
  <c r="M19" i="9"/>
  <c r="O19" i="9" s="1"/>
  <c r="P19" i="9" s="1"/>
  <c r="N12" i="9"/>
  <c r="N75" i="9"/>
  <c r="O117" i="9"/>
  <c r="P117" i="9" s="1"/>
  <c r="M104" i="9"/>
  <c r="O104" i="9" s="1"/>
  <c r="P104" i="9" s="1"/>
  <c r="O123" i="9"/>
  <c r="O109" i="9"/>
  <c r="P109" i="9" s="1"/>
  <c r="N90" i="9"/>
  <c r="N84" i="9"/>
  <c r="N78" i="9"/>
  <c r="N74" i="9"/>
  <c r="O74" i="9" s="1"/>
  <c r="P74" i="9" s="1"/>
  <c r="M123" i="9"/>
  <c r="N114" i="9"/>
  <c r="N101" i="9"/>
  <c r="O94" i="9"/>
  <c r="P94" i="9" s="1"/>
  <c r="M84" i="9"/>
  <c r="O84" i="9" s="1"/>
  <c r="M78" i="9"/>
  <c r="O78" i="9" s="1"/>
  <c r="P78" i="9" s="1"/>
  <c r="M65" i="9"/>
  <c r="O65" i="9" s="1"/>
  <c r="P65" i="9" s="1"/>
  <c r="M61" i="9"/>
  <c r="O61" i="9" s="1"/>
  <c r="P61" i="9" s="1"/>
  <c r="N56" i="9"/>
  <c r="M53" i="9"/>
  <c r="O53" i="9" s="1"/>
  <c r="P53" i="9" s="1"/>
  <c r="N49" i="9"/>
  <c r="N108" i="9"/>
  <c r="O108" i="9" s="1"/>
  <c r="P108" i="9" s="1"/>
  <c r="N94" i="9"/>
  <c r="M73" i="9"/>
  <c r="O73" i="9" s="1"/>
  <c r="P73" i="9" s="1"/>
  <c r="O68" i="9"/>
  <c r="M42" i="9"/>
  <c r="O42" i="9" s="1"/>
  <c r="P42" i="9" s="1"/>
  <c r="M30" i="9"/>
  <c r="O30" i="9" s="1"/>
  <c r="P30" i="9" s="1"/>
  <c r="M23" i="9"/>
  <c r="O23" i="9" s="1"/>
  <c r="P23" i="9" s="1"/>
  <c r="N19" i="9"/>
  <c r="N70" i="9"/>
  <c r="N62" i="9"/>
  <c r="N34" i="9"/>
  <c r="O37" i="9"/>
  <c r="P37" i="9" s="1"/>
  <c r="O26" i="9"/>
  <c r="P26" i="9" s="1"/>
  <c r="N22" i="9"/>
  <c r="O22" i="9" s="1"/>
  <c r="P22" i="9" s="1"/>
  <c r="O18" i="9"/>
  <c r="P18" i="9" s="1"/>
  <c r="N14" i="9"/>
  <c r="O14" i="9" s="1"/>
  <c r="P14" i="9" s="1"/>
  <c r="N10" i="9"/>
  <c r="O10" i="9" s="1"/>
  <c r="P10" i="9" s="1"/>
  <c r="M6" i="9"/>
  <c r="O6" i="9" s="1"/>
  <c r="P6" i="9" s="1"/>
  <c r="M56" i="9"/>
  <c r="O56" i="9" s="1"/>
  <c r="N37" i="9"/>
  <c r="N18" i="9"/>
  <c r="M14" i="9"/>
  <c r="O33" i="9"/>
  <c r="P33" i="9" s="1"/>
  <c r="N29" i="9"/>
  <c r="O29" i="9" s="1"/>
  <c r="P29" i="9" s="1"/>
  <c r="M75" i="9"/>
  <c r="O75" i="9" s="1"/>
  <c r="P75" i="9" s="1"/>
  <c r="M67" i="9"/>
  <c r="O67" i="9" s="1"/>
  <c r="P67" i="9" s="1"/>
  <c r="N61" i="9"/>
  <c r="N55" i="9"/>
  <c r="M44" i="9"/>
  <c r="M40" i="9"/>
  <c r="M66" i="9"/>
  <c r="O66" i="9" s="1"/>
  <c r="P66" i="9" s="1"/>
  <c r="N91" i="9"/>
  <c r="N43" i="9"/>
  <c r="O39" i="9"/>
  <c r="P39" i="9" s="1"/>
  <c r="M36" i="9"/>
  <c r="O36" i="9" s="1"/>
  <c r="P36" i="9" s="1"/>
  <c r="M91" i="9"/>
  <c r="O91" i="9" s="1"/>
  <c r="N65" i="9"/>
  <c r="N58" i="9"/>
  <c r="N53" i="9"/>
  <c r="M39" i="9"/>
  <c r="M35" i="9"/>
  <c r="O35" i="9" s="1"/>
  <c r="P35" i="9" s="1"/>
  <c r="M79" i="9"/>
  <c r="O79" i="9" s="1"/>
  <c r="P79" i="9" s="1"/>
  <c r="M58" i="9"/>
  <c r="M47" i="9"/>
  <c r="O47" i="9" s="1"/>
  <c r="P47" i="9" s="1"/>
  <c r="N30" i="9"/>
  <c r="M27" i="9"/>
  <c r="O27" i="9" s="1"/>
  <c r="P27" i="9" s="1"/>
  <c r="N23" i="9"/>
  <c r="M11" i="9"/>
  <c r="O11" i="9" s="1"/>
  <c r="P11" i="9" s="1"/>
  <c r="N7" i="9"/>
  <c r="N36" i="9"/>
  <c r="N3" i="9"/>
  <c r="O3" i="9" s="1"/>
  <c r="P3" i="9" s="1"/>
  <c r="J88" i="8"/>
  <c r="J68" i="8"/>
  <c r="J67" i="8"/>
  <c r="J65" i="8"/>
  <c r="J64" i="8"/>
  <c r="M43" i="9"/>
  <c r="O43" i="9" s="1"/>
  <c r="P43" i="9" s="1"/>
  <c r="N27" i="9"/>
  <c r="N21" i="9"/>
  <c r="O21" i="9" s="1"/>
  <c r="P21" i="9" s="1"/>
  <c r="J44" i="8"/>
  <c r="J8" i="8"/>
  <c r="O15" i="9"/>
  <c r="P15" i="9" s="1"/>
  <c r="J36" i="8"/>
  <c r="J11" i="8"/>
  <c r="M24" i="9"/>
  <c r="M12" i="9"/>
  <c r="O12" i="9" s="1"/>
  <c r="P12" i="9" s="1"/>
  <c r="M8" i="9"/>
  <c r="O8" i="9" s="1"/>
  <c r="J80" i="8"/>
  <c r="M54" i="9"/>
  <c r="O54" i="9" s="1"/>
  <c r="P54" i="9" s="1"/>
  <c r="M17" i="9"/>
  <c r="N11" i="9"/>
  <c r="O32" i="9"/>
  <c r="P32" i="9" s="1"/>
  <c r="N24" i="9"/>
  <c r="N4" i="9"/>
  <c r="J85" i="8"/>
  <c r="J79" i="8"/>
  <c r="J10" i="8"/>
  <c r="J59" i="8"/>
  <c r="O40" i="9"/>
  <c r="P40" i="9" s="1"/>
  <c r="N31" i="9"/>
  <c r="J20" i="8"/>
  <c r="J3" i="8"/>
  <c r="N8" i="9"/>
  <c r="J51" i="8"/>
  <c r="N39" i="9"/>
  <c r="J72" i="8"/>
  <c r="O13" i="9"/>
  <c r="P13" i="9" s="1"/>
  <c r="M7" i="9"/>
  <c r="O7" i="9" s="1"/>
  <c r="P7" i="9" s="1"/>
  <c r="M20" i="9"/>
  <c r="O20" i="9" s="1"/>
  <c r="P20" i="9" s="1"/>
  <c r="N5" i="9"/>
  <c r="O24" i="9"/>
  <c r="N17" i="9"/>
  <c r="O17" i="9" s="1"/>
  <c r="N9" i="9"/>
  <c r="O9" i="9" s="1"/>
  <c r="P9" i="9" s="1"/>
  <c r="J87" i="8"/>
  <c r="J41" i="8"/>
  <c r="J52" i="8"/>
  <c r="J19" i="8"/>
  <c r="O5" i="9"/>
  <c r="P5" i="9" s="1"/>
  <c r="J32" i="8"/>
  <c r="J28" i="8"/>
  <c r="J5" i="8"/>
  <c r="M2" i="9"/>
  <c r="O2" i="9" s="1"/>
  <c r="P2" i="9" s="1"/>
  <c r="J31" i="8"/>
  <c r="P62" i="5"/>
  <c r="P58" i="5"/>
  <c r="P54" i="5"/>
  <c r="P50" i="5"/>
  <c r="P46" i="5"/>
  <c r="B2" i="8"/>
  <c r="P42" i="5"/>
  <c r="P38" i="5"/>
  <c r="P34" i="5"/>
  <c r="P30" i="5"/>
  <c r="P26" i="5"/>
  <c r="L4" i="5"/>
  <c r="L8" i="5" s="1"/>
  <c r="P63" i="5"/>
  <c r="P40" i="5"/>
  <c r="P28" i="5"/>
  <c r="P88" i="5"/>
  <c r="P85" i="5"/>
  <c r="P56" i="5"/>
  <c r="P55" i="5"/>
  <c r="P20" i="5"/>
  <c r="P53" i="5"/>
  <c r="P52" i="5"/>
  <c r="P37" i="5"/>
  <c r="P16" i="5"/>
  <c r="P15" i="5"/>
  <c r="P68" i="5"/>
  <c r="P51" i="5"/>
  <c r="P45" i="5"/>
  <c r="P41" i="5"/>
  <c r="P4" i="5"/>
  <c r="P3" i="5"/>
  <c r="P73" i="5"/>
  <c r="P9" i="5"/>
  <c r="P8" i="5"/>
  <c r="L6" i="5"/>
  <c r="L10" i="5" s="1"/>
  <c r="P67" i="5"/>
  <c r="P49" i="5"/>
  <c r="P47" i="5"/>
  <c r="P27" i="5"/>
  <c r="P11" i="5"/>
  <c r="P77" i="5"/>
  <c r="P36" i="5"/>
  <c r="P13" i="5"/>
  <c r="P23" i="5"/>
  <c r="P6" i="5"/>
  <c r="P43" i="5"/>
  <c r="J98" i="7"/>
  <c r="J94" i="7"/>
  <c r="J97" i="7"/>
  <c r="R2" i="9" l="1"/>
  <c r="J74" i="8"/>
  <c r="O222" i="10"/>
  <c r="O221" i="10"/>
  <c r="O220" i="10"/>
  <c r="O219" i="10"/>
  <c r="O218" i="10"/>
  <c r="O223" i="10"/>
  <c r="B10" i="13"/>
  <c r="O217" i="10"/>
  <c r="O199" i="10"/>
  <c r="O188" i="10"/>
  <c r="O175" i="10"/>
  <c r="O164" i="10"/>
  <c r="O151" i="10"/>
  <c r="O140" i="10"/>
  <c r="O127" i="10"/>
  <c r="O116" i="10"/>
  <c r="O216" i="10"/>
  <c r="O201" i="10"/>
  <c r="O190" i="10"/>
  <c r="O177" i="10"/>
  <c r="O166" i="10"/>
  <c r="O153" i="10"/>
  <c r="O142" i="10"/>
  <c r="O129" i="10"/>
  <c r="O118" i="10"/>
  <c r="O215" i="10"/>
  <c r="O214" i="10"/>
  <c r="O205" i="10"/>
  <c r="O194" i="10"/>
  <c r="O181" i="10"/>
  <c r="O170" i="10"/>
  <c r="O157" i="10"/>
  <c r="O146" i="10"/>
  <c r="O133" i="10"/>
  <c r="O122" i="10"/>
  <c r="O109" i="10"/>
  <c r="O213" i="10"/>
  <c r="O207" i="10"/>
  <c r="O196" i="10"/>
  <c r="O183" i="10"/>
  <c r="O172" i="10"/>
  <c r="O159" i="10"/>
  <c r="O148" i="10"/>
  <c r="O135" i="10"/>
  <c r="O124" i="10"/>
  <c r="O111" i="10"/>
  <c r="O212" i="10"/>
  <c r="O209" i="10"/>
  <c r="O198" i="10"/>
  <c r="O185" i="10"/>
  <c r="O174" i="10"/>
  <c r="O161" i="10"/>
  <c r="O150" i="10"/>
  <c r="O204" i="10"/>
  <c r="O197" i="10"/>
  <c r="O167" i="10"/>
  <c r="O132" i="10"/>
  <c r="O23" i="10"/>
  <c r="O21" i="10"/>
  <c r="O19" i="10"/>
  <c r="O17" i="10"/>
  <c r="O15" i="10"/>
  <c r="O13" i="10"/>
  <c r="O11" i="10"/>
  <c r="O9" i="10"/>
  <c r="O7" i="10"/>
  <c r="O4" i="10"/>
  <c r="O191" i="10"/>
  <c r="O158" i="10"/>
  <c r="O143" i="10"/>
  <c r="O125" i="10"/>
  <c r="O120" i="10"/>
  <c r="O117" i="10"/>
  <c r="O106" i="10"/>
  <c r="O99" i="10"/>
  <c r="O94" i="10"/>
  <c r="O87" i="10"/>
  <c r="O82" i="10"/>
  <c r="O75" i="10"/>
  <c r="O70" i="10"/>
  <c r="O63" i="10"/>
  <c r="O58" i="10"/>
  <c r="O51" i="10"/>
  <c r="O46" i="10"/>
  <c r="O39" i="10"/>
  <c r="O34" i="10"/>
  <c r="O25" i="10"/>
  <c r="O182" i="10"/>
  <c r="O137" i="10"/>
  <c r="O114" i="10"/>
  <c r="O27" i="10"/>
  <c r="O226" i="10"/>
  <c r="O206" i="10"/>
  <c r="O134" i="10"/>
  <c r="O108" i="10"/>
  <c r="O101" i="10"/>
  <c r="O96" i="10"/>
  <c r="O89" i="10"/>
  <c r="O84" i="10"/>
  <c r="O77" i="10"/>
  <c r="O72" i="10"/>
  <c r="O65" i="10"/>
  <c r="O60" i="10"/>
  <c r="O53" i="10"/>
  <c r="O48" i="10"/>
  <c r="O41" i="10"/>
  <c r="O36" i="10"/>
  <c r="O29" i="10"/>
  <c r="O5" i="10"/>
  <c r="O225" i="10"/>
  <c r="O169" i="10"/>
  <c r="O163" i="10"/>
  <c r="O155" i="10"/>
  <c r="O145" i="10"/>
  <c r="O224" i="10"/>
  <c r="O193" i="10"/>
  <c r="O187" i="10"/>
  <c r="O179" i="10"/>
  <c r="O160" i="10"/>
  <c r="O139" i="10"/>
  <c r="O119" i="10"/>
  <c r="O103" i="10"/>
  <c r="O98" i="10"/>
  <c r="O91" i="10"/>
  <c r="O86" i="10"/>
  <c r="O79" i="10"/>
  <c r="O74" i="10"/>
  <c r="O67" i="10"/>
  <c r="O62" i="10"/>
  <c r="O55" i="10"/>
  <c r="O50" i="10"/>
  <c r="O43" i="10"/>
  <c r="O210" i="10"/>
  <c r="O202" i="10"/>
  <c r="O180" i="10"/>
  <c r="O173" i="10"/>
  <c r="O130" i="10"/>
  <c r="O123" i="10"/>
  <c r="O112" i="10"/>
  <c r="O104" i="10"/>
  <c r="O97" i="10"/>
  <c r="O92" i="10"/>
  <c r="O85" i="10"/>
  <c r="O80" i="10"/>
  <c r="O73" i="10"/>
  <c r="O68" i="10"/>
  <c r="O61" i="10"/>
  <c r="O56" i="10"/>
  <c r="O49" i="10"/>
  <c r="O44" i="10"/>
  <c r="O37" i="10"/>
  <c r="O32" i="10"/>
  <c r="O195" i="10"/>
  <c r="O192" i="10"/>
  <c r="O131" i="10"/>
  <c r="O100" i="10"/>
  <c r="O71" i="10"/>
  <c r="O203" i="10"/>
  <c r="O152" i="10"/>
  <c r="O88" i="10"/>
  <c r="O45" i="10"/>
  <c r="O42" i="10"/>
  <c r="O31" i="10"/>
  <c r="O128" i="10"/>
  <c r="O115" i="10"/>
  <c r="O59" i="10"/>
  <c r="O28" i="10"/>
  <c r="O22" i="10"/>
  <c r="O16" i="10"/>
  <c r="O10" i="10"/>
  <c r="O200" i="10"/>
  <c r="O176" i="10"/>
  <c r="O154" i="10"/>
  <c r="O149" i="10"/>
  <c r="O76" i="10"/>
  <c r="O105" i="10"/>
  <c r="O102" i="10"/>
  <c r="O47" i="10"/>
  <c r="O33" i="10"/>
  <c r="O211" i="10"/>
  <c r="O208" i="10"/>
  <c r="O171" i="10"/>
  <c r="O168" i="10"/>
  <c r="O144" i="10"/>
  <c r="O57" i="10"/>
  <c r="O54" i="10"/>
  <c r="O8" i="10"/>
  <c r="O3" i="10"/>
  <c r="O156" i="10"/>
  <c r="O141" i="10"/>
  <c r="O93" i="10"/>
  <c r="O81" i="10"/>
  <c r="O38" i="10"/>
  <c r="O20" i="10"/>
  <c r="O2" i="10"/>
  <c r="O147" i="10"/>
  <c r="O26" i="10"/>
  <c r="O35" i="10"/>
  <c r="O165" i="10"/>
  <c r="O162" i="10"/>
  <c r="O95" i="10"/>
  <c r="O83" i="10"/>
  <c r="O40" i="10"/>
  <c r="O178" i="10"/>
  <c r="O110" i="10"/>
  <c r="O107" i="10"/>
  <c r="O52" i="10"/>
  <c r="O6" i="10"/>
  <c r="O184" i="10"/>
  <c r="O136" i="10"/>
  <c r="O121" i="10"/>
  <c r="O64" i="10"/>
  <c r="O12" i="10"/>
  <c r="O113" i="10"/>
  <c r="O18" i="10"/>
  <c r="O30" i="10"/>
  <c r="O24" i="10"/>
  <c r="O126" i="10"/>
  <c r="O189" i="10"/>
  <c r="O186" i="10"/>
  <c r="O138" i="10"/>
  <c r="O90" i="10"/>
  <c r="O78" i="10"/>
  <c r="O69" i="10"/>
  <c r="O66" i="10"/>
  <c r="O14" i="10"/>
  <c r="P21" i="5"/>
  <c r="P7" i="5"/>
  <c r="P25" i="5"/>
  <c r="P32" i="5"/>
  <c r="P81" i="5"/>
  <c r="P22" i="5"/>
  <c r="D2" i="8"/>
  <c r="D3" i="8" s="1"/>
  <c r="D4" i="8" s="1"/>
  <c r="D5" i="8" s="1"/>
  <c r="D6" i="8" s="1"/>
  <c r="D7" i="8" s="1"/>
  <c r="D8" i="8" s="1"/>
  <c r="D9" i="8" s="1"/>
  <c r="D10" i="8" s="1"/>
  <c r="D11" i="8" s="1"/>
  <c r="D12" i="8" s="1"/>
  <c r="D13" i="8" s="1"/>
  <c r="C2" i="8"/>
  <c r="C3" i="8" s="1"/>
  <c r="C4" i="8" s="1"/>
  <c r="C5" i="8" s="1"/>
  <c r="C6" i="8" s="1"/>
  <c r="C7" i="8" s="1"/>
  <c r="C8" i="8" s="1"/>
  <c r="C9" i="8" s="1"/>
  <c r="C10" i="8" s="1"/>
  <c r="C11" i="8" s="1"/>
  <c r="C12" i="8" s="1"/>
  <c r="C13" i="8" s="1"/>
  <c r="P90" i="5"/>
  <c r="J61" i="8"/>
  <c r="J46" i="8"/>
  <c r="J48" i="8"/>
  <c r="J73" i="8"/>
  <c r="J2" i="8"/>
  <c r="J63" i="8"/>
  <c r="J14" i="8"/>
  <c r="J12" i="8"/>
  <c r="J18" i="8"/>
  <c r="B31" i="11"/>
  <c r="B24" i="11"/>
  <c r="J40" i="8"/>
  <c r="B32" i="11"/>
  <c r="B36" i="11"/>
  <c r="Q43" i="5"/>
  <c r="R43" i="5" s="1"/>
  <c r="Q27" i="5"/>
  <c r="R27" i="5" s="1"/>
  <c r="Q9" i="5"/>
  <c r="R9" i="5" s="1"/>
  <c r="Q45" i="5"/>
  <c r="R45" i="5" s="1"/>
  <c r="Q53" i="5"/>
  <c r="R53" i="5" s="1"/>
  <c r="Q88" i="5"/>
  <c r="R88" i="5" s="1"/>
  <c r="Q30" i="5"/>
  <c r="R30" i="5" s="1"/>
  <c r="Q50" i="5"/>
  <c r="R50" i="5" s="1"/>
  <c r="B19" i="11"/>
  <c r="B33" i="11"/>
  <c r="B25" i="11"/>
  <c r="J69" i="8"/>
  <c r="B37" i="11"/>
  <c r="J86" i="8"/>
  <c r="B26" i="11"/>
  <c r="Q6" i="5"/>
  <c r="R6" i="5" s="1"/>
  <c r="Q20" i="5"/>
  <c r="R20" i="5" s="1"/>
  <c r="Q34" i="5"/>
  <c r="R34" i="5" s="1"/>
  <c r="B38" i="11"/>
  <c r="Q23" i="5"/>
  <c r="R23" i="5" s="1"/>
  <c r="Q49" i="5"/>
  <c r="R49" i="5" s="1"/>
  <c r="Q3" i="5"/>
  <c r="R3" i="5" s="1"/>
  <c r="Q68" i="5"/>
  <c r="R68" i="5" s="1"/>
  <c r="Q55" i="5"/>
  <c r="R55" i="5" s="1"/>
  <c r="Q40" i="5"/>
  <c r="R40" i="5" s="1"/>
  <c r="Q38" i="5"/>
  <c r="R38" i="5" s="1"/>
  <c r="Q58" i="5"/>
  <c r="R58" i="5" s="1"/>
  <c r="J30" i="8"/>
  <c r="B20" i="11"/>
  <c r="B27" i="11"/>
  <c r="Q47" i="5"/>
  <c r="R47" i="5" s="1"/>
  <c r="Q73" i="5"/>
  <c r="R73" i="5" s="1"/>
  <c r="Q51" i="5"/>
  <c r="R51" i="5" s="1"/>
  <c r="Q28" i="5"/>
  <c r="R28" i="5" s="1"/>
  <c r="Q54" i="5"/>
  <c r="R54" i="5" s="1"/>
  <c r="Q67" i="5"/>
  <c r="R67" i="5" s="1"/>
  <c r="Q15" i="5"/>
  <c r="R15" i="5" s="1"/>
  <c r="Q56" i="5"/>
  <c r="R56" i="5" s="1"/>
  <c r="Q63" i="5"/>
  <c r="R63" i="5" s="1"/>
  <c r="Q62" i="5"/>
  <c r="R62" i="5" s="1"/>
  <c r="J25" i="8"/>
  <c r="J60" i="8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J42" i="8"/>
  <c r="B21" i="11"/>
  <c r="B39" i="11"/>
  <c r="Q11" i="5"/>
  <c r="R11" i="5" s="1"/>
  <c r="Q8" i="5"/>
  <c r="R8" i="5" s="1"/>
  <c r="Q41" i="5"/>
  <c r="R41" i="5" s="1"/>
  <c r="Q52" i="5"/>
  <c r="R52" i="5" s="1"/>
  <c r="Q85" i="5"/>
  <c r="R85" i="5" s="1"/>
  <c r="Q26" i="5"/>
  <c r="R26" i="5" s="1"/>
  <c r="Q46" i="5"/>
  <c r="R46" i="5" s="1"/>
  <c r="P31" i="5"/>
  <c r="P5" i="5"/>
  <c r="P57" i="5"/>
  <c r="P48" i="5"/>
  <c r="J38" i="8"/>
  <c r="J23" i="8"/>
  <c r="Q36" i="5"/>
  <c r="R36" i="5" s="1"/>
  <c r="P35" i="5"/>
  <c r="P76" i="5"/>
  <c r="P24" i="5"/>
  <c r="P89" i="5"/>
  <c r="P72" i="5"/>
  <c r="P74" i="5"/>
  <c r="J47" i="8"/>
  <c r="J39" i="8"/>
  <c r="J57" i="8"/>
  <c r="J45" i="8"/>
  <c r="J26" i="8"/>
  <c r="J75" i="8"/>
  <c r="J83" i="8"/>
  <c r="J54" i="8"/>
  <c r="B34" i="11"/>
  <c r="J84" i="8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J33" i="8"/>
  <c r="J82" i="8"/>
  <c r="J66" i="8"/>
  <c r="B22" i="11"/>
  <c r="B28" i="11"/>
  <c r="Q13" i="5"/>
  <c r="R13" i="5" s="1"/>
  <c r="Q4" i="5"/>
  <c r="R4" i="5" s="1"/>
  <c r="Q42" i="5"/>
  <c r="R42" i="5" s="1"/>
  <c r="J55" i="8"/>
  <c r="P33" i="5"/>
  <c r="P19" i="5"/>
  <c r="P69" i="5"/>
  <c r="P17" i="5"/>
  <c r="P87" i="5"/>
  <c r="P83" i="5"/>
  <c r="P60" i="5"/>
  <c r="P70" i="5"/>
  <c r="J7" i="8"/>
  <c r="J21" i="8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P2" i="5"/>
  <c r="P44" i="5"/>
  <c r="P79" i="5"/>
  <c r="Q37" i="5"/>
  <c r="R37" i="5" s="1"/>
  <c r="P91" i="5"/>
  <c r="P10" i="5"/>
  <c r="P84" i="5"/>
  <c r="P78" i="5"/>
  <c r="J49" i="8"/>
  <c r="J71" i="8"/>
  <c r="Q77" i="5"/>
  <c r="R77" i="5" s="1"/>
  <c r="P29" i="5"/>
  <c r="P65" i="5"/>
  <c r="P64" i="5"/>
  <c r="P59" i="5"/>
  <c r="P14" i="5"/>
  <c r="J53" i="8"/>
  <c r="P82" i="5"/>
  <c r="J70" i="8"/>
  <c r="J6" i="8"/>
  <c r="J89" i="8"/>
  <c r="K89" i="8" s="1"/>
  <c r="L89" i="8" s="1"/>
  <c r="M89" i="8" s="1"/>
  <c r="N89" i="8" s="1"/>
  <c r="O89" i="8" s="1"/>
  <c r="P89" i="8" s="1"/>
  <c r="J34" i="8"/>
  <c r="J16" i="8"/>
  <c r="J78" i="8"/>
  <c r="B29" i="11"/>
  <c r="B23" i="11"/>
  <c r="Q16" i="5"/>
  <c r="R16" i="5" s="1"/>
  <c r="P80" i="5"/>
  <c r="P66" i="5"/>
  <c r="J29" i="8"/>
  <c r="P12" i="5"/>
  <c r="P39" i="5"/>
  <c r="P75" i="5"/>
  <c r="P71" i="5"/>
  <c r="P61" i="5"/>
  <c r="P18" i="5"/>
  <c r="J22" i="8"/>
  <c r="P86" i="5"/>
  <c r="J15" i="8"/>
  <c r="J81" i="8"/>
  <c r="J13" i="8"/>
  <c r="J37" i="8"/>
  <c r="J9" i="8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J62" i="8"/>
  <c r="J24" i="8"/>
  <c r="J4" i="8"/>
  <c r="J90" i="8"/>
  <c r="B30" i="11"/>
  <c r="B35" i="11"/>
  <c r="K37" i="8" l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K6" i="8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K81" i="8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K62" i="8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Q39" i="5"/>
  <c r="R39" i="5" s="1"/>
  <c r="K34" i="8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Q2" i="5"/>
  <c r="E19" i="6"/>
  <c r="B16" i="6"/>
  <c r="F16" i="6" s="1"/>
  <c r="B20" i="6"/>
  <c r="B8" i="6"/>
  <c r="B4" i="6"/>
  <c r="E17" i="6"/>
  <c r="E8" i="6"/>
  <c r="E7" i="6"/>
  <c r="E15" i="6"/>
  <c r="E20" i="6"/>
  <c r="B11" i="6"/>
  <c r="F11" i="6" s="1"/>
  <c r="B19" i="6"/>
  <c r="F19" i="6" s="1"/>
  <c r="E13" i="6"/>
  <c r="B5" i="6"/>
  <c r="B9" i="6"/>
  <c r="E11" i="6"/>
  <c r="B3" i="6"/>
  <c r="E16" i="6"/>
  <c r="B17" i="6"/>
  <c r="F17" i="6" s="1"/>
  <c r="E6" i="6"/>
  <c r="B6" i="6"/>
  <c r="F6" i="6" s="1"/>
  <c r="E9" i="6"/>
  <c r="B14" i="6"/>
  <c r="F14" i="6" s="1"/>
  <c r="E2" i="6"/>
  <c r="B2" i="6"/>
  <c r="F2" i="6" s="1"/>
  <c r="E14" i="6"/>
  <c r="E5" i="6"/>
  <c r="B18" i="6"/>
  <c r="B10" i="6"/>
  <c r="B15" i="6"/>
  <c r="E18" i="6"/>
  <c r="E3" i="6"/>
  <c r="E12" i="6"/>
  <c r="B22" i="6"/>
  <c r="F22" i="6" s="1"/>
  <c r="E22" i="6"/>
  <c r="B7" i="6"/>
  <c r="F7" i="6" s="1"/>
  <c r="B13" i="6"/>
  <c r="F13" i="6" s="1"/>
  <c r="B21" i="6"/>
  <c r="F21" i="6" s="1"/>
  <c r="E4" i="6"/>
  <c r="E21" i="6"/>
  <c r="B12" i="6"/>
  <c r="E10" i="6"/>
  <c r="K33" i="8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K47" i="8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Q57" i="5"/>
  <c r="R57" i="5" s="1"/>
  <c r="K77" i="8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K40" i="8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Q90" i="5"/>
  <c r="R90" i="5" s="1"/>
  <c r="R4" i="10"/>
  <c r="Q22" i="5"/>
  <c r="R22" i="5" s="1"/>
  <c r="R5" i="10"/>
  <c r="K12" i="8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Q81" i="5"/>
  <c r="R81" i="5" s="1"/>
  <c r="R2" i="10"/>
  <c r="Q12" i="5"/>
  <c r="D5" i="6"/>
  <c r="C17" i="6"/>
  <c r="G17" i="6" s="1"/>
  <c r="C6" i="6"/>
  <c r="G6" i="6" s="1"/>
  <c r="D3" i="6"/>
  <c r="D9" i="6"/>
  <c r="D13" i="6"/>
  <c r="D15" i="6"/>
  <c r="C2" i="6"/>
  <c r="C7" i="6"/>
  <c r="G7" i="6" s="1"/>
  <c r="C11" i="6"/>
  <c r="G11" i="6" s="1"/>
  <c r="C4" i="6"/>
  <c r="G4" i="6" s="1"/>
  <c r="D18" i="6"/>
  <c r="D21" i="6"/>
  <c r="C15" i="6"/>
  <c r="D10" i="6"/>
  <c r="D7" i="6"/>
  <c r="C16" i="6"/>
  <c r="D22" i="6"/>
  <c r="D14" i="6"/>
  <c r="D8" i="6"/>
  <c r="C20" i="6"/>
  <c r="G20" i="6" s="1"/>
  <c r="C12" i="6"/>
  <c r="G12" i="6" s="1"/>
  <c r="D19" i="6"/>
  <c r="C5" i="6"/>
  <c r="G5" i="6" s="1"/>
  <c r="C21" i="6"/>
  <c r="G21" i="6" s="1"/>
  <c r="C10" i="6"/>
  <c r="C3" i="6"/>
  <c r="G3" i="6" s="1"/>
  <c r="D11" i="6"/>
  <c r="D6" i="6"/>
  <c r="D16" i="6"/>
  <c r="C9" i="6"/>
  <c r="G9" i="6" s="1"/>
  <c r="D17" i="6"/>
  <c r="C8" i="6"/>
  <c r="G8" i="6" s="1"/>
  <c r="D2" i="6"/>
  <c r="C13" i="6"/>
  <c r="G13" i="6" s="1"/>
  <c r="C14" i="6"/>
  <c r="D20" i="6"/>
  <c r="C19" i="6"/>
  <c r="C18" i="6"/>
  <c r="G18" i="6" s="1"/>
  <c r="C22" i="6"/>
  <c r="D4" i="6"/>
  <c r="D12" i="6"/>
  <c r="K50" i="8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K7" i="8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Q31" i="5"/>
  <c r="R31" i="5" s="1"/>
  <c r="Q5" i="5"/>
  <c r="R5" i="5" s="1"/>
  <c r="K29" i="8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K71" i="8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K13" i="8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Q66" i="5"/>
  <c r="R66" i="5" s="1"/>
  <c r="K43" i="8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K25" i="8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K19" i="8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K18" i="8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Q80" i="5"/>
  <c r="R80" i="5" s="1"/>
  <c r="Q82" i="5"/>
  <c r="R82" i="5" s="1"/>
  <c r="Q60" i="5"/>
  <c r="R60" i="5" s="1"/>
  <c r="Q24" i="5"/>
  <c r="R24" i="5" s="1"/>
  <c r="K36" i="8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K8" i="8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K65" i="8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K63" i="8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Q25" i="5"/>
  <c r="R25" i="5" s="1"/>
  <c r="R3" i="10"/>
  <c r="K88" i="8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K2" i="8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Q7" i="5"/>
  <c r="R7" i="5" s="1"/>
  <c r="K74" i="8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K30" i="8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K59" i="8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K76" i="8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Q91" i="5"/>
  <c r="R91" i="5" s="1"/>
  <c r="Q17" i="5"/>
  <c r="R17" i="5" s="1"/>
  <c r="K79" i="8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K27" i="8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K20" i="8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K51" i="8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Q18" i="5"/>
  <c r="R18" i="5" s="1"/>
  <c r="Q64" i="5"/>
  <c r="R64" i="5" s="1"/>
  <c r="K26" i="8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K31" i="8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K85" i="8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K73" i="8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Q21" i="5"/>
  <c r="R21" i="5" s="1"/>
  <c r="K3" i="8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Q74" i="5"/>
  <c r="R74" i="5" s="1"/>
  <c r="K42" i="8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K67" i="8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Q72" i="5"/>
  <c r="R72" i="5" s="1"/>
  <c r="K70" i="8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Q70" i="5"/>
  <c r="R70" i="5" s="1"/>
  <c r="Q89" i="5"/>
  <c r="R89" i="5" s="1"/>
  <c r="K58" i="8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Q35" i="5"/>
  <c r="R35" i="5" s="1"/>
  <c r="K35" i="8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K32" i="8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K22" i="8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Q59" i="5"/>
  <c r="R59" i="5" s="1"/>
  <c r="K75" i="8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K44" i="8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Q69" i="5"/>
  <c r="R69" i="5" s="1"/>
  <c r="K90" i="8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Q61" i="5"/>
  <c r="R61" i="5" s="1"/>
  <c r="Q65" i="5"/>
  <c r="R65" i="5" s="1"/>
  <c r="Q19" i="5"/>
  <c r="R19" i="5" s="1"/>
  <c r="K45" i="8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K23" i="8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K41" i="8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K91" i="8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K86" i="8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K48" i="8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R6" i="10"/>
  <c r="K10" i="8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Q89" i="8"/>
  <c r="R89" i="8" s="1"/>
  <c r="S89" i="8" s="1"/>
  <c r="T89" i="8" s="1"/>
  <c r="U89" i="8" s="1"/>
  <c r="V89" i="8" s="1"/>
  <c r="W89" i="8" s="1"/>
  <c r="X89" i="8" s="1"/>
  <c r="K72" i="8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K64" i="8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Q78" i="5"/>
  <c r="R78" i="5" s="1"/>
  <c r="K11" i="8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K53" i="8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Q84" i="5"/>
  <c r="R84" i="5" s="1"/>
  <c r="Q83" i="5"/>
  <c r="R83" i="5" s="1"/>
  <c r="Q76" i="5"/>
  <c r="R76" i="5" s="1"/>
  <c r="K87" i="8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K80" i="8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K56" i="8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K14" i="8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Q32" i="5"/>
  <c r="R32" i="5" s="1"/>
  <c r="Q86" i="5"/>
  <c r="R86" i="5" s="1"/>
  <c r="Q14" i="5"/>
  <c r="R14" i="5" s="1"/>
  <c r="Q10" i="5"/>
  <c r="R10" i="5" s="1"/>
  <c r="Q87" i="5"/>
  <c r="R87" i="5" s="1"/>
  <c r="K68" i="8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K83" i="8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Q33" i="5"/>
  <c r="R33" i="5" s="1"/>
  <c r="K66" i="8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K57" i="8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K52" i="8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K46" i="8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K17" i="8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K49" i="8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K15" i="8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K54" i="8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K4" i="8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Q71" i="5"/>
  <c r="R71" i="5" s="1"/>
  <c r="K78" i="8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Q29" i="5"/>
  <c r="R29" i="5" s="1"/>
  <c r="Q79" i="5"/>
  <c r="R79" i="5" s="1"/>
  <c r="K38" i="8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K28" i="8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K24" i="8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Q75" i="5"/>
  <c r="R75" i="5" s="1"/>
  <c r="K16" i="8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Q44" i="5"/>
  <c r="R44" i="5" s="1"/>
  <c r="K55" i="8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K82" i="8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K39" i="8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Q48" i="5"/>
  <c r="R48" i="5" s="1"/>
  <c r="K5" i="8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K69" i="8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K61" i="8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F9" i="6" l="1"/>
  <c r="F20" i="6"/>
  <c r="I94" i="8"/>
  <c r="G19" i="6"/>
  <c r="G10" i="6"/>
  <c r="G15" i="6"/>
  <c r="F5" i="6"/>
  <c r="G14" i="6"/>
  <c r="R12" i="5"/>
  <c r="O97" i="5"/>
  <c r="O96" i="5"/>
  <c r="R2" i="5"/>
  <c r="O94" i="5" s="1"/>
  <c r="O98" i="5"/>
  <c r="O95" i="5"/>
  <c r="R8" i="10"/>
  <c r="B9" i="13" s="1"/>
  <c r="G2" i="6"/>
  <c r="I2" i="6" s="1"/>
  <c r="B6" i="13" s="1"/>
  <c r="F15" i="6"/>
  <c r="G16" i="6"/>
  <c r="F12" i="6"/>
  <c r="F10" i="6"/>
  <c r="F3" i="6"/>
  <c r="F4" i="6"/>
  <c r="G22" i="6"/>
  <c r="F18" i="6"/>
  <c r="F8" i="6"/>
  <c r="B5" i="13" l="1"/>
  <c r="D3" i="9"/>
  <c r="C3" i="9"/>
  <c r="C4" i="9" s="1"/>
  <c r="H22" i="12"/>
  <c r="H10" i="12"/>
  <c r="H21" i="12"/>
  <c r="H9" i="12"/>
  <c r="B14" i="13"/>
  <c r="H20" i="12"/>
  <c r="H8" i="12"/>
  <c r="H19" i="12"/>
  <c r="H7" i="12"/>
  <c r="H18" i="12"/>
  <c r="H23" i="12"/>
  <c r="H11" i="12"/>
  <c r="H2" i="12"/>
  <c r="H17" i="12"/>
  <c r="H16" i="12"/>
  <c r="H15" i="12"/>
  <c r="H14" i="12"/>
  <c r="H13" i="12"/>
  <c r="H12" i="12"/>
  <c r="H24" i="12"/>
  <c r="H26" i="12"/>
  <c r="H3" i="12"/>
  <c r="H25" i="12"/>
  <c r="H6" i="12"/>
  <c r="H5" i="12"/>
  <c r="H4" i="12"/>
  <c r="F4" i="9" l="1"/>
  <c r="E3" i="9"/>
  <c r="H2" i="9"/>
  <c r="B7" i="13" s="1"/>
  <c r="F3" i="9"/>
  <c r="H4" i="9"/>
  <c r="H6" i="9" s="1"/>
  <c r="B8" i="13" s="1"/>
  <c r="J6" i="12"/>
  <c r="B11" i="13" s="1"/>
  <c r="J2" i="12"/>
  <c r="J4" i="12"/>
  <c r="C117" i="12" l="1"/>
  <c r="D117" i="12" s="1"/>
  <c r="E117" i="12" s="1"/>
  <c r="C32" i="12"/>
  <c r="D32" i="12" s="1"/>
  <c r="E32" i="12" s="1"/>
  <c r="C80" i="12"/>
  <c r="D80" i="12" s="1"/>
  <c r="E80" i="12" s="1"/>
  <c r="C92" i="12"/>
  <c r="D92" i="12" s="1"/>
  <c r="E92" i="12" s="1"/>
  <c r="C40" i="12"/>
  <c r="D40" i="12" s="1"/>
  <c r="E40" i="12" s="1"/>
  <c r="C75" i="12"/>
  <c r="D75" i="12" s="1"/>
  <c r="E75" i="12" s="1"/>
  <c r="C45" i="12"/>
  <c r="D45" i="12" s="1"/>
  <c r="E45" i="12" s="1"/>
  <c r="C38" i="12"/>
  <c r="D38" i="12" s="1"/>
  <c r="E38" i="12" s="1"/>
  <c r="C96" i="12"/>
  <c r="D96" i="12" s="1"/>
  <c r="E96" i="12" s="1"/>
  <c r="C81" i="12"/>
  <c r="D81" i="12" s="1"/>
  <c r="E81" i="12" s="1"/>
  <c r="C74" i="12"/>
  <c r="D74" i="12" s="1"/>
  <c r="E74" i="12" s="1"/>
  <c r="C71" i="12"/>
  <c r="D71" i="12" s="1"/>
  <c r="E71" i="12" s="1"/>
  <c r="C72" i="12"/>
  <c r="D72" i="12" s="1"/>
  <c r="E72" i="12" s="1"/>
  <c r="C59" i="12"/>
  <c r="D59" i="12" s="1"/>
  <c r="E59" i="12" s="1"/>
  <c r="C66" i="12"/>
  <c r="D66" i="12" s="1"/>
  <c r="E66" i="12" s="1"/>
  <c r="C65" i="12"/>
  <c r="D65" i="12" s="1"/>
  <c r="E65" i="12" s="1"/>
  <c r="C56" i="12"/>
  <c r="D56" i="12" s="1"/>
  <c r="E56" i="12" s="1"/>
  <c r="C83" i="12"/>
  <c r="D83" i="12" s="1"/>
  <c r="E83" i="12" s="1"/>
  <c r="C70" i="12"/>
  <c r="D70" i="12" s="1"/>
  <c r="E70" i="12" s="1"/>
  <c r="C35" i="12"/>
  <c r="D35" i="12" s="1"/>
  <c r="E35" i="12" s="1"/>
  <c r="C52" i="12"/>
  <c r="D52" i="12" s="1"/>
  <c r="E52" i="12" s="1"/>
  <c r="C114" i="12"/>
  <c r="D114" i="12" s="1"/>
  <c r="E114" i="12" s="1"/>
  <c r="C97" i="12"/>
  <c r="D97" i="12" s="1"/>
  <c r="E97" i="12" s="1"/>
  <c r="C57" i="12"/>
  <c r="D57" i="12" s="1"/>
  <c r="E57" i="12" s="1"/>
  <c r="C91" i="12"/>
  <c r="D91" i="12" s="1"/>
  <c r="E91" i="12" s="1"/>
  <c r="C37" i="12"/>
  <c r="D37" i="12" s="1"/>
  <c r="E37" i="12" s="1"/>
  <c r="C79" i="12"/>
  <c r="D79" i="12" s="1"/>
  <c r="E79" i="12" s="1"/>
  <c r="C84" i="12"/>
  <c r="D84" i="12" s="1"/>
  <c r="E84" i="12" s="1"/>
  <c r="C69" i="12"/>
  <c r="D69" i="12" s="1"/>
  <c r="E69" i="12" s="1"/>
  <c r="C67" i="12"/>
  <c r="D67" i="12" s="1"/>
  <c r="E67" i="12" s="1"/>
  <c r="C63" i="12"/>
  <c r="D63" i="12" s="1"/>
  <c r="E63" i="12" s="1"/>
  <c r="C42" i="12"/>
  <c r="D42" i="12" s="1"/>
  <c r="E42" i="12" s="1"/>
  <c r="C44" i="12"/>
  <c r="D44" i="12" s="1"/>
  <c r="E44" i="12" s="1"/>
  <c r="C76" i="12"/>
  <c r="D76" i="12" s="1"/>
  <c r="E76" i="12" s="1"/>
  <c r="C33" i="12"/>
  <c r="D33" i="12" s="1"/>
  <c r="E33" i="12" s="1"/>
  <c r="C78" i="12"/>
  <c r="D78" i="12" s="1"/>
  <c r="E78" i="12" s="1"/>
  <c r="C87" i="12"/>
  <c r="D87" i="12" s="1"/>
  <c r="E87" i="12" s="1"/>
  <c r="C102" i="12"/>
  <c r="D102" i="12" s="1"/>
  <c r="E102" i="12" s="1"/>
  <c r="C85" i="12"/>
  <c r="D85" i="12" s="1"/>
  <c r="E85" i="12" s="1"/>
  <c r="C55" i="12"/>
  <c r="D55" i="12" s="1"/>
  <c r="E55" i="12" s="1"/>
  <c r="C106" i="12"/>
  <c r="D106" i="12" s="1"/>
  <c r="E106" i="12" s="1"/>
  <c r="C49" i="12"/>
  <c r="D49" i="12" s="1"/>
  <c r="E49" i="12" s="1"/>
  <c r="C82" i="12"/>
  <c r="D82" i="12" s="1"/>
  <c r="E82" i="12" s="1"/>
  <c r="C51" i="12"/>
  <c r="D51" i="12" s="1"/>
  <c r="E51" i="12" s="1"/>
  <c r="C95" i="12"/>
  <c r="D95" i="12" s="1"/>
  <c r="E95" i="12" s="1"/>
  <c r="C53" i="12"/>
  <c r="D53" i="12" s="1"/>
  <c r="E53" i="12" s="1"/>
  <c r="C103" i="12"/>
  <c r="D103" i="12" s="1"/>
  <c r="E103" i="12" s="1"/>
  <c r="C64" i="12"/>
  <c r="D64" i="12" s="1"/>
  <c r="E64" i="12" s="1"/>
  <c r="C90" i="12"/>
  <c r="D90" i="12" s="1"/>
  <c r="E90" i="12" s="1"/>
  <c r="C77" i="12"/>
  <c r="D77" i="12" s="1"/>
  <c r="E77" i="12" s="1"/>
  <c r="C94" i="12"/>
  <c r="D94" i="12" s="1"/>
  <c r="E94" i="12" s="1"/>
  <c r="C88" i="12"/>
  <c r="D88" i="12" s="1"/>
  <c r="E88" i="12" s="1"/>
  <c r="C107" i="12"/>
  <c r="D107" i="12" s="1"/>
  <c r="E107" i="12" s="1"/>
  <c r="C98" i="12"/>
  <c r="D98" i="12" s="1"/>
  <c r="E98" i="12" s="1"/>
  <c r="C108" i="12"/>
  <c r="D108" i="12" s="1"/>
  <c r="E108" i="12" s="1"/>
  <c r="C47" i="12"/>
  <c r="D47" i="12" s="1"/>
  <c r="E47" i="12" s="1"/>
  <c r="C105" i="12"/>
  <c r="D105" i="12" s="1"/>
  <c r="E105" i="12" s="1"/>
  <c r="C39" i="12"/>
  <c r="D39" i="12" s="1"/>
  <c r="E39" i="12" s="1"/>
  <c r="C93" i="12"/>
  <c r="D93" i="12" s="1"/>
  <c r="E93" i="12" s="1"/>
  <c r="C50" i="12"/>
  <c r="D50" i="12" s="1"/>
  <c r="E50" i="12" s="1"/>
  <c r="C116" i="12"/>
  <c r="D116" i="12" s="1"/>
  <c r="E116" i="12" s="1"/>
  <c r="C118" i="12"/>
  <c r="D118" i="12" s="1"/>
  <c r="E118" i="12" s="1"/>
  <c r="C109" i="12"/>
  <c r="D109" i="12" s="1"/>
  <c r="E109" i="12" s="1"/>
  <c r="C68" i="12"/>
  <c r="D68" i="12" s="1"/>
  <c r="E68" i="12" s="1"/>
  <c r="C110" i="12"/>
  <c r="D110" i="12" s="1"/>
  <c r="E110" i="12" s="1"/>
  <c r="C101" i="12"/>
  <c r="D101" i="12" s="1"/>
  <c r="E101" i="12" s="1"/>
  <c r="C48" i="12"/>
  <c r="D48" i="12" s="1"/>
  <c r="E48" i="12" s="1"/>
  <c r="C104" i="12"/>
  <c r="D104" i="12" s="1"/>
  <c r="E104" i="12" s="1"/>
  <c r="C60" i="12"/>
  <c r="D60" i="12" s="1"/>
  <c r="E60" i="12" s="1"/>
  <c r="C120" i="12"/>
  <c r="D120" i="12" s="1"/>
  <c r="E120" i="12" s="1"/>
  <c r="C100" i="12"/>
  <c r="D100" i="12" s="1"/>
  <c r="E100" i="12" s="1"/>
  <c r="C113" i="12"/>
  <c r="D113" i="12" s="1"/>
  <c r="E113" i="12" s="1"/>
  <c r="C115" i="12"/>
  <c r="D115" i="12" s="1"/>
  <c r="E115" i="12" s="1"/>
  <c r="C86" i="12"/>
  <c r="D86" i="12" s="1"/>
  <c r="E86" i="12" s="1"/>
  <c r="C54" i="12"/>
  <c r="D54" i="12" s="1"/>
  <c r="E54" i="12" s="1"/>
  <c r="C31" i="12"/>
  <c r="C41" i="12"/>
  <c r="C34" i="12"/>
  <c r="D34" i="12" s="1"/>
  <c r="E34" i="12" s="1"/>
  <c r="C46" i="12"/>
  <c r="D46" i="12" s="1"/>
  <c r="E46" i="12" s="1"/>
  <c r="C99" i="12"/>
  <c r="D99" i="12" s="1"/>
  <c r="E99" i="12" s="1"/>
  <c r="C61" i="12"/>
  <c r="D61" i="12" s="1"/>
  <c r="E61" i="12" s="1"/>
  <c r="C62" i="12"/>
  <c r="D62" i="12" s="1"/>
  <c r="E62" i="12" s="1"/>
  <c r="C73" i="12"/>
  <c r="D73" i="12" s="1"/>
  <c r="E73" i="12" s="1"/>
  <c r="C58" i="12"/>
  <c r="D58" i="12" s="1"/>
  <c r="E58" i="12" s="1"/>
  <c r="C111" i="12"/>
  <c r="D111" i="12" s="1"/>
  <c r="E111" i="12" s="1"/>
  <c r="C119" i="12"/>
  <c r="D119" i="12" s="1"/>
  <c r="E119" i="12" s="1"/>
  <c r="C89" i="12"/>
  <c r="D89" i="12" s="1"/>
  <c r="E89" i="12" s="1"/>
  <c r="C112" i="12"/>
  <c r="D112" i="12" s="1"/>
  <c r="E112" i="12" s="1"/>
  <c r="C43" i="12"/>
  <c r="D43" i="12" s="1"/>
  <c r="E43" i="12" s="1"/>
  <c r="C36" i="12"/>
  <c r="D36" i="12" s="1"/>
  <c r="E36" i="12" s="1"/>
  <c r="D31" i="12" l="1"/>
  <c r="H48" i="12"/>
  <c r="H34" i="12"/>
  <c r="H46" i="12"/>
  <c r="H49" i="12"/>
  <c r="H42" i="12"/>
  <c r="H43" i="12"/>
  <c r="H36" i="12"/>
  <c r="H31" i="12"/>
  <c r="H45" i="12"/>
  <c r="H39" i="12"/>
  <c r="H41" i="12"/>
  <c r="H33" i="12"/>
  <c r="H50" i="12"/>
  <c r="H47" i="12"/>
  <c r="H38" i="12"/>
  <c r="H35" i="12"/>
  <c r="H51" i="12"/>
  <c r="H44" i="12"/>
  <c r="H37" i="12"/>
  <c r="H32" i="12"/>
  <c r="H40" i="12"/>
  <c r="D41" i="12"/>
  <c r="I33" i="12"/>
  <c r="I35" i="12"/>
  <c r="I42" i="12"/>
  <c r="I41" i="12"/>
  <c r="I50" i="12"/>
  <c r="I47" i="12"/>
  <c r="I43" i="12"/>
  <c r="I44" i="12"/>
  <c r="I38" i="12"/>
  <c r="I40" i="12"/>
  <c r="I48" i="12"/>
  <c r="I34" i="12"/>
  <c r="I37" i="12"/>
  <c r="I32" i="12"/>
  <c r="I51" i="12"/>
  <c r="I46" i="12"/>
  <c r="I36" i="12"/>
  <c r="I31" i="12"/>
  <c r="I49" i="12"/>
  <c r="I39" i="12"/>
  <c r="I45" i="12"/>
  <c r="E41" i="12" l="1"/>
  <c r="B126" i="12"/>
  <c r="B125" i="12"/>
  <c r="K31" i="12"/>
  <c r="B13" i="13" s="1"/>
  <c r="E31" i="12"/>
  <c r="B123" i="12" s="1"/>
  <c r="B12" i="13" s="1"/>
  <c r="B124" i="12"/>
  <c r="B127" i="12"/>
</calcChain>
</file>

<file path=xl/sharedStrings.xml><?xml version="1.0" encoding="utf-8"?>
<sst xmlns="http://schemas.openxmlformats.org/spreadsheetml/2006/main" count="2656" uniqueCount="231">
  <si>
    <t>sheet</t>
  </si>
  <si>
    <t>purpose</t>
  </si>
  <si>
    <t>Controls</t>
  </si>
  <si>
    <t>Global parameters used by all mechanics formulas.</t>
  </si>
  <si>
    <t>Data</t>
  </si>
  <si>
    <t>Wage subset with wage_flag and train/test split.</t>
  </si>
  <si>
    <t>Transform_Tree</t>
  </si>
  <si>
    <t>Chunk 4 mechanics: wage vs sqrt(wage) stump split on age.</t>
  </si>
  <si>
    <t>ClassTree</t>
  </si>
  <si>
    <t>Chunks 5, 8, 9, 14 mechanics: class tree, confusion matrix.</t>
  </si>
  <si>
    <t>ROC_Mechanics</t>
  </si>
  <si>
    <t>Chunk 15 mechanics: threshold sweep and ROC points from class probabilities.</t>
  </si>
  <si>
    <t>RF_Mechanics</t>
  </si>
  <si>
    <t>Chunks 19-23 mechanics: per-tree class votes and majority prediction.</t>
  </si>
  <si>
    <t>Boosting_Lite</t>
  </si>
  <si>
    <t>Chunk 26-27 style additive stage logic (formula-only approximation).</t>
  </si>
  <si>
    <t>CP_Pruning_Mechanics</t>
  </si>
  <si>
    <t>cp, xerror, and pruning pick mechanics tied to tree variants.</t>
  </si>
  <si>
    <t>RF_CV_Tuning</t>
  </si>
  <si>
    <t>Repeated CV + downsampling + mtry/ntree tuning grid mechanics.</t>
  </si>
  <si>
    <t>RF_Importance_PDP</t>
  </si>
  <si>
    <t>Variable-importance proxies and PDP-style views.</t>
  </si>
  <si>
    <t>XGB_Mechanics</t>
  </si>
  <si>
    <t>xgbTree-style tuning grid and prediction mechanics.</t>
  </si>
  <si>
    <t>Summary</t>
  </si>
  <si>
    <t>Key metrics pulled from all mechanics tabs.</t>
  </si>
  <si>
    <t>wage_high_cutoff</t>
  </si>
  <si>
    <t>classification_threshold</t>
  </si>
  <si>
    <t>rf_visible_trees</t>
  </si>
  <si>
    <t>boosting_stages</t>
  </si>
  <si>
    <t>boosting_learning_rate</t>
  </si>
  <si>
    <t>note</t>
  </si>
  <si>
    <t>Workbook is formula-first mechanics, not a full package replication.</t>
  </si>
  <si>
    <t>cp_alpha_override (optional)</t>
  </si>
  <si>
    <t>id</t>
  </si>
  <si>
    <t>year</t>
  </si>
  <si>
    <t>age</t>
  </si>
  <si>
    <t>maritl</t>
  </si>
  <si>
    <t>maritl_collapsed</t>
  </si>
  <si>
    <t>race</t>
  </si>
  <si>
    <t>education</t>
  </si>
  <si>
    <t>jobclass</t>
  </si>
  <si>
    <t>health</t>
  </si>
  <si>
    <t>health_ins</t>
  </si>
  <si>
    <t>wage</t>
  </si>
  <si>
    <t>wage_flag</t>
  </si>
  <si>
    <t>set</t>
  </si>
  <si>
    <t>1. Never Married</t>
  </si>
  <si>
    <t>1. White</t>
  </si>
  <si>
    <t>1. &lt; HS Grad</t>
  </si>
  <si>
    <t>1. Industrial</t>
  </si>
  <si>
    <t>1. &lt;=Good</t>
  </si>
  <si>
    <t>2. No</t>
  </si>
  <si>
    <t>Train</t>
  </si>
  <si>
    <t>4. College Grad</t>
  </si>
  <si>
    <t>2. Information</t>
  </si>
  <si>
    <t>2. &gt;=Very Good</t>
  </si>
  <si>
    <t>2. Married</t>
  </si>
  <si>
    <t>3. Some College</t>
  </si>
  <si>
    <t>1. Yes</t>
  </si>
  <si>
    <t>3. Asian</t>
  </si>
  <si>
    <t>4. Divorced</t>
  </si>
  <si>
    <t>3. Other</t>
  </si>
  <si>
    <t>2. HS Grad</t>
  </si>
  <si>
    <t>4. Other</t>
  </si>
  <si>
    <t>2. Black</t>
  </si>
  <si>
    <t>5. Advanced Degree</t>
  </si>
  <si>
    <t>3. Widowed</t>
  </si>
  <si>
    <t>5. Separated</t>
  </si>
  <si>
    <t>Test</t>
  </si>
  <si>
    <t>age_threshold</t>
  </si>
  <si>
    <t>left_n</t>
  </si>
  <si>
    <t>left_mean_wage</t>
  </si>
  <si>
    <t>right_n</t>
  </si>
  <si>
    <t>right_mean_wage</t>
  </si>
  <si>
    <t>sse_wage</t>
  </si>
  <si>
    <t>left_mean_sqrtwage</t>
  </si>
  <si>
    <t>right_mean_sqrtwage</t>
  </si>
  <si>
    <t>sse_sqrtwage</t>
  </si>
  <si>
    <t>valid_split</t>
  </si>
  <si>
    <t>valid_sse_wage</t>
  </si>
  <si>
    <t>valid_sse_sqrt</t>
  </si>
  <si>
    <t>best_threshold_wage</t>
  </si>
  <si>
    <t>best_threshold_sqrt_wage</t>
  </si>
  <si>
    <t>abs_difference</t>
  </si>
  <si>
    <t>left_train_n</t>
  </si>
  <si>
    <t>left_train_pos</t>
  </si>
  <si>
    <t>right_train_n</t>
  </si>
  <si>
    <t>right_train_pos</t>
  </si>
  <si>
    <t>left_gini</t>
  </si>
  <si>
    <t>right_gini</t>
  </si>
  <si>
    <t>weighted_gini</t>
  </si>
  <si>
    <t>valid_gini</t>
  </si>
  <si>
    <t>best_threshold_age</t>
  </si>
  <si>
    <t>test_id</t>
  </si>
  <si>
    <t>actual</t>
  </si>
  <si>
    <t>pred_prob</t>
  </si>
  <si>
    <t>pred_class</t>
  </si>
  <si>
    <t>correct</t>
  </si>
  <si>
    <t>left_prob_high</t>
  </si>
  <si>
    <t>right_prob_high</t>
  </si>
  <si>
    <t>left_class_pred</t>
  </si>
  <si>
    <t>right_class_pred</t>
  </si>
  <si>
    <t>accuracy</t>
  </si>
  <si>
    <t>TP</t>
  </si>
  <si>
    <t>TN</t>
  </si>
  <si>
    <t>FP</t>
  </si>
  <si>
    <t>FN</t>
  </si>
  <si>
    <t>threshold</t>
  </si>
  <si>
    <t>TPR</t>
  </si>
  <si>
    <t>FPR</t>
  </si>
  <si>
    <t>approx_auc</t>
  </si>
  <si>
    <t>tree</t>
  </si>
  <si>
    <t>feature_used</t>
  </si>
  <si>
    <t>left_class</t>
  </si>
  <si>
    <t>right_class</t>
  </si>
  <si>
    <t>tree_01_pred</t>
  </si>
  <si>
    <t>tree_02_pred</t>
  </si>
  <si>
    <t>tree_03_pred</t>
  </si>
  <si>
    <t>tree_04_pred</t>
  </si>
  <si>
    <t>tree_05_pred</t>
  </si>
  <si>
    <t>tree_06_pred</t>
  </si>
  <si>
    <t>tree_07_pred</t>
  </si>
  <si>
    <t>tree_08_pred</t>
  </si>
  <si>
    <t>tree_09_pred</t>
  </si>
  <si>
    <t>tree_10_pred</t>
  </si>
  <si>
    <t>tree_11_pred</t>
  </si>
  <si>
    <t>tree_12_pred</t>
  </si>
  <si>
    <t>tree_13_pred</t>
  </si>
  <si>
    <t>tree_14_pred</t>
  </si>
  <si>
    <t>tree_15_pred</t>
  </si>
  <si>
    <t>tree_16_pred</t>
  </si>
  <si>
    <t>tree_17_pred</t>
  </si>
  <si>
    <t>tree_18_pred</t>
  </si>
  <si>
    <t>tree_19_pred</t>
  </si>
  <si>
    <t>tree_20_pred</t>
  </si>
  <si>
    <t>tree_21_pred</t>
  </si>
  <si>
    <t>tree_22_pred</t>
  </si>
  <si>
    <t>tree_23_pred</t>
  </si>
  <si>
    <t>tree_24_pred</t>
  </si>
  <si>
    <t>tree_25_pred</t>
  </si>
  <si>
    <t>vote_prob_high</t>
  </si>
  <si>
    <t>rf_accuracy</t>
  </si>
  <si>
    <t>rf_tp</t>
  </si>
  <si>
    <t>rf_tn</t>
  </si>
  <si>
    <t>rf_fp</t>
  </si>
  <si>
    <t>rf_fn</t>
  </si>
  <si>
    <t>stage</t>
  </si>
  <si>
    <t>threshold_age</t>
  </si>
  <si>
    <t>left_mean_residual</t>
  </si>
  <si>
    <t>right_mean_residual</t>
  </si>
  <si>
    <t>eta</t>
  </si>
  <si>
    <t>base_prob</t>
  </si>
  <si>
    <t>p_after_s1</t>
  </si>
  <si>
    <t>p_after_s2</t>
  </si>
  <si>
    <t>p_after_s3</t>
  </si>
  <si>
    <t>p_after_s4</t>
  </si>
  <si>
    <t>p_after_s5</t>
  </si>
  <si>
    <t>p_after_s6</t>
  </si>
  <si>
    <t>p_after_s7</t>
  </si>
  <si>
    <t>p_after_s8</t>
  </si>
  <si>
    <t>p_after_s9</t>
  </si>
  <si>
    <t>p_after_s10</t>
  </si>
  <si>
    <t>p_after_s11</t>
  </si>
  <si>
    <t>p_after_s12</t>
  </si>
  <si>
    <t>Residuals use y - p_prev on train rows.</t>
  </si>
  <si>
    <t>boost_lite_accuracy</t>
  </si>
  <si>
    <t>model</t>
  </si>
  <si>
    <t>nsplit</t>
  </si>
  <si>
    <t>rel_error</t>
  </si>
  <si>
    <t>xerror</t>
  </si>
  <si>
    <t>xstd</t>
  </si>
  <si>
    <t>cp</t>
  </si>
  <si>
    <t>cp_min_xerror</t>
  </si>
  <si>
    <t>year_threshold_candidate</t>
  </si>
  <si>
    <t>left_branch_gini</t>
  </si>
  <si>
    <t>right_branch_gini</t>
  </si>
  <si>
    <t>valid_weighted_gini</t>
  </si>
  <si>
    <t>best_year_split</t>
  </si>
  <si>
    <t>root</t>
  </si>
  <si>
    <t>stump</t>
  </si>
  <si>
    <t>min_xerror_model</t>
  </si>
  <si>
    <t>depth2_test_accuracy</t>
  </si>
  <si>
    <t>depth2_age_year</t>
  </si>
  <si>
    <t>pruned_model_by_cp</t>
  </si>
  <si>
    <t>train_id</t>
  </si>
  <si>
    <t>fold_rep1</t>
  </si>
  <si>
    <t>fold_rep2</t>
  </si>
  <si>
    <t>fold_rep3</t>
  </si>
  <si>
    <t>downsample_count_per_fold_rep1</t>
  </si>
  <si>
    <t>downsample_count_per_fold_rep2</t>
  </si>
  <si>
    <t>downsample_count_per_fold_rep3</t>
  </si>
  <si>
    <t>repeat</t>
  </si>
  <si>
    <t>fold</t>
  </si>
  <si>
    <t>mtry</t>
  </si>
  <si>
    <t>ntree</t>
  </si>
  <si>
    <t>cv_score_proxy</t>
  </si>
  <si>
    <t>mean_cv_score</t>
  </si>
  <si>
    <t>best_mtry</t>
  </si>
  <si>
    <t>variable</t>
  </si>
  <si>
    <t>importance_proxy</t>
  </si>
  <si>
    <t>education_level</t>
  </si>
  <si>
    <t>partial_dependence_proxy</t>
  </si>
  <si>
    <t>age_grid</t>
  </si>
  <si>
    <t>max_depth</t>
  </si>
  <si>
    <t>min_child_weight</t>
  </si>
  <si>
    <t>gamma</t>
  </si>
  <si>
    <t>nrounds</t>
  </si>
  <si>
    <t>colsample_bytree</t>
  </si>
  <si>
    <t>subsample</t>
  </si>
  <si>
    <t>best_nrounds</t>
  </si>
  <si>
    <t>best_eta</t>
  </si>
  <si>
    <t>best_cv_score</t>
  </si>
  <si>
    <t>pred_prob_xgb_proxy</t>
  </si>
  <si>
    <t>auc_proxy</t>
  </si>
  <si>
    <t>xgb_accuracy</t>
  </si>
  <si>
    <t>metric</t>
  </si>
  <si>
    <t>value</t>
  </si>
  <si>
    <t>n_rows_data</t>
  </si>
  <si>
    <t>train_rows</t>
  </si>
  <si>
    <t>test_rows</t>
  </si>
  <si>
    <t>class_tree_accuracy</t>
  </si>
  <si>
    <t>class_tree_auc_approx</t>
  </si>
  <si>
    <t>cp_pruned_model</t>
  </si>
  <si>
    <t>rf_best_mtry_cv</t>
  </si>
  <si>
    <t>rf_vote_accuracy</t>
  </si>
  <si>
    <t>xgb_best_cv_score_proxy</t>
  </si>
  <si>
    <t>xgb_accuracy_proxy</t>
  </si>
  <si>
    <t>xgb_auc_proxy</t>
  </si>
  <si>
    <t>best_age_split_wage</t>
  </si>
  <si>
    <t>best_age_split_sqrt_wage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</si>
</sst>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ROC Curve (ClassTree)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ClassTree ROC</c:v>
          </c:tx>
          <c:spPr>
            <a:ln w="20000">
              <a:prstDash val="solid"/>
            </a:ln>
          </c:spPr>
          <c:marker>
            <c:symbol val="none"/>
          </c:marker>
          <c:xVal>
            <c:numRef>
              <c:f>ROC_Mechanics!$G$2:$G$22</c:f>
              <c:numCache>
                <c:formatCode>General</c:formatCode>
                <c:ptCount val="21"/>
                <c:pt idx="0">
                  <c:v>1</c:v>
                </c:pt>
                <c:pt idx="1">
                  <c:v>0.86046511627906974</c:v>
                </c:pt>
                <c:pt idx="2">
                  <c:v>0.86046511627906974</c:v>
                </c:pt>
                <c:pt idx="3">
                  <c:v>0.86046511627906974</c:v>
                </c:pt>
                <c:pt idx="4">
                  <c:v>0.86046511627906974</c:v>
                </c:pt>
                <c:pt idx="5">
                  <c:v>0.86046511627906974</c:v>
                </c:pt>
                <c:pt idx="6">
                  <c:v>0.86046511627906974</c:v>
                </c:pt>
                <c:pt idx="7">
                  <c:v>0.86046511627906974</c:v>
                </c:pt>
                <c:pt idx="8">
                  <c:v>0.86046511627906974</c:v>
                </c:pt>
                <c:pt idx="9">
                  <c:v>0.86046511627906974</c:v>
                </c:pt>
                <c:pt idx="10">
                  <c:v>0.86046511627906974</c:v>
                </c:pt>
                <c:pt idx="11">
                  <c:v>0.86046511627906974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ROC_Mechanics!$F$2:$F$22</c:f>
              <c:numCache>
                <c:formatCode>General</c:formatCode>
                <c:ptCount val="21"/>
                <c:pt idx="0">
                  <c:v>1</c:v>
                </c:pt>
                <c:pt idx="1">
                  <c:v>0.97872340425531912</c:v>
                </c:pt>
                <c:pt idx="2">
                  <c:v>0.97872340425531912</c:v>
                </c:pt>
                <c:pt idx="3">
                  <c:v>0.97872340425531912</c:v>
                </c:pt>
                <c:pt idx="4">
                  <c:v>0.97872340425531912</c:v>
                </c:pt>
                <c:pt idx="5">
                  <c:v>0.97872340425531912</c:v>
                </c:pt>
                <c:pt idx="6">
                  <c:v>0.97872340425531912</c:v>
                </c:pt>
                <c:pt idx="7">
                  <c:v>0.97872340425531912</c:v>
                </c:pt>
                <c:pt idx="8">
                  <c:v>0.97872340425531912</c:v>
                </c:pt>
                <c:pt idx="9">
                  <c:v>0.97872340425531912</c:v>
                </c:pt>
                <c:pt idx="10">
                  <c:v>0.97872340425531912</c:v>
                </c:pt>
                <c:pt idx="11">
                  <c:v>0.97872340425531912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32-F945-AABE-CC43A1AAD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False Positive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True Positive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CP Table: xerror by subtree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CP_Pruning_Mechanics!$B$2:$B$4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3</c:v>
                </c:pt>
              </c:numCache>
            </c:numRef>
          </c:cat>
          <c:val>
            <c:numRef>
              <c:f>CP_Pruning_Mechanics!$D$2:$D$4</c:f>
              <c:numCache>
                <c:formatCode>General</c:formatCode>
                <c:ptCount val="3"/>
                <c:pt idx="0">
                  <c:v>0.47777777777777775</c:v>
                </c:pt>
                <c:pt idx="1">
                  <c:v>0.42222222222222228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7-3F46-8F14-244AEC093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nsplit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xerror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RF Tuning Curve (mean CV score by mtry)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RF_CV_Tuning!$R$1</c:f>
              <c:strCache>
                <c:ptCount val="1"/>
                <c:pt idx="0">
                  <c:v>mean_cv_score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RF_CV_Tuning!$Q$2:$Q$6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RF_CV_Tuning!$R$2:$R$6</c:f>
              <c:numCache>
                <c:formatCode>General</c:formatCode>
                <c:ptCount val="5"/>
                <c:pt idx="0">
                  <c:v>0.54367777777777804</c:v>
                </c:pt>
                <c:pt idx="1">
                  <c:v>0.55867777777777772</c:v>
                </c:pt>
                <c:pt idx="2">
                  <c:v>0.55867777777777772</c:v>
                </c:pt>
                <c:pt idx="3">
                  <c:v>0.54367777777777804</c:v>
                </c:pt>
                <c:pt idx="4">
                  <c:v>0.52867777777777769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8-AB48-9724-D964666DA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mean CV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RF Variable Importance (Proxy)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RF_Importance_PDP!$B$1</c:f>
              <c:strCache>
                <c:ptCount val="1"/>
                <c:pt idx="0">
                  <c:v>importance_proxy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RF_Importance_PDP!$A$2:$A$7</c:f>
              <c:strCache>
                <c:ptCount val="6"/>
                <c:pt idx="0">
                  <c:v>age</c:v>
                </c:pt>
                <c:pt idx="1">
                  <c:v>year</c:v>
                </c:pt>
                <c:pt idx="2">
                  <c:v>education</c:v>
                </c:pt>
                <c:pt idx="3">
                  <c:v>jobclass</c:v>
                </c:pt>
                <c:pt idx="4">
                  <c:v>health_ins</c:v>
                </c:pt>
                <c:pt idx="5">
                  <c:v>maritl_collapsed</c:v>
                </c:pt>
              </c:strCache>
            </c:strRef>
          </c:cat>
          <c:val>
            <c:numRef>
              <c:f>RF_Importance_PDP!$B$2:$B$7</c:f>
              <c:numCache>
                <c:formatCode>General</c:formatCode>
                <c:ptCount val="6"/>
                <c:pt idx="0">
                  <c:v>0.16412669055395954</c:v>
                </c:pt>
                <c:pt idx="1">
                  <c:v>0.12883840055947163</c:v>
                </c:pt>
                <c:pt idx="2">
                  <c:v>0.45436781609195398</c:v>
                </c:pt>
                <c:pt idx="3">
                  <c:v>0.21071428571428569</c:v>
                </c:pt>
                <c:pt idx="4">
                  <c:v>0.36775565003356459</c:v>
                </c:pt>
                <c:pt idx="5">
                  <c:v>0.27695652173913043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3-1545-955C-EADF3FC6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PDP Proxy: 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RF_Importance_PDP!$B$18</c:f>
              <c:strCache>
                <c:ptCount val="1"/>
                <c:pt idx="0">
                  <c:v>partial_dependence_proxy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RF_Importance_PDP!$A$19:$A$39</c:f>
              <c:numCache>
                <c:formatCode>General</c:formatCode>
                <c:ptCount val="21"/>
                <c:pt idx="0">
                  <c:v>18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34</c:v>
                </c:pt>
                <c:pt idx="9">
                  <c:v>36</c:v>
                </c:pt>
                <c:pt idx="10">
                  <c:v>38</c:v>
                </c:pt>
                <c:pt idx="11">
                  <c:v>40</c:v>
                </c:pt>
                <c:pt idx="12">
                  <c:v>42</c:v>
                </c:pt>
                <c:pt idx="13">
                  <c:v>44</c:v>
                </c:pt>
                <c:pt idx="14">
                  <c:v>46</c:v>
                </c:pt>
                <c:pt idx="15">
                  <c:v>48</c:v>
                </c:pt>
                <c:pt idx="16">
                  <c:v>50</c:v>
                </c:pt>
                <c:pt idx="17">
                  <c:v>52</c:v>
                </c:pt>
                <c:pt idx="18">
                  <c:v>54</c:v>
                </c:pt>
                <c:pt idx="19">
                  <c:v>56</c:v>
                </c:pt>
                <c:pt idx="20">
                  <c:v>58</c:v>
                </c:pt>
              </c:numCache>
            </c:numRef>
          </c:cat>
          <c:val>
            <c:numRef>
              <c:f>RF_Importance_PDP!$B$19:$B$39</c:f>
              <c:numCache>
                <c:formatCode>General</c:formatCode>
                <c:ptCount val="21"/>
                <c:pt idx="0">
                  <c:v>4.5454545454545456E-2</c:v>
                </c:pt>
                <c:pt idx="1">
                  <c:v>4.5454545454545456E-2</c:v>
                </c:pt>
                <c:pt idx="2">
                  <c:v>4.5454545454545456E-2</c:v>
                </c:pt>
                <c:pt idx="3">
                  <c:v>4.5454545454545456E-2</c:v>
                </c:pt>
                <c:pt idx="4">
                  <c:v>4.5454545454545456E-2</c:v>
                </c:pt>
                <c:pt idx="5">
                  <c:v>0.57978723404255317</c:v>
                </c:pt>
                <c:pt idx="6">
                  <c:v>0.57978723404255317</c:v>
                </c:pt>
                <c:pt idx="7">
                  <c:v>0.57978723404255317</c:v>
                </c:pt>
                <c:pt idx="8">
                  <c:v>0.57978723404255317</c:v>
                </c:pt>
                <c:pt idx="9">
                  <c:v>0.57978723404255317</c:v>
                </c:pt>
                <c:pt idx="10">
                  <c:v>0.57978723404255317</c:v>
                </c:pt>
                <c:pt idx="11">
                  <c:v>0.57978723404255317</c:v>
                </c:pt>
                <c:pt idx="12">
                  <c:v>0.57978723404255317</c:v>
                </c:pt>
                <c:pt idx="13">
                  <c:v>0.57978723404255317</c:v>
                </c:pt>
                <c:pt idx="14">
                  <c:v>0.57978723404255317</c:v>
                </c:pt>
                <c:pt idx="15">
                  <c:v>0.57978723404255317</c:v>
                </c:pt>
                <c:pt idx="16">
                  <c:v>0.57978723404255317</c:v>
                </c:pt>
                <c:pt idx="17">
                  <c:v>0.57978723404255317</c:v>
                </c:pt>
                <c:pt idx="18">
                  <c:v>0.57978723404255317</c:v>
                </c:pt>
                <c:pt idx="19">
                  <c:v>0.57978723404255317</c:v>
                </c:pt>
                <c:pt idx="20">
                  <c:v>0.57978723404255317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4-D945-BAAE-3637D241D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XGB Tuning Curve (score vs nrounds)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XGB_Mechanics!$H$1</c:f>
              <c:strCache>
                <c:ptCount val="1"/>
                <c:pt idx="0">
                  <c:v>cv_score_proxy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XGB_Mechanics!$D$2:$D$26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</c:numCache>
            </c:numRef>
          </c:cat>
          <c:val>
            <c:numRef>
              <c:f>XGB_Mechanics!$H$2:$H$26</c:f>
              <c:numCache>
                <c:formatCode>General</c:formatCode>
                <c:ptCount val="2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0.50327777777777771</c:v>
                </c:pt>
                <c:pt idx="8">
                  <c:v>0.51523657795121847</c:v>
                </c:pt>
                <c:pt idx="9">
                  <c:v>0.5</c:v>
                </c:pt>
                <c:pt idx="10">
                  <c:v>0.52577777777777768</c:v>
                </c:pt>
                <c:pt idx="11">
                  <c:v>0.53781897760433695</c:v>
                </c:pt>
                <c:pt idx="12">
                  <c:v>0.56577777777777771</c:v>
                </c:pt>
                <c:pt idx="13">
                  <c:v>0.57773657795121847</c:v>
                </c:pt>
                <c:pt idx="14">
                  <c:v>0.5497777777777777</c:v>
                </c:pt>
                <c:pt idx="15">
                  <c:v>0.5</c:v>
                </c:pt>
                <c:pt idx="16">
                  <c:v>0.5</c:v>
                </c:pt>
                <c:pt idx="17">
                  <c:v>0.50327777777777771</c:v>
                </c:pt>
                <c:pt idx="18">
                  <c:v>0.51523657795121847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0-D845-A470-52EE11B2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nrounds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cv score proxy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ROC Curve (XGB proxy)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XGB ROC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XGB_Mechanics!$I$31:$I$51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0.86046511627906974</c:v>
                </c:pt>
                <c:pt idx="8">
                  <c:v>0.86046511627906974</c:v>
                </c:pt>
                <c:pt idx="9">
                  <c:v>0.86046511627906974</c:v>
                </c:pt>
                <c:pt idx="10">
                  <c:v>0.86046511627906974</c:v>
                </c:pt>
                <c:pt idx="11">
                  <c:v>0.86046511627906974</c:v>
                </c:pt>
                <c:pt idx="12">
                  <c:v>0.86046511627906974</c:v>
                </c:pt>
                <c:pt idx="13">
                  <c:v>0.86046511627906974</c:v>
                </c:pt>
                <c:pt idx="14">
                  <c:v>0.86046511627906974</c:v>
                </c:pt>
                <c:pt idx="15">
                  <c:v>0.86046511627906974</c:v>
                </c:pt>
                <c:pt idx="16">
                  <c:v>0.86046511627906974</c:v>
                </c:pt>
                <c:pt idx="17">
                  <c:v>0.86046511627906974</c:v>
                </c:pt>
                <c:pt idx="18">
                  <c:v>0.86046511627906974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XGB_Mechanics!$H$31:$H$51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0.97872340425531912</c:v>
                </c:pt>
                <c:pt idx="8">
                  <c:v>0.97872340425531912</c:v>
                </c:pt>
                <c:pt idx="9">
                  <c:v>0.97872340425531912</c:v>
                </c:pt>
                <c:pt idx="10">
                  <c:v>0.97872340425531912</c:v>
                </c:pt>
                <c:pt idx="11">
                  <c:v>0.97872340425531912</c:v>
                </c:pt>
                <c:pt idx="12">
                  <c:v>0.97872340425531912</c:v>
                </c:pt>
                <c:pt idx="13">
                  <c:v>0.97872340425531912</c:v>
                </c:pt>
                <c:pt idx="14">
                  <c:v>0.97872340425531912</c:v>
                </c:pt>
                <c:pt idx="15">
                  <c:v>0.97872340425531912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0.97872340425531912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66-9D43-97EC-54963D4C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cols>
    <col min="1" max="2" width="13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cols>
    <col min="1" max="1" width="18" customWidth="1"/>
    <col min="2" max="2" width="13" customWidth="1"/>
  </cols>
  <sheetData>
    <row r="1" spans="1:2" x14ac:dyDescent="0.2">
      <c r="A1" t="s">
        <v>26</v>
      </c>
      <c r="B1">
        <v>100</v>
      </c>
    </row>
    <row r="2" spans="1:2" x14ac:dyDescent="0.2">
      <c r="A2" t="s">
        <v>27</v>
      </c>
      <c r="B2">
        <v>0.5</v>
      </c>
    </row>
    <row r="3" spans="1:2" x14ac:dyDescent="0.2">
      <c r="A3" t="s">
        <v>28</v>
      </c>
      <c r="B3">
        <v>25</v>
      </c>
    </row>
    <row r="4" spans="1:2" x14ac:dyDescent="0.2">
      <c r="A4" t="s">
        <v>29</v>
      </c>
      <c r="B4">
        <v>12</v>
      </c>
    </row>
    <row r="5" spans="1:2" x14ac:dyDescent="0.2">
      <c r="A5" t="s">
        <v>30</v>
      </c>
      <c r="B5">
        <v>0.2</v>
      </c>
    </row>
    <row r="6" spans="1:2" x14ac:dyDescent="0.2">
      <c r="A6" t="s">
        <v>31</v>
      </c>
      <c r="B6" t="s">
        <v>32</v>
      </c>
    </row>
    <row r="7" spans="1:2" x14ac:dyDescent="0.2">
      <c r="A7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1"/>
  <sheetViews>
    <sheetView workbookViewId="0"/>
  </sheetViews>
  <sheetFormatPr baseColWidth="10" defaultColWidth="8.83203125" defaultRowHeight="15" x14ac:dyDescent="0.2"/>
  <cols>
    <col min="1" max="4" width="13" customWidth="1"/>
    <col min="5" max="5" width="18" customWidth="1"/>
    <col min="6" max="13" width="13" customWidth="1"/>
  </cols>
  <sheetData>
    <row r="1" spans="1:13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 x14ac:dyDescent="0.2">
      <c r="A2">
        <v>1</v>
      </c>
      <c r="B2">
        <v>2006</v>
      </c>
      <c r="C2">
        <v>18</v>
      </c>
      <c r="D2" t="s">
        <v>47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>
        <v>75.043154017351497</v>
      </c>
      <c r="L2">
        <v>0</v>
      </c>
      <c r="M2" t="s">
        <v>53</v>
      </c>
    </row>
    <row r="3" spans="1:13" x14ac:dyDescent="0.2">
      <c r="A3">
        <v>2</v>
      </c>
      <c r="B3">
        <v>2004</v>
      </c>
      <c r="C3">
        <v>24</v>
      </c>
      <c r="D3" t="s">
        <v>47</v>
      </c>
      <c r="E3" t="s">
        <v>47</v>
      </c>
      <c r="F3" t="s">
        <v>48</v>
      </c>
      <c r="G3" t="s">
        <v>54</v>
      </c>
      <c r="H3" t="s">
        <v>55</v>
      </c>
      <c r="I3" t="s">
        <v>56</v>
      </c>
      <c r="J3" t="s">
        <v>52</v>
      </c>
      <c r="K3">
        <v>70.476019646944494</v>
      </c>
      <c r="L3">
        <v>0</v>
      </c>
      <c r="M3" t="s">
        <v>53</v>
      </c>
    </row>
    <row r="4" spans="1:13" x14ac:dyDescent="0.2">
      <c r="A4">
        <v>3</v>
      </c>
      <c r="B4">
        <v>2003</v>
      </c>
      <c r="C4">
        <v>45</v>
      </c>
      <c r="D4" t="s">
        <v>57</v>
      </c>
      <c r="E4" t="s">
        <v>57</v>
      </c>
      <c r="F4" t="s">
        <v>48</v>
      </c>
      <c r="G4" t="s">
        <v>58</v>
      </c>
      <c r="H4" t="s">
        <v>50</v>
      </c>
      <c r="I4" t="s">
        <v>51</v>
      </c>
      <c r="J4" t="s">
        <v>59</v>
      </c>
      <c r="K4">
        <v>130.982177377461</v>
      </c>
      <c r="L4">
        <v>1</v>
      </c>
      <c r="M4" t="s">
        <v>53</v>
      </c>
    </row>
    <row r="5" spans="1:13" x14ac:dyDescent="0.2">
      <c r="A5">
        <v>4</v>
      </c>
      <c r="B5">
        <v>2003</v>
      </c>
      <c r="C5">
        <v>43</v>
      </c>
      <c r="D5" t="s">
        <v>57</v>
      </c>
      <c r="E5" t="s">
        <v>57</v>
      </c>
      <c r="F5" t="s">
        <v>60</v>
      </c>
      <c r="G5" t="s">
        <v>54</v>
      </c>
      <c r="H5" t="s">
        <v>55</v>
      </c>
      <c r="I5" t="s">
        <v>56</v>
      </c>
      <c r="J5" t="s">
        <v>59</v>
      </c>
      <c r="K5">
        <v>154.68529299562999</v>
      </c>
      <c r="L5">
        <v>1</v>
      </c>
      <c r="M5" t="s">
        <v>53</v>
      </c>
    </row>
    <row r="6" spans="1:13" x14ac:dyDescent="0.2">
      <c r="A6">
        <v>5</v>
      </c>
      <c r="B6">
        <v>2005</v>
      </c>
      <c r="C6">
        <v>50</v>
      </c>
      <c r="D6" t="s">
        <v>61</v>
      </c>
      <c r="E6" t="s">
        <v>62</v>
      </c>
      <c r="F6" t="s">
        <v>48</v>
      </c>
      <c r="G6" t="s">
        <v>63</v>
      </c>
      <c r="H6" t="s">
        <v>55</v>
      </c>
      <c r="I6" t="s">
        <v>51</v>
      </c>
      <c r="J6" t="s">
        <v>59</v>
      </c>
      <c r="K6">
        <v>75.043154017351497</v>
      </c>
      <c r="L6">
        <v>0</v>
      </c>
      <c r="M6" t="s">
        <v>53</v>
      </c>
    </row>
    <row r="7" spans="1:13" x14ac:dyDescent="0.2">
      <c r="A7">
        <v>6</v>
      </c>
      <c r="B7">
        <v>2008</v>
      </c>
      <c r="C7">
        <v>54</v>
      </c>
      <c r="D7" t="s">
        <v>57</v>
      </c>
      <c r="E7" t="s">
        <v>57</v>
      </c>
      <c r="F7" t="s">
        <v>48</v>
      </c>
      <c r="G7" t="s">
        <v>54</v>
      </c>
      <c r="H7" t="s">
        <v>55</v>
      </c>
      <c r="I7" t="s">
        <v>56</v>
      </c>
      <c r="J7" t="s">
        <v>59</v>
      </c>
      <c r="K7">
        <v>127.11574381218399</v>
      </c>
      <c r="L7">
        <v>1</v>
      </c>
      <c r="M7" t="s">
        <v>53</v>
      </c>
    </row>
    <row r="8" spans="1:13" x14ac:dyDescent="0.2">
      <c r="A8">
        <v>7</v>
      </c>
      <c r="B8">
        <v>2009</v>
      </c>
      <c r="C8">
        <v>44</v>
      </c>
      <c r="D8" t="s">
        <v>57</v>
      </c>
      <c r="E8" t="s">
        <v>57</v>
      </c>
      <c r="F8" t="s">
        <v>64</v>
      </c>
      <c r="G8" t="s">
        <v>58</v>
      </c>
      <c r="H8" t="s">
        <v>50</v>
      </c>
      <c r="I8" t="s">
        <v>56</v>
      </c>
      <c r="J8" t="s">
        <v>59</v>
      </c>
      <c r="K8">
        <v>169.52853803667901</v>
      </c>
      <c r="L8">
        <v>1</v>
      </c>
      <c r="M8" t="s">
        <v>53</v>
      </c>
    </row>
    <row r="9" spans="1:13" x14ac:dyDescent="0.2">
      <c r="A9">
        <v>8</v>
      </c>
      <c r="B9">
        <v>2008</v>
      </c>
      <c r="C9">
        <v>30</v>
      </c>
      <c r="D9" t="s">
        <v>47</v>
      </c>
      <c r="E9" t="s">
        <v>47</v>
      </c>
      <c r="F9" t="s">
        <v>60</v>
      </c>
      <c r="G9" t="s">
        <v>58</v>
      </c>
      <c r="H9" t="s">
        <v>55</v>
      </c>
      <c r="I9" t="s">
        <v>51</v>
      </c>
      <c r="J9" t="s">
        <v>59</v>
      </c>
      <c r="K9">
        <v>111.72084936098901</v>
      </c>
      <c r="L9">
        <v>1</v>
      </c>
      <c r="M9" t="s">
        <v>53</v>
      </c>
    </row>
    <row r="10" spans="1:13" x14ac:dyDescent="0.2">
      <c r="A10">
        <v>9</v>
      </c>
      <c r="B10">
        <v>2006</v>
      </c>
      <c r="C10">
        <v>41</v>
      </c>
      <c r="D10" t="s">
        <v>47</v>
      </c>
      <c r="E10" t="s">
        <v>47</v>
      </c>
      <c r="F10" t="s">
        <v>65</v>
      </c>
      <c r="G10" t="s">
        <v>58</v>
      </c>
      <c r="H10" t="s">
        <v>55</v>
      </c>
      <c r="I10" t="s">
        <v>56</v>
      </c>
      <c r="J10" t="s">
        <v>59</v>
      </c>
      <c r="K10">
        <v>118.884359339886</v>
      </c>
      <c r="L10">
        <v>1</v>
      </c>
      <c r="M10" t="s">
        <v>53</v>
      </c>
    </row>
    <row r="11" spans="1:13" x14ac:dyDescent="0.2">
      <c r="A11">
        <v>10</v>
      </c>
      <c r="B11">
        <v>2004</v>
      </c>
      <c r="C11">
        <v>52</v>
      </c>
      <c r="D11" t="s">
        <v>57</v>
      </c>
      <c r="E11" t="s">
        <v>57</v>
      </c>
      <c r="F11" t="s">
        <v>48</v>
      </c>
      <c r="G11" t="s">
        <v>63</v>
      </c>
      <c r="H11" t="s">
        <v>55</v>
      </c>
      <c r="I11" t="s">
        <v>56</v>
      </c>
      <c r="J11" t="s">
        <v>59</v>
      </c>
      <c r="K11">
        <v>128.680488220624</v>
      </c>
      <c r="L11">
        <v>1</v>
      </c>
      <c r="M11" t="s">
        <v>53</v>
      </c>
    </row>
    <row r="12" spans="1:13" x14ac:dyDescent="0.2">
      <c r="A12">
        <v>11</v>
      </c>
      <c r="B12">
        <v>2007</v>
      </c>
      <c r="C12">
        <v>45</v>
      </c>
      <c r="D12" t="s">
        <v>61</v>
      </c>
      <c r="E12" t="s">
        <v>62</v>
      </c>
      <c r="F12" t="s">
        <v>48</v>
      </c>
      <c r="G12" t="s">
        <v>58</v>
      </c>
      <c r="H12" t="s">
        <v>55</v>
      </c>
      <c r="I12" t="s">
        <v>51</v>
      </c>
      <c r="J12" t="s">
        <v>59</v>
      </c>
      <c r="K12">
        <v>117.146816914805</v>
      </c>
      <c r="L12">
        <v>1</v>
      </c>
      <c r="M12" t="s">
        <v>53</v>
      </c>
    </row>
    <row r="13" spans="1:13" x14ac:dyDescent="0.2">
      <c r="A13">
        <v>12</v>
      </c>
      <c r="B13">
        <v>2007</v>
      </c>
      <c r="C13">
        <v>34</v>
      </c>
      <c r="D13" t="s">
        <v>57</v>
      </c>
      <c r="E13" t="s">
        <v>57</v>
      </c>
      <c r="F13" t="s">
        <v>48</v>
      </c>
      <c r="G13" t="s">
        <v>63</v>
      </c>
      <c r="H13" t="s">
        <v>50</v>
      </c>
      <c r="I13" t="s">
        <v>56</v>
      </c>
      <c r="J13" t="s">
        <v>52</v>
      </c>
      <c r="K13">
        <v>81.283253284252694</v>
      </c>
      <c r="L13">
        <v>0</v>
      </c>
      <c r="M13" t="s">
        <v>53</v>
      </c>
    </row>
    <row r="14" spans="1:13" x14ac:dyDescent="0.2">
      <c r="A14">
        <v>13</v>
      </c>
      <c r="B14">
        <v>2005</v>
      </c>
      <c r="C14">
        <v>35</v>
      </c>
      <c r="D14" t="s">
        <v>47</v>
      </c>
      <c r="E14" t="s">
        <v>47</v>
      </c>
      <c r="F14" t="s">
        <v>48</v>
      </c>
      <c r="G14" t="s">
        <v>63</v>
      </c>
      <c r="H14" t="s">
        <v>55</v>
      </c>
      <c r="I14" t="s">
        <v>56</v>
      </c>
      <c r="J14" t="s">
        <v>59</v>
      </c>
      <c r="K14">
        <v>89.492479518000096</v>
      </c>
      <c r="L14">
        <v>0</v>
      </c>
      <c r="M14" t="s">
        <v>53</v>
      </c>
    </row>
    <row r="15" spans="1:13" x14ac:dyDescent="0.2">
      <c r="A15">
        <v>14</v>
      </c>
      <c r="B15">
        <v>2003</v>
      </c>
      <c r="C15">
        <v>39</v>
      </c>
      <c r="D15" t="s">
        <v>57</v>
      </c>
      <c r="E15" t="s">
        <v>57</v>
      </c>
      <c r="F15" t="s">
        <v>48</v>
      </c>
      <c r="G15" t="s">
        <v>54</v>
      </c>
      <c r="H15" t="s">
        <v>50</v>
      </c>
      <c r="I15" t="s">
        <v>56</v>
      </c>
      <c r="J15" t="s">
        <v>59</v>
      </c>
      <c r="K15">
        <v>134.705375118879</v>
      </c>
      <c r="L15">
        <v>1</v>
      </c>
      <c r="M15" t="s">
        <v>53</v>
      </c>
    </row>
    <row r="16" spans="1:13" x14ac:dyDescent="0.2">
      <c r="A16">
        <v>15</v>
      </c>
      <c r="B16">
        <v>2009</v>
      </c>
      <c r="C16">
        <v>54</v>
      </c>
      <c r="D16" t="s">
        <v>57</v>
      </c>
      <c r="E16" t="s">
        <v>57</v>
      </c>
      <c r="F16" t="s">
        <v>48</v>
      </c>
      <c r="G16" t="s">
        <v>63</v>
      </c>
      <c r="H16" t="s">
        <v>55</v>
      </c>
      <c r="I16" t="s">
        <v>56</v>
      </c>
      <c r="J16" t="s">
        <v>59</v>
      </c>
      <c r="K16">
        <v>134.705375118879</v>
      </c>
      <c r="L16">
        <v>1</v>
      </c>
      <c r="M16" t="s">
        <v>53</v>
      </c>
    </row>
    <row r="17" spans="1:13" x14ac:dyDescent="0.2">
      <c r="A17">
        <v>16</v>
      </c>
      <c r="B17">
        <v>2009</v>
      </c>
      <c r="C17">
        <v>51</v>
      </c>
      <c r="D17" t="s">
        <v>57</v>
      </c>
      <c r="E17" t="s">
        <v>57</v>
      </c>
      <c r="F17" t="s">
        <v>48</v>
      </c>
      <c r="G17" t="s">
        <v>58</v>
      </c>
      <c r="H17" t="s">
        <v>50</v>
      </c>
      <c r="I17" t="s">
        <v>56</v>
      </c>
      <c r="J17" t="s">
        <v>59</v>
      </c>
      <c r="K17">
        <v>90.481913356640106</v>
      </c>
      <c r="L17">
        <v>0</v>
      </c>
      <c r="M17" t="s">
        <v>53</v>
      </c>
    </row>
    <row r="18" spans="1:13" x14ac:dyDescent="0.2">
      <c r="A18">
        <v>17</v>
      </c>
      <c r="B18">
        <v>2003</v>
      </c>
      <c r="C18">
        <v>37</v>
      </c>
      <c r="D18" t="s">
        <v>47</v>
      </c>
      <c r="E18" t="s">
        <v>47</v>
      </c>
      <c r="F18" t="s">
        <v>60</v>
      </c>
      <c r="G18" t="s">
        <v>54</v>
      </c>
      <c r="H18" t="s">
        <v>50</v>
      </c>
      <c r="I18" t="s">
        <v>56</v>
      </c>
      <c r="J18" t="s">
        <v>52</v>
      </c>
      <c r="K18">
        <v>82.679637296637196</v>
      </c>
      <c r="L18">
        <v>0</v>
      </c>
      <c r="M18" t="s">
        <v>53</v>
      </c>
    </row>
    <row r="19" spans="1:13" x14ac:dyDescent="0.2">
      <c r="A19">
        <v>18</v>
      </c>
      <c r="B19">
        <v>2006</v>
      </c>
      <c r="C19">
        <v>50</v>
      </c>
      <c r="D19" t="s">
        <v>57</v>
      </c>
      <c r="E19" t="s">
        <v>57</v>
      </c>
      <c r="F19" t="s">
        <v>48</v>
      </c>
      <c r="G19" t="s">
        <v>66</v>
      </c>
      <c r="H19" t="s">
        <v>55</v>
      </c>
      <c r="I19" t="s">
        <v>56</v>
      </c>
      <c r="J19" t="s">
        <v>52</v>
      </c>
      <c r="K19">
        <v>212.842352315711</v>
      </c>
      <c r="L19">
        <v>1</v>
      </c>
      <c r="M19" t="s">
        <v>53</v>
      </c>
    </row>
    <row r="20" spans="1:13" x14ac:dyDescent="0.2">
      <c r="A20">
        <v>19</v>
      </c>
      <c r="B20">
        <v>2007</v>
      </c>
      <c r="C20">
        <v>56</v>
      </c>
      <c r="D20" t="s">
        <v>57</v>
      </c>
      <c r="E20" t="s">
        <v>57</v>
      </c>
      <c r="F20" t="s">
        <v>48</v>
      </c>
      <c r="G20" t="s">
        <v>54</v>
      </c>
      <c r="H20" t="s">
        <v>50</v>
      </c>
      <c r="I20" t="s">
        <v>51</v>
      </c>
      <c r="J20" t="s">
        <v>59</v>
      </c>
      <c r="K20">
        <v>129.15669300470401</v>
      </c>
      <c r="L20">
        <v>1</v>
      </c>
      <c r="M20" t="s">
        <v>53</v>
      </c>
    </row>
    <row r="21" spans="1:13" x14ac:dyDescent="0.2">
      <c r="A21">
        <v>20</v>
      </c>
      <c r="B21">
        <v>2003</v>
      </c>
      <c r="C21">
        <v>37</v>
      </c>
      <c r="D21" t="s">
        <v>47</v>
      </c>
      <c r="E21" t="s">
        <v>47</v>
      </c>
      <c r="F21" t="s">
        <v>48</v>
      </c>
      <c r="G21" t="s">
        <v>58</v>
      </c>
      <c r="H21" t="s">
        <v>50</v>
      </c>
      <c r="I21" t="s">
        <v>56</v>
      </c>
      <c r="J21" t="s">
        <v>59</v>
      </c>
      <c r="K21">
        <v>98.599343860389197</v>
      </c>
      <c r="L21">
        <v>0</v>
      </c>
      <c r="M21" t="s">
        <v>53</v>
      </c>
    </row>
    <row r="22" spans="1:13" x14ac:dyDescent="0.2">
      <c r="A22">
        <v>21</v>
      </c>
      <c r="B22">
        <v>2003</v>
      </c>
      <c r="C22">
        <v>38</v>
      </c>
      <c r="D22" t="s">
        <v>57</v>
      </c>
      <c r="E22" t="s">
        <v>57</v>
      </c>
      <c r="F22" t="s">
        <v>60</v>
      </c>
      <c r="G22" t="s">
        <v>54</v>
      </c>
      <c r="H22" t="s">
        <v>55</v>
      </c>
      <c r="I22" t="s">
        <v>56</v>
      </c>
      <c r="J22" t="s">
        <v>52</v>
      </c>
      <c r="K22">
        <v>200.54326232466201</v>
      </c>
      <c r="L22">
        <v>1</v>
      </c>
      <c r="M22" t="s">
        <v>53</v>
      </c>
    </row>
    <row r="23" spans="1:13" x14ac:dyDescent="0.2">
      <c r="A23">
        <v>22</v>
      </c>
      <c r="B23">
        <v>2005</v>
      </c>
      <c r="C23">
        <v>40</v>
      </c>
      <c r="D23" t="s">
        <v>61</v>
      </c>
      <c r="E23" t="s">
        <v>62</v>
      </c>
      <c r="F23" t="s">
        <v>48</v>
      </c>
      <c r="G23" t="s">
        <v>63</v>
      </c>
      <c r="H23" t="s">
        <v>55</v>
      </c>
      <c r="I23" t="s">
        <v>56</v>
      </c>
      <c r="J23" t="s">
        <v>52</v>
      </c>
      <c r="K23">
        <v>50.406660861265998</v>
      </c>
      <c r="L23">
        <v>0</v>
      </c>
      <c r="M23" t="s">
        <v>53</v>
      </c>
    </row>
    <row r="24" spans="1:13" x14ac:dyDescent="0.2">
      <c r="A24">
        <v>23</v>
      </c>
      <c r="B24">
        <v>2009</v>
      </c>
      <c r="C24">
        <v>75</v>
      </c>
      <c r="D24" t="s">
        <v>57</v>
      </c>
      <c r="E24" t="s">
        <v>57</v>
      </c>
      <c r="F24" t="s">
        <v>48</v>
      </c>
      <c r="G24" t="s">
        <v>54</v>
      </c>
      <c r="H24" t="s">
        <v>50</v>
      </c>
      <c r="I24" t="s">
        <v>56</v>
      </c>
      <c r="J24" t="s">
        <v>59</v>
      </c>
      <c r="K24">
        <v>85.3839403789827</v>
      </c>
      <c r="L24">
        <v>0</v>
      </c>
      <c r="M24" t="s">
        <v>53</v>
      </c>
    </row>
    <row r="25" spans="1:13" x14ac:dyDescent="0.2">
      <c r="A25">
        <v>24</v>
      </c>
      <c r="B25">
        <v>2007</v>
      </c>
      <c r="C25">
        <v>40</v>
      </c>
      <c r="D25" t="s">
        <v>57</v>
      </c>
      <c r="E25" t="s">
        <v>57</v>
      </c>
      <c r="F25" t="s">
        <v>48</v>
      </c>
      <c r="G25" t="s">
        <v>54</v>
      </c>
      <c r="H25" t="s">
        <v>55</v>
      </c>
      <c r="I25" t="s">
        <v>56</v>
      </c>
      <c r="J25" t="s">
        <v>52</v>
      </c>
      <c r="K25">
        <v>160.64247540826301</v>
      </c>
      <c r="L25">
        <v>1</v>
      </c>
      <c r="M25" t="s">
        <v>53</v>
      </c>
    </row>
    <row r="26" spans="1:13" x14ac:dyDescent="0.2">
      <c r="A26">
        <v>25</v>
      </c>
      <c r="B26">
        <v>2006</v>
      </c>
      <c r="C26">
        <v>38</v>
      </c>
      <c r="D26" t="s">
        <v>47</v>
      </c>
      <c r="E26" t="s">
        <v>47</v>
      </c>
      <c r="F26" t="s">
        <v>48</v>
      </c>
      <c r="G26" t="s">
        <v>63</v>
      </c>
      <c r="H26" t="s">
        <v>50</v>
      </c>
      <c r="I26" t="s">
        <v>51</v>
      </c>
      <c r="J26" t="s">
        <v>52</v>
      </c>
      <c r="K26">
        <v>94.072714745700495</v>
      </c>
      <c r="L26">
        <v>0</v>
      </c>
      <c r="M26" t="s">
        <v>53</v>
      </c>
    </row>
    <row r="27" spans="1:13" x14ac:dyDescent="0.2">
      <c r="A27">
        <v>26</v>
      </c>
      <c r="B27">
        <v>2005</v>
      </c>
      <c r="C27">
        <v>49</v>
      </c>
      <c r="D27" t="s">
        <v>57</v>
      </c>
      <c r="E27" t="s">
        <v>57</v>
      </c>
      <c r="F27" t="s">
        <v>48</v>
      </c>
      <c r="G27" t="s">
        <v>66</v>
      </c>
      <c r="H27" t="s">
        <v>55</v>
      </c>
      <c r="I27" t="s">
        <v>56</v>
      </c>
      <c r="J27" t="s">
        <v>59</v>
      </c>
      <c r="K27">
        <v>277.601417511009</v>
      </c>
      <c r="L27">
        <v>1</v>
      </c>
      <c r="M27" t="s">
        <v>53</v>
      </c>
    </row>
    <row r="28" spans="1:13" x14ac:dyDescent="0.2">
      <c r="A28">
        <v>27</v>
      </c>
      <c r="B28">
        <v>2006</v>
      </c>
      <c r="C28">
        <v>43</v>
      </c>
      <c r="D28" t="s">
        <v>57</v>
      </c>
      <c r="E28" t="s">
        <v>57</v>
      </c>
      <c r="F28" t="s">
        <v>48</v>
      </c>
      <c r="G28" t="s">
        <v>63</v>
      </c>
      <c r="H28" t="s">
        <v>50</v>
      </c>
      <c r="I28" t="s">
        <v>51</v>
      </c>
      <c r="J28" t="s">
        <v>59</v>
      </c>
      <c r="K28">
        <v>84.045957653992403</v>
      </c>
      <c r="L28">
        <v>0</v>
      </c>
      <c r="M28" t="s">
        <v>53</v>
      </c>
    </row>
    <row r="29" spans="1:13" x14ac:dyDescent="0.2">
      <c r="A29">
        <v>28</v>
      </c>
      <c r="B29">
        <v>2004</v>
      </c>
      <c r="C29">
        <v>34</v>
      </c>
      <c r="D29" t="s">
        <v>57</v>
      </c>
      <c r="E29" t="s">
        <v>57</v>
      </c>
      <c r="F29" t="s">
        <v>64</v>
      </c>
      <c r="G29" t="s">
        <v>63</v>
      </c>
      <c r="H29" t="s">
        <v>50</v>
      </c>
      <c r="I29" t="s">
        <v>51</v>
      </c>
      <c r="J29" t="s">
        <v>59</v>
      </c>
      <c r="K29">
        <v>65.110853715344703</v>
      </c>
      <c r="L29">
        <v>0</v>
      </c>
      <c r="M29" t="s">
        <v>53</v>
      </c>
    </row>
    <row r="30" spans="1:13" x14ac:dyDescent="0.2">
      <c r="A30">
        <v>29</v>
      </c>
      <c r="B30">
        <v>2008</v>
      </c>
      <c r="C30">
        <v>57</v>
      </c>
      <c r="D30" t="s">
        <v>57</v>
      </c>
      <c r="E30" t="s">
        <v>57</v>
      </c>
      <c r="F30" t="s">
        <v>48</v>
      </c>
      <c r="G30" t="s">
        <v>63</v>
      </c>
      <c r="H30" t="s">
        <v>50</v>
      </c>
      <c r="I30" t="s">
        <v>56</v>
      </c>
      <c r="J30" t="s">
        <v>52</v>
      </c>
      <c r="K30">
        <v>116.265324062503</v>
      </c>
      <c r="L30">
        <v>1</v>
      </c>
      <c r="M30" t="s">
        <v>53</v>
      </c>
    </row>
    <row r="31" spans="1:13" x14ac:dyDescent="0.2">
      <c r="A31">
        <v>30</v>
      </c>
      <c r="B31">
        <v>2003</v>
      </c>
      <c r="C31">
        <v>18</v>
      </c>
      <c r="D31" t="s">
        <v>47</v>
      </c>
      <c r="E31" t="s">
        <v>47</v>
      </c>
      <c r="F31" t="s">
        <v>65</v>
      </c>
      <c r="G31" t="s">
        <v>63</v>
      </c>
      <c r="H31" t="s">
        <v>50</v>
      </c>
      <c r="I31" t="s">
        <v>56</v>
      </c>
      <c r="J31" t="s">
        <v>59</v>
      </c>
      <c r="K31">
        <v>70.476019646944494</v>
      </c>
      <c r="L31">
        <v>0</v>
      </c>
      <c r="M31" t="s">
        <v>53</v>
      </c>
    </row>
    <row r="32" spans="1:13" x14ac:dyDescent="0.2">
      <c r="A32">
        <v>31</v>
      </c>
      <c r="B32">
        <v>2004</v>
      </c>
      <c r="C32">
        <v>55</v>
      </c>
      <c r="D32" t="s">
        <v>57</v>
      </c>
      <c r="E32" t="s">
        <v>57</v>
      </c>
      <c r="F32" t="s">
        <v>48</v>
      </c>
      <c r="G32" t="s">
        <v>66</v>
      </c>
      <c r="H32" t="s">
        <v>55</v>
      </c>
      <c r="I32" t="s">
        <v>56</v>
      </c>
      <c r="J32" t="s">
        <v>59</v>
      </c>
      <c r="K32">
        <v>195.67630799045301</v>
      </c>
      <c r="L32">
        <v>1</v>
      </c>
      <c r="M32" t="s">
        <v>53</v>
      </c>
    </row>
    <row r="33" spans="1:13" x14ac:dyDescent="0.2">
      <c r="A33">
        <v>32</v>
      </c>
      <c r="B33">
        <v>2005</v>
      </c>
      <c r="C33">
        <v>51</v>
      </c>
      <c r="D33" t="s">
        <v>57</v>
      </c>
      <c r="E33" t="s">
        <v>57</v>
      </c>
      <c r="F33" t="s">
        <v>48</v>
      </c>
      <c r="G33" t="s">
        <v>58</v>
      </c>
      <c r="H33" t="s">
        <v>55</v>
      </c>
      <c r="I33" t="s">
        <v>56</v>
      </c>
      <c r="J33" t="s">
        <v>59</v>
      </c>
      <c r="K33">
        <v>101.402052302992</v>
      </c>
      <c r="L33">
        <v>1</v>
      </c>
      <c r="M33" t="s">
        <v>53</v>
      </c>
    </row>
    <row r="34" spans="1:13" x14ac:dyDescent="0.2">
      <c r="A34">
        <v>33</v>
      </c>
      <c r="B34">
        <v>2008</v>
      </c>
      <c r="C34">
        <v>33</v>
      </c>
      <c r="D34" t="s">
        <v>47</v>
      </c>
      <c r="E34" t="s">
        <v>47</v>
      </c>
      <c r="F34" t="s">
        <v>48</v>
      </c>
      <c r="G34" t="s">
        <v>66</v>
      </c>
      <c r="H34" t="s">
        <v>50</v>
      </c>
      <c r="I34" t="s">
        <v>56</v>
      </c>
      <c r="J34" t="s">
        <v>52</v>
      </c>
      <c r="K34">
        <v>81.283253284252694</v>
      </c>
      <c r="L34">
        <v>0</v>
      </c>
      <c r="M34" t="s">
        <v>53</v>
      </c>
    </row>
    <row r="35" spans="1:13" x14ac:dyDescent="0.2">
      <c r="A35">
        <v>34</v>
      </c>
      <c r="B35">
        <v>2005</v>
      </c>
      <c r="C35">
        <v>34</v>
      </c>
      <c r="D35" t="s">
        <v>47</v>
      </c>
      <c r="E35" t="s">
        <v>47</v>
      </c>
      <c r="F35" t="s">
        <v>48</v>
      </c>
      <c r="G35" t="s">
        <v>63</v>
      </c>
      <c r="H35" t="s">
        <v>50</v>
      </c>
      <c r="I35" t="s">
        <v>56</v>
      </c>
      <c r="J35" t="s">
        <v>52</v>
      </c>
      <c r="K35">
        <v>111.72084936098901</v>
      </c>
      <c r="L35">
        <v>1</v>
      </c>
      <c r="M35" t="s">
        <v>53</v>
      </c>
    </row>
    <row r="36" spans="1:13" x14ac:dyDescent="0.2">
      <c r="A36">
        <v>35</v>
      </c>
      <c r="B36">
        <v>2006</v>
      </c>
      <c r="C36">
        <v>36</v>
      </c>
      <c r="D36" t="s">
        <v>57</v>
      </c>
      <c r="E36" t="s">
        <v>57</v>
      </c>
      <c r="F36" t="s">
        <v>48</v>
      </c>
      <c r="G36" t="s">
        <v>54</v>
      </c>
      <c r="H36" t="s">
        <v>55</v>
      </c>
      <c r="I36" t="s">
        <v>56</v>
      </c>
      <c r="J36" t="s">
        <v>59</v>
      </c>
      <c r="K36">
        <v>89.880046781110593</v>
      </c>
      <c r="L36">
        <v>0</v>
      </c>
      <c r="M36" t="s">
        <v>53</v>
      </c>
    </row>
    <row r="37" spans="1:13" x14ac:dyDescent="0.2">
      <c r="A37">
        <v>36</v>
      </c>
      <c r="B37">
        <v>2003</v>
      </c>
      <c r="C37">
        <v>56</v>
      </c>
      <c r="D37" t="s">
        <v>47</v>
      </c>
      <c r="E37" t="s">
        <v>47</v>
      </c>
      <c r="F37" t="s">
        <v>48</v>
      </c>
      <c r="G37" t="s">
        <v>66</v>
      </c>
      <c r="H37" t="s">
        <v>55</v>
      </c>
      <c r="I37" t="s">
        <v>51</v>
      </c>
      <c r="J37" t="s">
        <v>59</v>
      </c>
      <c r="K37">
        <v>87.981032785605393</v>
      </c>
      <c r="L37">
        <v>0</v>
      </c>
      <c r="M37" t="s">
        <v>53</v>
      </c>
    </row>
    <row r="38" spans="1:13" x14ac:dyDescent="0.2">
      <c r="A38">
        <v>37</v>
      </c>
      <c r="B38">
        <v>2006</v>
      </c>
      <c r="C38">
        <v>70</v>
      </c>
      <c r="D38" t="s">
        <v>47</v>
      </c>
      <c r="E38" t="s">
        <v>47</v>
      </c>
      <c r="F38" t="s">
        <v>48</v>
      </c>
      <c r="G38" t="s">
        <v>54</v>
      </c>
      <c r="H38" t="s">
        <v>50</v>
      </c>
      <c r="I38" t="s">
        <v>51</v>
      </c>
      <c r="J38" t="s">
        <v>59</v>
      </c>
      <c r="K38">
        <v>87.981032785605393</v>
      </c>
      <c r="L38">
        <v>0</v>
      </c>
      <c r="M38" t="s">
        <v>53</v>
      </c>
    </row>
    <row r="39" spans="1:13" x14ac:dyDescent="0.2">
      <c r="A39">
        <v>38</v>
      </c>
      <c r="B39">
        <v>2004</v>
      </c>
      <c r="C39">
        <v>25</v>
      </c>
      <c r="D39" t="s">
        <v>47</v>
      </c>
      <c r="E39" t="s">
        <v>47</v>
      </c>
      <c r="F39" t="s">
        <v>48</v>
      </c>
      <c r="G39" t="s">
        <v>54</v>
      </c>
      <c r="H39" t="s">
        <v>50</v>
      </c>
      <c r="I39" t="s">
        <v>56</v>
      </c>
      <c r="J39" t="s">
        <v>59</v>
      </c>
      <c r="K39">
        <v>103.90247060316</v>
      </c>
      <c r="L39">
        <v>1</v>
      </c>
      <c r="M39" t="s">
        <v>53</v>
      </c>
    </row>
    <row r="40" spans="1:13" x14ac:dyDescent="0.2">
      <c r="A40">
        <v>39</v>
      </c>
      <c r="B40">
        <v>2006</v>
      </c>
      <c r="C40">
        <v>32</v>
      </c>
      <c r="D40" t="s">
        <v>57</v>
      </c>
      <c r="E40" t="s">
        <v>57</v>
      </c>
      <c r="F40" t="s">
        <v>48</v>
      </c>
      <c r="G40" t="s">
        <v>58</v>
      </c>
      <c r="H40" t="s">
        <v>50</v>
      </c>
      <c r="I40" t="s">
        <v>56</v>
      </c>
      <c r="J40" t="s">
        <v>52</v>
      </c>
      <c r="K40">
        <v>105.92781077506299</v>
      </c>
      <c r="L40">
        <v>1</v>
      </c>
      <c r="M40" t="s">
        <v>53</v>
      </c>
    </row>
    <row r="41" spans="1:13" x14ac:dyDescent="0.2">
      <c r="A41">
        <v>40</v>
      </c>
      <c r="B41">
        <v>2003</v>
      </c>
      <c r="C41">
        <v>27</v>
      </c>
      <c r="D41" t="s">
        <v>57</v>
      </c>
      <c r="E41" t="s">
        <v>57</v>
      </c>
      <c r="F41" t="s">
        <v>48</v>
      </c>
      <c r="G41" t="s">
        <v>49</v>
      </c>
      <c r="H41" t="s">
        <v>50</v>
      </c>
      <c r="I41" t="s">
        <v>56</v>
      </c>
      <c r="J41" t="s">
        <v>52</v>
      </c>
      <c r="K41">
        <v>66.229408294390197</v>
      </c>
      <c r="L41">
        <v>0</v>
      </c>
      <c r="M41" t="s">
        <v>53</v>
      </c>
    </row>
    <row r="42" spans="1:13" x14ac:dyDescent="0.2">
      <c r="A42">
        <v>41</v>
      </c>
      <c r="B42">
        <v>2004</v>
      </c>
      <c r="C42">
        <v>28</v>
      </c>
      <c r="D42" t="s">
        <v>57</v>
      </c>
      <c r="E42" t="s">
        <v>57</v>
      </c>
      <c r="F42" t="s">
        <v>60</v>
      </c>
      <c r="G42" t="s">
        <v>54</v>
      </c>
      <c r="H42" t="s">
        <v>50</v>
      </c>
      <c r="I42" t="s">
        <v>56</v>
      </c>
      <c r="J42" t="s">
        <v>52</v>
      </c>
      <c r="K42">
        <v>34.607417730128802</v>
      </c>
      <c r="L42">
        <v>0</v>
      </c>
      <c r="M42" t="s">
        <v>53</v>
      </c>
    </row>
    <row r="43" spans="1:13" x14ac:dyDescent="0.2">
      <c r="A43">
        <v>42</v>
      </c>
      <c r="B43">
        <v>2007</v>
      </c>
      <c r="C43">
        <v>27</v>
      </c>
      <c r="D43" t="s">
        <v>47</v>
      </c>
      <c r="E43" t="s">
        <v>47</v>
      </c>
      <c r="F43" t="s">
        <v>48</v>
      </c>
      <c r="G43" t="s">
        <v>54</v>
      </c>
      <c r="H43" t="s">
        <v>55</v>
      </c>
      <c r="I43" t="s">
        <v>56</v>
      </c>
      <c r="J43" t="s">
        <v>59</v>
      </c>
      <c r="K43">
        <v>109.833985642199</v>
      </c>
      <c r="L43">
        <v>1</v>
      </c>
      <c r="M43" t="s">
        <v>53</v>
      </c>
    </row>
    <row r="44" spans="1:13" x14ac:dyDescent="0.2">
      <c r="A44">
        <v>43</v>
      </c>
      <c r="B44">
        <v>2004</v>
      </c>
      <c r="C44">
        <v>43</v>
      </c>
      <c r="D44" t="s">
        <v>47</v>
      </c>
      <c r="E44" t="s">
        <v>47</v>
      </c>
      <c r="F44" t="s">
        <v>48</v>
      </c>
      <c r="G44" t="s">
        <v>49</v>
      </c>
      <c r="H44" t="s">
        <v>50</v>
      </c>
      <c r="I44" t="s">
        <v>51</v>
      </c>
      <c r="J44" t="s">
        <v>52</v>
      </c>
      <c r="K44">
        <v>45.282169994021999</v>
      </c>
      <c r="L44">
        <v>0</v>
      </c>
      <c r="M44" t="s">
        <v>53</v>
      </c>
    </row>
    <row r="45" spans="1:13" x14ac:dyDescent="0.2">
      <c r="A45">
        <v>44</v>
      </c>
      <c r="B45">
        <v>2005</v>
      </c>
      <c r="C45">
        <v>50</v>
      </c>
      <c r="D45" t="s">
        <v>47</v>
      </c>
      <c r="E45" t="s">
        <v>47</v>
      </c>
      <c r="F45" t="s">
        <v>64</v>
      </c>
      <c r="G45" t="s">
        <v>49</v>
      </c>
      <c r="H45" t="s">
        <v>50</v>
      </c>
      <c r="I45" t="s">
        <v>51</v>
      </c>
      <c r="J45" t="s">
        <v>59</v>
      </c>
      <c r="K45">
        <v>73.775743274694605</v>
      </c>
      <c r="L45">
        <v>0</v>
      </c>
      <c r="M45" t="s">
        <v>53</v>
      </c>
    </row>
    <row r="46" spans="1:13" x14ac:dyDescent="0.2">
      <c r="A46">
        <v>45</v>
      </c>
      <c r="B46">
        <v>2004</v>
      </c>
      <c r="C46">
        <v>39</v>
      </c>
      <c r="D46" t="s">
        <v>57</v>
      </c>
      <c r="E46" t="s">
        <v>57</v>
      </c>
      <c r="F46" t="s">
        <v>65</v>
      </c>
      <c r="G46" t="s">
        <v>63</v>
      </c>
      <c r="H46" t="s">
        <v>55</v>
      </c>
      <c r="I46" t="s">
        <v>56</v>
      </c>
      <c r="J46" t="s">
        <v>52</v>
      </c>
      <c r="K46">
        <v>81.283253284252694</v>
      </c>
      <c r="L46">
        <v>0</v>
      </c>
      <c r="M46" t="s">
        <v>53</v>
      </c>
    </row>
    <row r="47" spans="1:13" x14ac:dyDescent="0.2">
      <c r="A47">
        <v>46</v>
      </c>
      <c r="B47">
        <v>2008</v>
      </c>
      <c r="C47">
        <v>52</v>
      </c>
      <c r="D47" t="s">
        <v>57</v>
      </c>
      <c r="E47" t="s">
        <v>57</v>
      </c>
      <c r="F47" t="s">
        <v>48</v>
      </c>
      <c r="G47" t="s">
        <v>66</v>
      </c>
      <c r="H47" t="s">
        <v>50</v>
      </c>
      <c r="I47" t="s">
        <v>56</v>
      </c>
      <c r="J47" t="s">
        <v>59</v>
      </c>
      <c r="K47">
        <v>154.68529299562999</v>
      </c>
      <c r="L47">
        <v>1</v>
      </c>
      <c r="M47" t="s">
        <v>53</v>
      </c>
    </row>
    <row r="48" spans="1:13" x14ac:dyDescent="0.2">
      <c r="A48">
        <v>47</v>
      </c>
      <c r="B48">
        <v>2009</v>
      </c>
      <c r="C48">
        <v>35</v>
      </c>
      <c r="D48" t="s">
        <v>57</v>
      </c>
      <c r="E48" t="s">
        <v>57</v>
      </c>
      <c r="F48" t="s">
        <v>48</v>
      </c>
      <c r="G48" t="s">
        <v>54</v>
      </c>
      <c r="H48" t="s">
        <v>50</v>
      </c>
      <c r="I48" t="s">
        <v>56</v>
      </c>
      <c r="J48" t="s">
        <v>59</v>
      </c>
      <c r="K48">
        <v>267.90108685527503</v>
      </c>
      <c r="L48">
        <v>1</v>
      </c>
      <c r="M48" t="s">
        <v>53</v>
      </c>
    </row>
    <row r="49" spans="1:13" x14ac:dyDescent="0.2">
      <c r="A49">
        <v>48</v>
      </c>
      <c r="B49">
        <v>2007</v>
      </c>
      <c r="C49">
        <v>57</v>
      </c>
      <c r="D49" t="s">
        <v>57</v>
      </c>
      <c r="E49" t="s">
        <v>57</v>
      </c>
      <c r="F49" t="s">
        <v>48</v>
      </c>
      <c r="G49" t="s">
        <v>66</v>
      </c>
      <c r="H49" t="s">
        <v>55</v>
      </c>
      <c r="I49" t="s">
        <v>56</v>
      </c>
      <c r="J49" t="s">
        <v>59</v>
      </c>
      <c r="K49">
        <v>176.98965048987699</v>
      </c>
      <c r="L49">
        <v>1</v>
      </c>
      <c r="M49" t="s">
        <v>53</v>
      </c>
    </row>
    <row r="50" spans="1:13" x14ac:dyDescent="0.2">
      <c r="A50">
        <v>49</v>
      </c>
      <c r="B50">
        <v>2006</v>
      </c>
      <c r="C50">
        <v>25</v>
      </c>
      <c r="D50" t="s">
        <v>47</v>
      </c>
      <c r="E50" t="s">
        <v>47</v>
      </c>
      <c r="F50" t="s">
        <v>48</v>
      </c>
      <c r="G50" t="s">
        <v>49</v>
      </c>
      <c r="H50" t="s">
        <v>50</v>
      </c>
      <c r="I50" t="s">
        <v>56</v>
      </c>
      <c r="J50" t="s">
        <v>52</v>
      </c>
      <c r="K50">
        <v>66.229408294390197</v>
      </c>
      <c r="L50">
        <v>0</v>
      </c>
      <c r="M50" t="s">
        <v>53</v>
      </c>
    </row>
    <row r="51" spans="1:13" x14ac:dyDescent="0.2">
      <c r="A51">
        <v>50</v>
      </c>
      <c r="B51">
        <v>2006</v>
      </c>
      <c r="C51">
        <v>33</v>
      </c>
      <c r="D51" t="s">
        <v>47</v>
      </c>
      <c r="E51" t="s">
        <v>47</v>
      </c>
      <c r="F51" t="s">
        <v>48</v>
      </c>
      <c r="G51" t="s">
        <v>63</v>
      </c>
      <c r="H51" t="s">
        <v>55</v>
      </c>
      <c r="I51" t="s">
        <v>51</v>
      </c>
      <c r="J51" t="s">
        <v>59</v>
      </c>
      <c r="K51">
        <v>116.265324062503</v>
      </c>
      <c r="L51">
        <v>1</v>
      </c>
      <c r="M51" t="s">
        <v>53</v>
      </c>
    </row>
    <row r="52" spans="1:13" x14ac:dyDescent="0.2">
      <c r="A52">
        <v>51</v>
      </c>
      <c r="B52">
        <v>2005</v>
      </c>
      <c r="C52">
        <v>57</v>
      </c>
      <c r="D52" t="s">
        <v>57</v>
      </c>
      <c r="E52" t="s">
        <v>57</v>
      </c>
      <c r="F52" t="s">
        <v>48</v>
      </c>
      <c r="G52" t="s">
        <v>66</v>
      </c>
      <c r="H52" t="s">
        <v>55</v>
      </c>
      <c r="I52" t="s">
        <v>56</v>
      </c>
      <c r="J52" t="s">
        <v>52</v>
      </c>
      <c r="K52">
        <v>200.54326232466201</v>
      </c>
      <c r="L52">
        <v>1</v>
      </c>
      <c r="M52" t="s">
        <v>53</v>
      </c>
    </row>
    <row r="53" spans="1:13" x14ac:dyDescent="0.2">
      <c r="A53">
        <v>52</v>
      </c>
      <c r="B53">
        <v>2008</v>
      </c>
      <c r="C53">
        <v>71</v>
      </c>
      <c r="D53" t="s">
        <v>57</v>
      </c>
      <c r="E53" t="s">
        <v>57</v>
      </c>
      <c r="F53" t="s">
        <v>48</v>
      </c>
      <c r="G53" t="s">
        <v>58</v>
      </c>
      <c r="H53" t="s">
        <v>50</v>
      </c>
      <c r="I53" t="s">
        <v>56</v>
      </c>
      <c r="J53" t="s">
        <v>59</v>
      </c>
      <c r="K53">
        <v>101.82435207568</v>
      </c>
      <c r="L53">
        <v>1</v>
      </c>
      <c r="M53" t="s">
        <v>53</v>
      </c>
    </row>
    <row r="54" spans="1:13" x14ac:dyDescent="0.2">
      <c r="A54">
        <v>53</v>
      </c>
      <c r="B54">
        <v>2004</v>
      </c>
      <c r="C54">
        <v>43</v>
      </c>
      <c r="D54" t="s">
        <v>57</v>
      </c>
      <c r="E54" t="s">
        <v>57</v>
      </c>
      <c r="F54" t="s">
        <v>48</v>
      </c>
      <c r="G54" t="s">
        <v>54</v>
      </c>
      <c r="H54" t="s">
        <v>50</v>
      </c>
      <c r="I54" t="s">
        <v>56</v>
      </c>
      <c r="J54" t="s">
        <v>59</v>
      </c>
      <c r="K54">
        <v>272.29478322006401</v>
      </c>
      <c r="L54">
        <v>1</v>
      </c>
      <c r="M54" t="s">
        <v>53</v>
      </c>
    </row>
    <row r="55" spans="1:13" x14ac:dyDescent="0.2">
      <c r="A55">
        <v>54</v>
      </c>
      <c r="B55">
        <v>2003</v>
      </c>
      <c r="C55">
        <v>23</v>
      </c>
      <c r="D55" t="s">
        <v>47</v>
      </c>
      <c r="E55" t="s">
        <v>47</v>
      </c>
      <c r="F55" t="s">
        <v>48</v>
      </c>
      <c r="G55" t="s">
        <v>58</v>
      </c>
      <c r="H55" t="s">
        <v>50</v>
      </c>
      <c r="I55" t="s">
        <v>56</v>
      </c>
      <c r="J55" t="s">
        <v>52</v>
      </c>
      <c r="K55">
        <v>35.033421321499503</v>
      </c>
      <c r="L55">
        <v>0</v>
      </c>
      <c r="M55" t="s">
        <v>53</v>
      </c>
    </row>
    <row r="56" spans="1:13" x14ac:dyDescent="0.2">
      <c r="A56">
        <v>55</v>
      </c>
      <c r="B56">
        <v>2009</v>
      </c>
      <c r="C56">
        <v>30</v>
      </c>
      <c r="D56" t="s">
        <v>47</v>
      </c>
      <c r="E56" t="s">
        <v>47</v>
      </c>
      <c r="F56" t="s">
        <v>48</v>
      </c>
      <c r="G56" t="s">
        <v>66</v>
      </c>
      <c r="H56" t="s">
        <v>55</v>
      </c>
      <c r="I56" t="s">
        <v>56</v>
      </c>
      <c r="J56" t="s">
        <v>59</v>
      </c>
      <c r="K56">
        <v>114.475713290347</v>
      </c>
      <c r="L56">
        <v>1</v>
      </c>
      <c r="M56" t="s">
        <v>53</v>
      </c>
    </row>
    <row r="57" spans="1:13" x14ac:dyDescent="0.2">
      <c r="A57">
        <v>56</v>
      </c>
      <c r="B57">
        <v>2004</v>
      </c>
      <c r="C57">
        <v>22</v>
      </c>
      <c r="D57" t="s">
        <v>47</v>
      </c>
      <c r="E57" t="s">
        <v>47</v>
      </c>
      <c r="F57" t="s">
        <v>65</v>
      </c>
      <c r="G57" t="s">
        <v>63</v>
      </c>
      <c r="H57" t="s">
        <v>55</v>
      </c>
      <c r="I57" t="s">
        <v>56</v>
      </c>
      <c r="J57" t="s">
        <v>59</v>
      </c>
      <c r="K57">
        <v>81.283253284252694</v>
      </c>
      <c r="L57">
        <v>0</v>
      </c>
      <c r="M57" t="s">
        <v>53</v>
      </c>
    </row>
    <row r="58" spans="1:13" x14ac:dyDescent="0.2">
      <c r="A58">
        <v>57</v>
      </c>
      <c r="B58">
        <v>2006</v>
      </c>
      <c r="C58">
        <v>59</v>
      </c>
      <c r="D58" t="s">
        <v>57</v>
      </c>
      <c r="E58" t="s">
        <v>57</v>
      </c>
      <c r="F58" t="s">
        <v>48</v>
      </c>
      <c r="G58" t="s">
        <v>66</v>
      </c>
      <c r="H58" t="s">
        <v>55</v>
      </c>
      <c r="I58" t="s">
        <v>51</v>
      </c>
      <c r="J58" t="s">
        <v>59</v>
      </c>
      <c r="K58">
        <v>200.54326232466201</v>
      </c>
      <c r="L58">
        <v>1</v>
      </c>
      <c r="M58" t="s">
        <v>53</v>
      </c>
    </row>
    <row r="59" spans="1:13" x14ac:dyDescent="0.2">
      <c r="A59">
        <v>58</v>
      </c>
      <c r="B59">
        <v>2003</v>
      </c>
      <c r="C59">
        <v>28</v>
      </c>
      <c r="D59" t="s">
        <v>47</v>
      </c>
      <c r="E59" t="s">
        <v>47</v>
      </c>
      <c r="F59" t="s">
        <v>60</v>
      </c>
      <c r="G59" t="s">
        <v>54</v>
      </c>
      <c r="H59" t="s">
        <v>55</v>
      </c>
      <c r="I59" t="s">
        <v>56</v>
      </c>
      <c r="J59" t="s">
        <v>59</v>
      </c>
      <c r="K59">
        <v>148.413159102577</v>
      </c>
      <c r="L59">
        <v>1</v>
      </c>
      <c r="M59" t="s">
        <v>53</v>
      </c>
    </row>
    <row r="60" spans="1:13" x14ac:dyDescent="0.2">
      <c r="A60">
        <v>59</v>
      </c>
      <c r="B60">
        <v>2004</v>
      </c>
      <c r="C60">
        <v>61</v>
      </c>
      <c r="D60" t="s">
        <v>57</v>
      </c>
      <c r="E60" t="s">
        <v>57</v>
      </c>
      <c r="F60" t="s">
        <v>48</v>
      </c>
      <c r="G60" t="s">
        <v>63</v>
      </c>
      <c r="H60" t="s">
        <v>50</v>
      </c>
      <c r="I60" t="s">
        <v>56</v>
      </c>
      <c r="J60" t="s">
        <v>59</v>
      </c>
      <c r="K60">
        <v>99.689463698486406</v>
      </c>
      <c r="L60">
        <v>0</v>
      </c>
      <c r="M60" t="s">
        <v>53</v>
      </c>
    </row>
    <row r="61" spans="1:13" x14ac:dyDescent="0.2">
      <c r="A61">
        <v>60</v>
      </c>
      <c r="B61">
        <v>2003</v>
      </c>
      <c r="C61">
        <v>34</v>
      </c>
      <c r="D61" t="s">
        <v>57</v>
      </c>
      <c r="E61" t="s">
        <v>57</v>
      </c>
      <c r="F61" t="s">
        <v>48</v>
      </c>
      <c r="G61" t="s">
        <v>63</v>
      </c>
      <c r="H61" t="s">
        <v>55</v>
      </c>
      <c r="I61" t="s">
        <v>56</v>
      </c>
      <c r="J61" t="s">
        <v>59</v>
      </c>
      <c r="K61">
        <v>111.72084936098901</v>
      </c>
      <c r="L61">
        <v>1</v>
      </c>
      <c r="M61" t="s">
        <v>53</v>
      </c>
    </row>
    <row r="62" spans="1:13" x14ac:dyDescent="0.2">
      <c r="A62">
        <v>61</v>
      </c>
      <c r="B62">
        <v>2005</v>
      </c>
      <c r="C62">
        <v>43</v>
      </c>
      <c r="D62" t="s">
        <v>57</v>
      </c>
      <c r="E62" t="s">
        <v>57</v>
      </c>
      <c r="F62" t="s">
        <v>48</v>
      </c>
      <c r="G62" t="s">
        <v>54</v>
      </c>
      <c r="H62" t="s">
        <v>50</v>
      </c>
      <c r="I62" t="s">
        <v>56</v>
      </c>
      <c r="J62" t="s">
        <v>59</v>
      </c>
      <c r="K62">
        <v>152.83880099118201</v>
      </c>
      <c r="L62">
        <v>1</v>
      </c>
      <c r="M62" t="s">
        <v>53</v>
      </c>
    </row>
    <row r="63" spans="1:13" x14ac:dyDescent="0.2">
      <c r="A63">
        <v>62</v>
      </c>
      <c r="B63">
        <v>2006</v>
      </c>
      <c r="C63">
        <v>54</v>
      </c>
      <c r="D63" t="s">
        <v>57</v>
      </c>
      <c r="E63" t="s">
        <v>57</v>
      </c>
      <c r="F63" t="s">
        <v>48</v>
      </c>
      <c r="G63" t="s">
        <v>58</v>
      </c>
      <c r="H63" t="s">
        <v>50</v>
      </c>
      <c r="I63" t="s">
        <v>56</v>
      </c>
      <c r="J63" t="s">
        <v>52</v>
      </c>
      <c r="K63">
        <v>117.146816914805</v>
      </c>
      <c r="L63">
        <v>1</v>
      </c>
      <c r="M63" t="s">
        <v>53</v>
      </c>
    </row>
    <row r="64" spans="1:13" x14ac:dyDescent="0.2">
      <c r="A64">
        <v>63</v>
      </c>
      <c r="B64">
        <v>2005</v>
      </c>
      <c r="C64">
        <v>69</v>
      </c>
      <c r="D64" t="s">
        <v>57</v>
      </c>
      <c r="E64" t="s">
        <v>57</v>
      </c>
      <c r="F64" t="s">
        <v>48</v>
      </c>
      <c r="G64" t="s">
        <v>63</v>
      </c>
      <c r="H64" t="s">
        <v>50</v>
      </c>
      <c r="I64" t="s">
        <v>51</v>
      </c>
      <c r="J64" t="s">
        <v>59</v>
      </c>
      <c r="K64">
        <v>77.737603303978105</v>
      </c>
      <c r="L64">
        <v>0</v>
      </c>
      <c r="M64" t="s">
        <v>53</v>
      </c>
    </row>
    <row r="65" spans="1:13" x14ac:dyDescent="0.2">
      <c r="A65">
        <v>64</v>
      </c>
      <c r="B65">
        <v>2004</v>
      </c>
      <c r="C65">
        <v>41</v>
      </c>
      <c r="D65" t="s">
        <v>57</v>
      </c>
      <c r="E65" t="s">
        <v>57</v>
      </c>
      <c r="F65" t="s">
        <v>48</v>
      </c>
      <c r="G65" t="s">
        <v>58</v>
      </c>
      <c r="H65" t="s">
        <v>50</v>
      </c>
      <c r="I65" t="s">
        <v>51</v>
      </c>
      <c r="J65" t="s">
        <v>59</v>
      </c>
      <c r="K65">
        <v>87.981032785605393</v>
      </c>
      <c r="L65">
        <v>0</v>
      </c>
      <c r="M65" t="s">
        <v>53</v>
      </c>
    </row>
    <row r="66" spans="1:13" x14ac:dyDescent="0.2">
      <c r="A66">
        <v>65</v>
      </c>
      <c r="B66">
        <v>2003</v>
      </c>
      <c r="C66">
        <v>48</v>
      </c>
      <c r="D66" t="s">
        <v>57</v>
      </c>
      <c r="E66" t="s">
        <v>57</v>
      </c>
      <c r="F66" t="s">
        <v>48</v>
      </c>
      <c r="G66" t="s">
        <v>66</v>
      </c>
      <c r="H66" t="s">
        <v>55</v>
      </c>
      <c r="I66" t="s">
        <v>56</v>
      </c>
      <c r="J66" t="s">
        <v>59</v>
      </c>
      <c r="K66">
        <v>125.52549843383601</v>
      </c>
      <c r="L66">
        <v>1</v>
      </c>
      <c r="M66" t="s">
        <v>53</v>
      </c>
    </row>
    <row r="67" spans="1:13" x14ac:dyDescent="0.2">
      <c r="A67">
        <v>66</v>
      </c>
      <c r="B67">
        <v>2003</v>
      </c>
      <c r="C67">
        <v>49</v>
      </c>
      <c r="D67" t="s">
        <v>57</v>
      </c>
      <c r="E67" t="s">
        <v>57</v>
      </c>
      <c r="F67" t="s">
        <v>48</v>
      </c>
      <c r="G67" t="s">
        <v>58</v>
      </c>
      <c r="H67" t="s">
        <v>55</v>
      </c>
      <c r="I67" t="s">
        <v>56</v>
      </c>
      <c r="J67" t="s">
        <v>59</v>
      </c>
      <c r="K67">
        <v>123.336103962059</v>
      </c>
      <c r="L67">
        <v>1</v>
      </c>
      <c r="M67" t="s">
        <v>53</v>
      </c>
    </row>
    <row r="68" spans="1:13" x14ac:dyDescent="0.2">
      <c r="A68">
        <v>67</v>
      </c>
      <c r="B68">
        <v>2009</v>
      </c>
      <c r="C68">
        <v>42</v>
      </c>
      <c r="D68" t="s">
        <v>57</v>
      </c>
      <c r="E68" t="s">
        <v>57</v>
      </c>
      <c r="F68" t="s">
        <v>48</v>
      </c>
      <c r="G68" t="s">
        <v>63</v>
      </c>
      <c r="H68" t="s">
        <v>50</v>
      </c>
      <c r="I68" t="s">
        <v>56</v>
      </c>
      <c r="J68" t="s">
        <v>59</v>
      </c>
      <c r="K68">
        <v>158.29462142779099</v>
      </c>
      <c r="L68">
        <v>1</v>
      </c>
      <c r="M68" t="s">
        <v>53</v>
      </c>
    </row>
    <row r="69" spans="1:13" x14ac:dyDescent="0.2">
      <c r="A69">
        <v>68</v>
      </c>
      <c r="B69">
        <v>2003</v>
      </c>
      <c r="C69">
        <v>37</v>
      </c>
      <c r="D69" t="s">
        <v>57</v>
      </c>
      <c r="E69" t="s">
        <v>57</v>
      </c>
      <c r="F69" t="s">
        <v>48</v>
      </c>
      <c r="G69" t="s">
        <v>54</v>
      </c>
      <c r="H69" t="s">
        <v>55</v>
      </c>
      <c r="I69" t="s">
        <v>56</v>
      </c>
      <c r="J69" t="s">
        <v>59</v>
      </c>
      <c r="K69">
        <v>200.54326232466201</v>
      </c>
      <c r="L69">
        <v>1</v>
      </c>
      <c r="M69" t="s">
        <v>53</v>
      </c>
    </row>
    <row r="70" spans="1:13" x14ac:dyDescent="0.2">
      <c r="A70">
        <v>69</v>
      </c>
      <c r="B70">
        <v>2004</v>
      </c>
      <c r="C70">
        <v>55</v>
      </c>
      <c r="D70" t="s">
        <v>57</v>
      </c>
      <c r="E70" t="s">
        <v>57</v>
      </c>
      <c r="F70" t="s">
        <v>60</v>
      </c>
      <c r="G70" t="s">
        <v>63</v>
      </c>
      <c r="H70" t="s">
        <v>50</v>
      </c>
      <c r="I70" t="s">
        <v>56</v>
      </c>
      <c r="J70" t="s">
        <v>59</v>
      </c>
      <c r="K70">
        <v>99.689463698486406</v>
      </c>
      <c r="L70">
        <v>0</v>
      </c>
      <c r="M70" t="s">
        <v>53</v>
      </c>
    </row>
    <row r="71" spans="1:13" x14ac:dyDescent="0.2">
      <c r="A71">
        <v>70</v>
      </c>
      <c r="B71">
        <v>2008</v>
      </c>
      <c r="C71">
        <v>21</v>
      </c>
      <c r="D71" t="s">
        <v>47</v>
      </c>
      <c r="E71" t="s">
        <v>47</v>
      </c>
      <c r="F71" t="s">
        <v>65</v>
      </c>
      <c r="G71" t="s">
        <v>63</v>
      </c>
      <c r="H71" t="s">
        <v>50</v>
      </c>
      <c r="I71" t="s">
        <v>56</v>
      </c>
      <c r="J71" t="s">
        <v>52</v>
      </c>
      <c r="K71">
        <v>70.476019646944494</v>
      </c>
      <c r="L71">
        <v>0</v>
      </c>
      <c r="M71" t="s">
        <v>53</v>
      </c>
    </row>
    <row r="72" spans="1:13" x14ac:dyDescent="0.2">
      <c r="A72">
        <v>71</v>
      </c>
      <c r="B72">
        <v>2004</v>
      </c>
      <c r="C72">
        <v>58</v>
      </c>
      <c r="D72" t="s">
        <v>57</v>
      </c>
      <c r="E72" t="s">
        <v>57</v>
      </c>
      <c r="F72" t="s">
        <v>48</v>
      </c>
      <c r="G72" t="s">
        <v>63</v>
      </c>
      <c r="H72" t="s">
        <v>55</v>
      </c>
      <c r="I72" t="s">
        <v>56</v>
      </c>
      <c r="J72" t="s">
        <v>59</v>
      </c>
      <c r="K72">
        <v>94.072714745700495</v>
      </c>
      <c r="L72">
        <v>0</v>
      </c>
      <c r="M72" t="s">
        <v>53</v>
      </c>
    </row>
    <row r="73" spans="1:13" x14ac:dyDescent="0.2">
      <c r="A73">
        <v>72</v>
      </c>
      <c r="B73">
        <v>2006</v>
      </c>
      <c r="C73">
        <v>31</v>
      </c>
      <c r="D73" t="s">
        <v>47</v>
      </c>
      <c r="E73" t="s">
        <v>47</v>
      </c>
      <c r="F73" t="s">
        <v>48</v>
      </c>
      <c r="G73" t="s">
        <v>63</v>
      </c>
      <c r="H73" t="s">
        <v>50</v>
      </c>
      <c r="I73" t="s">
        <v>56</v>
      </c>
      <c r="J73" t="s">
        <v>52</v>
      </c>
      <c r="K73">
        <v>81.283253284252694</v>
      </c>
      <c r="L73">
        <v>0</v>
      </c>
      <c r="M73" t="s">
        <v>53</v>
      </c>
    </row>
    <row r="74" spans="1:13" x14ac:dyDescent="0.2">
      <c r="A74">
        <v>73</v>
      </c>
      <c r="B74">
        <v>2006</v>
      </c>
      <c r="C74">
        <v>25</v>
      </c>
      <c r="D74" t="s">
        <v>47</v>
      </c>
      <c r="E74" t="s">
        <v>47</v>
      </c>
      <c r="F74" t="s">
        <v>48</v>
      </c>
      <c r="G74" t="s">
        <v>63</v>
      </c>
      <c r="H74" t="s">
        <v>50</v>
      </c>
      <c r="I74" t="s">
        <v>56</v>
      </c>
      <c r="J74" t="s">
        <v>59</v>
      </c>
      <c r="K74">
        <v>81.283253284252694</v>
      </c>
      <c r="L74">
        <v>0</v>
      </c>
      <c r="M74" t="s">
        <v>53</v>
      </c>
    </row>
    <row r="75" spans="1:13" x14ac:dyDescent="0.2">
      <c r="A75">
        <v>74</v>
      </c>
      <c r="B75">
        <v>2006</v>
      </c>
      <c r="C75">
        <v>32</v>
      </c>
      <c r="D75" t="s">
        <v>47</v>
      </c>
      <c r="E75" t="s">
        <v>47</v>
      </c>
      <c r="F75" t="s">
        <v>48</v>
      </c>
      <c r="G75" t="s">
        <v>58</v>
      </c>
      <c r="H75" t="s">
        <v>55</v>
      </c>
      <c r="I75" t="s">
        <v>56</v>
      </c>
      <c r="J75" t="s">
        <v>59</v>
      </c>
      <c r="K75">
        <v>100.764272842107</v>
      </c>
      <c r="L75">
        <v>1</v>
      </c>
      <c r="M75" t="s">
        <v>53</v>
      </c>
    </row>
    <row r="76" spans="1:13" x14ac:dyDescent="0.2">
      <c r="A76">
        <v>75</v>
      </c>
      <c r="B76">
        <v>2009</v>
      </c>
      <c r="C76">
        <v>40</v>
      </c>
      <c r="D76" t="s">
        <v>47</v>
      </c>
      <c r="E76" t="s">
        <v>47</v>
      </c>
      <c r="F76" t="s">
        <v>65</v>
      </c>
      <c r="G76" t="s">
        <v>49</v>
      </c>
      <c r="H76" t="s">
        <v>55</v>
      </c>
      <c r="I76" t="s">
        <v>56</v>
      </c>
      <c r="J76" t="s">
        <v>59</v>
      </c>
      <c r="K76">
        <v>94.072714745700495</v>
      </c>
      <c r="L76">
        <v>0</v>
      </c>
      <c r="M76" t="s">
        <v>53</v>
      </c>
    </row>
    <row r="77" spans="1:13" x14ac:dyDescent="0.2">
      <c r="A77">
        <v>76</v>
      </c>
      <c r="B77">
        <v>2003</v>
      </c>
      <c r="C77">
        <v>44</v>
      </c>
      <c r="D77" t="s">
        <v>57</v>
      </c>
      <c r="E77" t="s">
        <v>57</v>
      </c>
      <c r="F77" t="s">
        <v>48</v>
      </c>
      <c r="G77" t="s">
        <v>66</v>
      </c>
      <c r="H77" t="s">
        <v>55</v>
      </c>
      <c r="I77" t="s">
        <v>56</v>
      </c>
      <c r="J77" t="s">
        <v>52</v>
      </c>
      <c r="K77">
        <v>99.689463698486406</v>
      </c>
      <c r="L77">
        <v>0</v>
      </c>
      <c r="M77" t="s">
        <v>53</v>
      </c>
    </row>
    <row r="78" spans="1:13" x14ac:dyDescent="0.2">
      <c r="A78">
        <v>77</v>
      </c>
      <c r="B78">
        <v>2003</v>
      </c>
      <c r="C78">
        <v>60</v>
      </c>
      <c r="D78" t="s">
        <v>57</v>
      </c>
      <c r="E78" t="s">
        <v>57</v>
      </c>
      <c r="F78" t="s">
        <v>48</v>
      </c>
      <c r="G78" t="s">
        <v>54</v>
      </c>
      <c r="H78" t="s">
        <v>50</v>
      </c>
      <c r="I78" t="s">
        <v>56</v>
      </c>
      <c r="J78" t="s">
        <v>59</v>
      </c>
      <c r="K78">
        <v>268.26629201255702</v>
      </c>
      <c r="L78">
        <v>1</v>
      </c>
      <c r="M78" t="s">
        <v>53</v>
      </c>
    </row>
    <row r="79" spans="1:13" x14ac:dyDescent="0.2">
      <c r="A79">
        <v>78</v>
      </c>
      <c r="B79">
        <v>2006</v>
      </c>
      <c r="C79">
        <v>23</v>
      </c>
      <c r="D79" t="s">
        <v>47</v>
      </c>
      <c r="E79" t="s">
        <v>47</v>
      </c>
      <c r="F79" t="s">
        <v>48</v>
      </c>
      <c r="G79" t="s">
        <v>49</v>
      </c>
      <c r="H79" t="s">
        <v>50</v>
      </c>
      <c r="I79" t="s">
        <v>51</v>
      </c>
      <c r="J79" t="s">
        <v>59</v>
      </c>
      <c r="K79">
        <v>81.283253284252694</v>
      </c>
      <c r="L79">
        <v>0</v>
      </c>
      <c r="M79" t="s">
        <v>53</v>
      </c>
    </row>
    <row r="80" spans="1:13" x14ac:dyDescent="0.2">
      <c r="A80">
        <v>79</v>
      </c>
      <c r="B80">
        <v>2003</v>
      </c>
      <c r="C80">
        <v>63</v>
      </c>
      <c r="D80" t="s">
        <v>57</v>
      </c>
      <c r="E80" t="s">
        <v>57</v>
      </c>
      <c r="F80" t="s">
        <v>48</v>
      </c>
      <c r="G80" t="s">
        <v>63</v>
      </c>
      <c r="H80" t="s">
        <v>55</v>
      </c>
      <c r="I80" t="s">
        <v>56</v>
      </c>
      <c r="J80" t="s">
        <v>52</v>
      </c>
      <c r="K80">
        <v>113.567089569751</v>
      </c>
      <c r="L80">
        <v>1</v>
      </c>
      <c r="M80" t="s">
        <v>53</v>
      </c>
    </row>
    <row r="81" spans="1:13" x14ac:dyDescent="0.2">
      <c r="A81">
        <v>80</v>
      </c>
      <c r="B81">
        <v>2008</v>
      </c>
      <c r="C81">
        <v>44</v>
      </c>
      <c r="D81" t="s">
        <v>47</v>
      </c>
      <c r="E81" t="s">
        <v>47</v>
      </c>
      <c r="F81" t="s">
        <v>48</v>
      </c>
      <c r="G81" t="s">
        <v>49</v>
      </c>
      <c r="H81" t="s">
        <v>50</v>
      </c>
      <c r="I81" t="s">
        <v>51</v>
      </c>
      <c r="J81" t="s">
        <v>52</v>
      </c>
      <c r="K81">
        <v>87.981032785605393</v>
      </c>
      <c r="L81">
        <v>0</v>
      </c>
      <c r="M81" t="s">
        <v>53</v>
      </c>
    </row>
    <row r="82" spans="1:13" x14ac:dyDescent="0.2">
      <c r="A82">
        <v>81</v>
      </c>
      <c r="B82">
        <v>2005</v>
      </c>
      <c r="C82">
        <v>47</v>
      </c>
      <c r="D82" t="s">
        <v>57</v>
      </c>
      <c r="E82" t="s">
        <v>57</v>
      </c>
      <c r="F82" t="s">
        <v>60</v>
      </c>
      <c r="G82" t="s">
        <v>66</v>
      </c>
      <c r="H82" t="s">
        <v>55</v>
      </c>
      <c r="I82" t="s">
        <v>51</v>
      </c>
      <c r="J82" t="s">
        <v>59</v>
      </c>
      <c r="K82">
        <v>128.680488220624</v>
      </c>
      <c r="L82">
        <v>1</v>
      </c>
      <c r="M82" t="s">
        <v>53</v>
      </c>
    </row>
    <row r="83" spans="1:13" x14ac:dyDescent="0.2">
      <c r="A83">
        <v>82</v>
      </c>
      <c r="B83">
        <v>2004</v>
      </c>
      <c r="C83">
        <v>61</v>
      </c>
      <c r="D83" t="s">
        <v>57</v>
      </c>
      <c r="E83" t="s">
        <v>57</v>
      </c>
      <c r="F83" t="s">
        <v>48</v>
      </c>
      <c r="G83" t="s">
        <v>58</v>
      </c>
      <c r="H83" t="s">
        <v>50</v>
      </c>
      <c r="I83" t="s">
        <v>56</v>
      </c>
      <c r="J83" t="s">
        <v>59</v>
      </c>
      <c r="K83">
        <v>106.723977625299</v>
      </c>
      <c r="L83">
        <v>1</v>
      </c>
      <c r="M83" t="s">
        <v>53</v>
      </c>
    </row>
    <row r="84" spans="1:13" x14ac:dyDescent="0.2">
      <c r="A84">
        <v>83</v>
      </c>
      <c r="B84">
        <v>2009</v>
      </c>
      <c r="C84">
        <v>55</v>
      </c>
      <c r="D84" t="s">
        <v>57</v>
      </c>
      <c r="E84" t="s">
        <v>57</v>
      </c>
      <c r="F84" t="s">
        <v>48</v>
      </c>
      <c r="G84" t="s">
        <v>66</v>
      </c>
      <c r="H84" t="s">
        <v>55</v>
      </c>
      <c r="I84" t="s">
        <v>56</v>
      </c>
      <c r="J84" t="s">
        <v>52</v>
      </c>
      <c r="K84">
        <v>66.044694231805593</v>
      </c>
      <c r="L84">
        <v>0</v>
      </c>
      <c r="M84" t="s">
        <v>53</v>
      </c>
    </row>
    <row r="85" spans="1:13" x14ac:dyDescent="0.2">
      <c r="A85">
        <v>84</v>
      </c>
      <c r="B85">
        <v>2003</v>
      </c>
      <c r="C85">
        <v>24</v>
      </c>
      <c r="D85" t="s">
        <v>47</v>
      </c>
      <c r="E85" t="s">
        <v>47</v>
      </c>
      <c r="F85" t="s">
        <v>48</v>
      </c>
      <c r="G85" t="s">
        <v>49</v>
      </c>
      <c r="H85" t="s">
        <v>50</v>
      </c>
      <c r="I85" t="s">
        <v>51</v>
      </c>
      <c r="J85" t="s">
        <v>52</v>
      </c>
      <c r="K85">
        <v>51.521956314716</v>
      </c>
      <c r="L85">
        <v>0</v>
      </c>
      <c r="M85" t="s">
        <v>53</v>
      </c>
    </row>
    <row r="86" spans="1:13" x14ac:dyDescent="0.2">
      <c r="A86">
        <v>85</v>
      </c>
      <c r="B86">
        <v>2007</v>
      </c>
      <c r="C86">
        <v>42</v>
      </c>
      <c r="D86" t="s">
        <v>67</v>
      </c>
      <c r="E86" t="s">
        <v>62</v>
      </c>
      <c r="F86" t="s">
        <v>48</v>
      </c>
      <c r="G86" t="s">
        <v>63</v>
      </c>
      <c r="H86" t="s">
        <v>50</v>
      </c>
      <c r="I86" t="s">
        <v>56</v>
      </c>
      <c r="J86" t="s">
        <v>59</v>
      </c>
      <c r="K86">
        <v>85.3839403789827</v>
      </c>
      <c r="L86">
        <v>0</v>
      </c>
      <c r="M86" t="s">
        <v>53</v>
      </c>
    </row>
    <row r="87" spans="1:13" x14ac:dyDescent="0.2">
      <c r="A87">
        <v>86</v>
      </c>
      <c r="B87">
        <v>2006</v>
      </c>
      <c r="C87">
        <v>25</v>
      </c>
      <c r="D87" t="s">
        <v>57</v>
      </c>
      <c r="E87" t="s">
        <v>57</v>
      </c>
      <c r="F87" t="s">
        <v>48</v>
      </c>
      <c r="G87" t="s">
        <v>63</v>
      </c>
      <c r="H87" t="s">
        <v>55</v>
      </c>
      <c r="I87" t="s">
        <v>56</v>
      </c>
      <c r="J87" t="s">
        <v>59</v>
      </c>
      <c r="K87">
        <v>76.8936025176112</v>
      </c>
      <c r="L87">
        <v>0</v>
      </c>
      <c r="M87" t="s">
        <v>53</v>
      </c>
    </row>
    <row r="88" spans="1:13" x14ac:dyDescent="0.2">
      <c r="A88">
        <v>87</v>
      </c>
      <c r="B88">
        <v>2004</v>
      </c>
      <c r="C88">
        <v>34</v>
      </c>
      <c r="D88" t="s">
        <v>61</v>
      </c>
      <c r="E88" t="s">
        <v>62</v>
      </c>
      <c r="F88" t="s">
        <v>48</v>
      </c>
      <c r="G88" t="s">
        <v>63</v>
      </c>
      <c r="H88" t="s">
        <v>50</v>
      </c>
      <c r="I88" t="s">
        <v>56</v>
      </c>
      <c r="J88" t="s">
        <v>52</v>
      </c>
      <c r="K88">
        <v>90.481913356640106</v>
      </c>
      <c r="L88">
        <v>0</v>
      </c>
      <c r="M88" t="s">
        <v>53</v>
      </c>
    </row>
    <row r="89" spans="1:13" x14ac:dyDescent="0.2">
      <c r="A89">
        <v>88</v>
      </c>
      <c r="B89">
        <v>2009</v>
      </c>
      <c r="C89">
        <v>53</v>
      </c>
      <c r="D89" t="s">
        <v>57</v>
      </c>
      <c r="E89" t="s">
        <v>57</v>
      </c>
      <c r="F89" t="s">
        <v>48</v>
      </c>
      <c r="G89" t="s">
        <v>49</v>
      </c>
      <c r="H89" t="s">
        <v>55</v>
      </c>
      <c r="I89" t="s">
        <v>56</v>
      </c>
      <c r="J89" t="s">
        <v>52</v>
      </c>
      <c r="K89">
        <v>68.076428288952101</v>
      </c>
      <c r="L89">
        <v>0</v>
      </c>
      <c r="M89" t="s">
        <v>53</v>
      </c>
    </row>
    <row r="90" spans="1:13" x14ac:dyDescent="0.2">
      <c r="A90">
        <v>89</v>
      </c>
      <c r="B90">
        <v>2009</v>
      </c>
      <c r="C90">
        <v>53</v>
      </c>
      <c r="D90" t="s">
        <v>57</v>
      </c>
      <c r="E90" t="s">
        <v>57</v>
      </c>
      <c r="F90" t="s">
        <v>48</v>
      </c>
      <c r="G90" t="s">
        <v>54</v>
      </c>
      <c r="H90" t="s">
        <v>55</v>
      </c>
      <c r="I90" t="s">
        <v>56</v>
      </c>
      <c r="J90" t="s">
        <v>59</v>
      </c>
      <c r="K90">
        <v>130.982177377461</v>
      </c>
      <c r="L90">
        <v>1</v>
      </c>
      <c r="M90" t="s">
        <v>53</v>
      </c>
    </row>
    <row r="91" spans="1:13" x14ac:dyDescent="0.2">
      <c r="A91">
        <v>90</v>
      </c>
      <c r="B91">
        <v>2009</v>
      </c>
      <c r="C91">
        <v>70</v>
      </c>
      <c r="D91" t="s">
        <v>57</v>
      </c>
      <c r="E91" t="s">
        <v>57</v>
      </c>
      <c r="F91" t="s">
        <v>60</v>
      </c>
      <c r="G91" t="s">
        <v>66</v>
      </c>
      <c r="H91" t="s">
        <v>55</v>
      </c>
      <c r="I91" t="s">
        <v>51</v>
      </c>
      <c r="J91" t="s">
        <v>52</v>
      </c>
      <c r="K91">
        <v>127.90123297911801</v>
      </c>
      <c r="L91">
        <v>1</v>
      </c>
      <c r="M91" t="s">
        <v>53</v>
      </c>
    </row>
    <row r="92" spans="1:13" x14ac:dyDescent="0.2">
      <c r="A92">
        <v>91</v>
      </c>
      <c r="B92">
        <v>2004</v>
      </c>
      <c r="C92">
        <v>47</v>
      </c>
      <c r="D92" t="s">
        <v>57</v>
      </c>
      <c r="E92" t="s">
        <v>57</v>
      </c>
      <c r="F92" t="s">
        <v>48</v>
      </c>
      <c r="G92" t="s">
        <v>54</v>
      </c>
      <c r="H92" t="s">
        <v>55</v>
      </c>
      <c r="I92" t="s">
        <v>56</v>
      </c>
      <c r="J92" t="s">
        <v>59</v>
      </c>
      <c r="K92">
        <v>131.22459375509601</v>
      </c>
      <c r="L92">
        <v>1</v>
      </c>
      <c r="M92" t="s">
        <v>53</v>
      </c>
    </row>
    <row r="93" spans="1:13" x14ac:dyDescent="0.2">
      <c r="A93">
        <v>92</v>
      </c>
      <c r="B93">
        <v>2003</v>
      </c>
      <c r="C93">
        <v>46</v>
      </c>
      <c r="D93" t="s">
        <v>57</v>
      </c>
      <c r="E93" t="s">
        <v>57</v>
      </c>
      <c r="F93" t="s">
        <v>48</v>
      </c>
      <c r="G93" t="s">
        <v>63</v>
      </c>
      <c r="H93" t="s">
        <v>50</v>
      </c>
      <c r="I93" t="s">
        <v>56</v>
      </c>
      <c r="J93" t="s">
        <v>59</v>
      </c>
      <c r="K93">
        <v>99.689463698486406</v>
      </c>
      <c r="L93">
        <v>0</v>
      </c>
      <c r="M93" t="s">
        <v>53</v>
      </c>
    </row>
    <row r="94" spans="1:13" x14ac:dyDescent="0.2">
      <c r="A94">
        <v>93</v>
      </c>
      <c r="B94">
        <v>2003</v>
      </c>
      <c r="C94">
        <v>33</v>
      </c>
      <c r="D94" t="s">
        <v>61</v>
      </c>
      <c r="E94" t="s">
        <v>62</v>
      </c>
      <c r="F94" t="s">
        <v>48</v>
      </c>
      <c r="G94" t="s">
        <v>49</v>
      </c>
      <c r="H94" t="s">
        <v>50</v>
      </c>
      <c r="I94" t="s">
        <v>51</v>
      </c>
      <c r="J94" t="s">
        <v>59</v>
      </c>
      <c r="K94">
        <v>76.8936025176112</v>
      </c>
      <c r="L94">
        <v>0</v>
      </c>
      <c r="M94" t="s">
        <v>53</v>
      </c>
    </row>
    <row r="95" spans="1:13" x14ac:dyDescent="0.2">
      <c r="A95">
        <v>94</v>
      </c>
      <c r="B95">
        <v>2005</v>
      </c>
      <c r="C95">
        <v>34</v>
      </c>
      <c r="D95" t="s">
        <v>57</v>
      </c>
      <c r="E95" t="s">
        <v>57</v>
      </c>
      <c r="F95" t="s">
        <v>48</v>
      </c>
      <c r="G95" t="s">
        <v>66</v>
      </c>
      <c r="H95" t="s">
        <v>55</v>
      </c>
      <c r="I95" t="s">
        <v>56</v>
      </c>
      <c r="J95" t="s">
        <v>59</v>
      </c>
      <c r="K95">
        <v>107.903923866876</v>
      </c>
      <c r="L95">
        <v>1</v>
      </c>
      <c r="M95" t="s">
        <v>53</v>
      </c>
    </row>
    <row r="96" spans="1:13" x14ac:dyDescent="0.2">
      <c r="A96">
        <v>95</v>
      </c>
      <c r="B96">
        <v>2006</v>
      </c>
      <c r="C96">
        <v>22</v>
      </c>
      <c r="D96" t="s">
        <v>47</v>
      </c>
      <c r="E96" t="s">
        <v>47</v>
      </c>
      <c r="F96" t="s">
        <v>48</v>
      </c>
      <c r="G96" t="s">
        <v>63</v>
      </c>
      <c r="H96" t="s">
        <v>50</v>
      </c>
      <c r="I96" t="s">
        <v>51</v>
      </c>
      <c r="J96" t="s">
        <v>52</v>
      </c>
      <c r="K96">
        <v>81.283253284252694</v>
      </c>
      <c r="L96">
        <v>0</v>
      </c>
      <c r="M96" t="s">
        <v>53</v>
      </c>
    </row>
    <row r="97" spans="1:13" x14ac:dyDescent="0.2">
      <c r="A97">
        <v>96</v>
      </c>
      <c r="B97">
        <v>2009</v>
      </c>
      <c r="C97">
        <v>74</v>
      </c>
      <c r="D97" t="s">
        <v>57</v>
      </c>
      <c r="E97" t="s">
        <v>57</v>
      </c>
      <c r="F97" t="s">
        <v>48</v>
      </c>
      <c r="G97" t="s">
        <v>63</v>
      </c>
      <c r="H97" t="s">
        <v>50</v>
      </c>
      <c r="I97" t="s">
        <v>56</v>
      </c>
      <c r="J97" t="s">
        <v>59</v>
      </c>
      <c r="K97">
        <v>99.689463698486406</v>
      </c>
      <c r="L97">
        <v>0</v>
      </c>
      <c r="M97" t="s">
        <v>53</v>
      </c>
    </row>
    <row r="98" spans="1:13" x14ac:dyDescent="0.2">
      <c r="A98">
        <v>97</v>
      </c>
      <c r="B98">
        <v>2003</v>
      </c>
      <c r="C98">
        <v>40</v>
      </c>
      <c r="D98" t="s">
        <v>57</v>
      </c>
      <c r="E98" t="s">
        <v>57</v>
      </c>
      <c r="F98" t="s">
        <v>65</v>
      </c>
      <c r="G98" t="s">
        <v>58</v>
      </c>
      <c r="H98" t="s">
        <v>55</v>
      </c>
      <c r="I98" t="s">
        <v>51</v>
      </c>
      <c r="J98" t="s">
        <v>59</v>
      </c>
      <c r="K98">
        <v>98.599343860389197</v>
      </c>
      <c r="L98">
        <v>0</v>
      </c>
      <c r="M98" t="s">
        <v>53</v>
      </c>
    </row>
    <row r="99" spans="1:13" x14ac:dyDescent="0.2">
      <c r="A99">
        <v>98</v>
      </c>
      <c r="B99">
        <v>2006</v>
      </c>
      <c r="C99">
        <v>45</v>
      </c>
      <c r="D99" t="s">
        <v>57</v>
      </c>
      <c r="E99" t="s">
        <v>57</v>
      </c>
      <c r="F99" t="s">
        <v>48</v>
      </c>
      <c r="G99" t="s">
        <v>54</v>
      </c>
      <c r="H99" t="s">
        <v>55</v>
      </c>
      <c r="I99" t="s">
        <v>56</v>
      </c>
      <c r="J99" t="s">
        <v>59</v>
      </c>
      <c r="K99">
        <v>200.54326232466201</v>
      </c>
      <c r="L99">
        <v>1</v>
      </c>
      <c r="M99" t="s">
        <v>53</v>
      </c>
    </row>
    <row r="100" spans="1:13" x14ac:dyDescent="0.2">
      <c r="A100">
        <v>99</v>
      </c>
      <c r="B100">
        <v>2009</v>
      </c>
      <c r="C100">
        <v>43</v>
      </c>
      <c r="D100" t="s">
        <v>57</v>
      </c>
      <c r="E100" t="s">
        <v>57</v>
      </c>
      <c r="F100" t="s">
        <v>60</v>
      </c>
      <c r="G100" t="s">
        <v>54</v>
      </c>
      <c r="H100" t="s">
        <v>55</v>
      </c>
      <c r="I100" t="s">
        <v>56</v>
      </c>
      <c r="J100" t="s">
        <v>59</v>
      </c>
      <c r="K100">
        <v>156.50351088263301</v>
      </c>
      <c r="L100">
        <v>1</v>
      </c>
      <c r="M100" t="s">
        <v>53</v>
      </c>
    </row>
    <row r="101" spans="1:13" x14ac:dyDescent="0.2">
      <c r="A101">
        <v>100</v>
      </c>
      <c r="B101">
        <v>2005</v>
      </c>
      <c r="C101">
        <v>33</v>
      </c>
      <c r="D101" t="s">
        <v>57</v>
      </c>
      <c r="E101" t="s">
        <v>57</v>
      </c>
      <c r="F101" t="s">
        <v>60</v>
      </c>
      <c r="G101" t="s">
        <v>54</v>
      </c>
      <c r="H101" t="s">
        <v>55</v>
      </c>
      <c r="I101" t="s">
        <v>56</v>
      </c>
      <c r="J101" t="s">
        <v>59</v>
      </c>
      <c r="K101">
        <v>144.94436498051601</v>
      </c>
      <c r="L101">
        <v>1</v>
      </c>
      <c r="M101" t="s">
        <v>53</v>
      </c>
    </row>
    <row r="102" spans="1:13" x14ac:dyDescent="0.2">
      <c r="A102">
        <v>101</v>
      </c>
      <c r="B102">
        <v>2009</v>
      </c>
      <c r="C102">
        <v>62</v>
      </c>
      <c r="D102" t="s">
        <v>57</v>
      </c>
      <c r="E102" t="s">
        <v>57</v>
      </c>
      <c r="F102" t="s">
        <v>65</v>
      </c>
      <c r="G102" t="s">
        <v>54</v>
      </c>
      <c r="H102" t="s">
        <v>55</v>
      </c>
      <c r="I102" t="s">
        <v>56</v>
      </c>
      <c r="J102" t="s">
        <v>59</v>
      </c>
      <c r="K102">
        <v>118.884359339886</v>
      </c>
      <c r="L102">
        <v>1</v>
      </c>
      <c r="M102" t="s">
        <v>53</v>
      </c>
    </row>
    <row r="103" spans="1:13" x14ac:dyDescent="0.2">
      <c r="A103">
        <v>102</v>
      </c>
      <c r="B103">
        <v>2008</v>
      </c>
      <c r="C103">
        <v>37</v>
      </c>
      <c r="D103" t="s">
        <v>57</v>
      </c>
      <c r="E103" t="s">
        <v>57</v>
      </c>
      <c r="F103" t="s">
        <v>48</v>
      </c>
      <c r="G103" t="s">
        <v>54</v>
      </c>
      <c r="H103" t="s">
        <v>55</v>
      </c>
      <c r="I103" t="s">
        <v>56</v>
      </c>
      <c r="J103" t="s">
        <v>59</v>
      </c>
      <c r="K103">
        <v>121.430313822622</v>
      </c>
      <c r="L103">
        <v>1</v>
      </c>
      <c r="M103" t="s">
        <v>53</v>
      </c>
    </row>
    <row r="104" spans="1:13" x14ac:dyDescent="0.2">
      <c r="A104">
        <v>103</v>
      </c>
      <c r="B104">
        <v>2004</v>
      </c>
      <c r="C104">
        <v>54</v>
      </c>
      <c r="D104" t="s">
        <v>57</v>
      </c>
      <c r="E104" t="s">
        <v>57</v>
      </c>
      <c r="F104" t="s">
        <v>48</v>
      </c>
      <c r="G104" t="s">
        <v>63</v>
      </c>
      <c r="H104" t="s">
        <v>55</v>
      </c>
      <c r="I104" t="s">
        <v>51</v>
      </c>
      <c r="J104" t="s">
        <v>59</v>
      </c>
      <c r="K104">
        <v>111.72084936098901</v>
      </c>
      <c r="L104">
        <v>1</v>
      </c>
      <c r="M104" t="s">
        <v>53</v>
      </c>
    </row>
    <row r="105" spans="1:13" x14ac:dyDescent="0.2">
      <c r="A105">
        <v>104</v>
      </c>
      <c r="B105">
        <v>2005</v>
      </c>
      <c r="C105">
        <v>34</v>
      </c>
      <c r="D105" t="s">
        <v>57</v>
      </c>
      <c r="E105" t="s">
        <v>57</v>
      </c>
      <c r="F105" t="s">
        <v>48</v>
      </c>
      <c r="G105" t="s">
        <v>58</v>
      </c>
      <c r="H105" t="s">
        <v>50</v>
      </c>
      <c r="I105" t="s">
        <v>56</v>
      </c>
      <c r="J105" t="s">
        <v>52</v>
      </c>
      <c r="K105">
        <v>68.748087733766894</v>
      </c>
      <c r="L105">
        <v>0</v>
      </c>
      <c r="M105" t="s">
        <v>53</v>
      </c>
    </row>
    <row r="106" spans="1:13" x14ac:dyDescent="0.2">
      <c r="A106">
        <v>105</v>
      </c>
      <c r="B106">
        <v>2008</v>
      </c>
      <c r="C106">
        <v>50</v>
      </c>
      <c r="D106" t="s">
        <v>47</v>
      </c>
      <c r="E106" t="s">
        <v>47</v>
      </c>
      <c r="F106" t="s">
        <v>48</v>
      </c>
      <c r="G106" t="s">
        <v>54</v>
      </c>
      <c r="H106" t="s">
        <v>55</v>
      </c>
      <c r="I106" t="s">
        <v>56</v>
      </c>
      <c r="J106" t="s">
        <v>59</v>
      </c>
      <c r="K106">
        <v>114.475713290347</v>
      </c>
      <c r="L106">
        <v>1</v>
      </c>
      <c r="M106" t="s">
        <v>53</v>
      </c>
    </row>
    <row r="107" spans="1:13" x14ac:dyDescent="0.2">
      <c r="A107">
        <v>106</v>
      </c>
      <c r="B107">
        <v>2006</v>
      </c>
      <c r="C107">
        <v>46</v>
      </c>
      <c r="D107" t="s">
        <v>61</v>
      </c>
      <c r="E107" t="s">
        <v>62</v>
      </c>
      <c r="F107" t="s">
        <v>48</v>
      </c>
      <c r="G107" t="s">
        <v>58</v>
      </c>
      <c r="H107" t="s">
        <v>50</v>
      </c>
      <c r="I107" t="s">
        <v>51</v>
      </c>
      <c r="J107" t="s">
        <v>59</v>
      </c>
      <c r="K107">
        <v>95.230712566981893</v>
      </c>
      <c r="L107">
        <v>0</v>
      </c>
      <c r="M107" t="s">
        <v>53</v>
      </c>
    </row>
    <row r="108" spans="1:13" x14ac:dyDescent="0.2">
      <c r="A108">
        <v>107</v>
      </c>
      <c r="B108">
        <v>2007</v>
      </c>
      <c r="C108">
        <v>41</v>
      </c>
      <c r="D108" t="s">
        <v>57</v>
      </c>
      <c r="E108" t="s">
        <v>57</v>
      </c>
      <c r="F108" t="s">
        <v>48</v>
      </c>
      <c r="G108" t="s">
        <v>49</v>
      </c>
      <c r="H108" t="s">
        <v>50</v>
      </c>
      <c r="I108" t="s">
        <v>56</v>
      </c>
      <c r="J108" t="s">
        <v>52</v>
      </c>
      <c r="K108">
        <v>87.981032785605393</v>
      </c>
      <c r="L108">
        <v>0</v>
      </c>
      <c r="M108" t="s">
        <v>53</v>
      </c>
    </row>
    <row r="109" spans="1:13" x14ac:dyDescent="0.2">
      <c r="A109">
        <v>108</v>
      </c>
      <c r="B109">
        <v>2003</v>
      </c>
      <c r="C109">
        <v>63</v>
      </c>
      <c r="D109" t="s">
        <v>61</v>
      </c>
      <c r="E109" t="s">
        <v>62</v>
      </c>
      <c r="F109" t="s">
        <v>65</v>
      </c>
      <c r="G109" t="s">
        <v>58</v>
      </c>
      <c r="H109" t="s">
        <v>50</v>
      </c>
      <c r="I109" t="s">
        <v>51</v>
      </c>
      <c r="J109" t="s">
        <v>59</v>
      </c>
      <c r="K109">
        <v>64.274397220632693</v>
      </c>
      <c r="L109">
        <v>0</v>
      </c>
      <c r="M109" t="s">
        <v>53</v>
      </c>
    </row>
    <row r="110" spans="1:13" x14ac:dyDescent="0.2">
      <c r="A110">
        <v>109</v>
      </c>
      <c r="B110">
        <v>2007</v>
      </c>
      <c r="C110">
        <v>38</v>
      </c>
      <c r="D110" t="s">
        <v>57</v>
      </c>
      <c r="E110" t="s">
        <v>57</v>
      </c>
      <c r="F110" t="s">
        <v>48</v>
      </c>
      <c r="G110" t="s">
        <v>58</v>
      </c>
      <c r="H110" t="s">
        <v>50</v>
      </c>
      <c r="I110" t="s">
        <v>51</v>
      </c>
      <c r="J110" t="s">
        <v>59</v>
      </c>
      <c r="K110">
        <v>128.680488220624</v>
      </c>
      <c r="L110">
        <v>1</v>
      </c>
      <c r="M110" t="s">
        <v>53</v>
      </c>
    </row>
    <row r="111" spans="1:13" x14ac:dyDescent="0.2">
      <c r="A111">
        <v>110</v>
      </c>
      <c r="B111">
        <v>2006</v>
      </c>
      <c r="C111">
        <v>35</v>
      </c>
      <c r="D111" t="s">
        <v>57</v>
      </c>
      <c r="E111" t="s">
        <v>57</v>
      </c>
      <c r="F111" t="s">
        <v>48</v>
      </c>
      <c r="G111" t="s">
        <v>58</v>
      </c>
      <c r="H111" t="s">
        <v>50</v>
      </c>
      <c r="I111" t="s">
        <v>56</v>
      </c>
      <c r="J111" t="s">
        <v>59</v>
      </c>
      <c r="K111">
        <v>114.475713290347</v>
      </c>
      <c r="L111">
        <v>1</v>
      </c>
      <c r="M111" t="s">
        <v>53</v>
      </c>
    </row>
    <row r="112" spans="1:13" x14ac:dyDescent="0.2">
      <c r="A112">
        <v>111</v>
      </c>
      <c r="B112">
        <v>2009</v>
      </c>
      <c r="C112">
        <v>29</v>
      </c>
      <c r="D112" t="s">
        <v>57</v>
      </c>
      <c r="E112" t="s">
        <v>57</v>
      </c>
      <c r="F112" t="s">
        <v>48</v>
      </c>
      <c r="G112" t="s">
        <v>54</v>
      </c>
      <c r="H112" t="s">
        <v>55</v>
      </c>
      <c r="I112" t="s">
        <v>51</v>
      </c>
      <c r="J112" t="s">
        <v>59</v>
      </c>
      <c r="K112">
        <v>112.6488963421</v>
      </c>
      <c r="L112">
        <v>1</v>
      </c>
      <c r="M112" t="s">
        <v>53</v>
      </c>
    </row>
    <row r="113" spans="1:13" x14ac:dyDescent="0.2">
      <c r="A113">
        <v>112</v>
      </c>
      <c r="B113">
        <v>2008</v>
      </c>
      <c r="C113">
        <v>66</v>
      </c>
      <c r="D113" t="s">
        <v>57</v>
      </c>
      <c r="E113" t="s">
        <v>57</v>
      </c>
      <c r="F113" t="s">
        <v>48</v>
      </c>
      <c r="G113" t="s">
        <v>49</v>
      </c>
      <c r="H113" t="s">
        <v>50</v>
      </c>
      <c r="I113" t="s">
        <v>56</v>
      </c>
      <c r="J113" t="s">
        <v>59</v>
      </c>
      <c r="K113">
        <v>81.283253284252694</v>
      </c>
      <c r="L113">
        <v>0</v>
      </c>
      <c r="M113" t="s">
        <v>53</v>
      </c>
    </row>
    <row r="114" spans="1:13" x14ac:dyDescent="0.2">
      <c r="A114">
        <v>113</v>
      </c>
      <c r="B114">
        <v>2004</v>
      </c>
      <c r="C114">
        <v>37</v>
      </c>
      <c r="D114" t="s">
        <v>57</v>
      </c>
      <c r="E114" t="s">
        <v>57</v>
      </c>
      <c r="F114" t="s">
        <v>48</v>
      </c>
      <c r="G114" t="s">
        <v>63</v>
      </c>
      <c r="H114" t="s">
        <v>55</v>
      </c>
      <c r="I114" t="s">
        <v>51</v>
      </c>
      <c r="J114" t="s">
        <v>59</v>
      </c>
      <c r="K114">
        <v>75.895484822810303</v>
      </c>
      <c r="L114">
        <v>0</v>
      </c>
      <c r="M114" t="s">
        <v>53</v>
      </c>
    </row>
    <row r="115" spans="1:13" x14ac:dyDescent="0.2">
      <c r="A115">
        <v>114</v>
      </c>
      <c r="B115">
        <v>2006</v>
      </c>
      <c r="C115">
        <v>39</v>
      </c>
      <c r="D115" t="s">
        <v>57</v>
      </c>
      <c r="E115" t="s">
        <v>57</v>
      </c>
      <c r="F115" t="s">
        <v>65</v>
      </c>
      <c r="G115" t="s">
        <v>63</v>
      </c>
      <c r="H115" t="s">
        <v>55</v>
      </c>
      <c r="I115" t="s">
        <v>56</v>
      </c>
      <c r="J115" t="s">
        <v>59</v>
      </c>
      <c r="K115">
        <v>112.136922992214</v>
      </c>
      <c r="L115">
        <v>1</v>
      </c>
      <c r="M115" t="s">
        <v>53</v>
      </c>
    </row>
    <row r="116" spans="1:13" x14ac:dyDescent="0.2">
      <c r="A116">
        <v>115</v>
      </c>
      <c r="B116">
        <v>2003</v>
      </c>
      <c r="C116">
        <v>42</v>
      </c>
      <c r="D116" t="s">
        <v>57</v>
      </c>
      <c r="E116" t="s">
        <v>57</v>
      </c>
      <c r="F116" t="s">
        <v>48</v>
      </c>
      <c r="G116" t="s">
        <v>63</v>
      </c>
      <c r="H116" t="s">
        <v>50</v>
      </c>
      <c r="I116" t="s">
        <v>56</v>
      </c>
      <c r="J116" t="s">
        <v>52</v>
      </c>
      <c r="K116">
        <v>85.3839403789827</v>
      </c>
      <c r="L116">
        <v>0</v>
      </c>
      <c r="M116" t="s">
        <v>53</v>
      </c>
    </row>
    <row r="117" spans="1:13" x14ac:dyDescent="0.2">
      <c r="A117">
        <v>116</v>
      </c>
      <c r="B117">
        <v>2007</v>
      </c>
      <c r="C117">
        <v>51</v>
      </c>
      <c r="D117" t="s">
        <v>61</v>
      </c>
      <c r="E117" t="s">
        <v>62</v>
      </c>
      <c r="F117" t="s">
        <v>48</v>
      </c>
      <c r="G117" t="s">
        <v>63</v>
      </c>
      <c r="H117" t="s">
        <v>50</v>
      </c>
      <c r="I117" t="s">
        <v>56</v>
      </c>
      <c r="J117" t="s">
        <v>59</v>
      </c>
      <c r="K117">
        <v>94.072714745700495</v>
      </c>
      <c r="L117">
        <v>0</v>
      </c>
      <c r="M117" t="s">
        <v>53</v>
      </c>
    </row>
    <row r="118" spans="1:13" x14ac:dyDescent="0.2">
      <c r="A118">
        <v>117</v>
      </c>
      <c r="B118">
        <v>2009</v>
      </c>
      <c r="C118">
        <v>55</v>
      </c>
      <c r="D118" t="s">
        <v>57</v>
      </c>
      <c r="E118" t="s">
        <v>57</v>
      </c>
      <c r="F118" t="s">
        <v>60</v>
      </c>
      <c r="G118" t="s">
        <v>66</v>
      </c>
      <c r="H118" t="s">
        <v>50</v>
      </c>
      <c r="I118" t="s">
        <v>51</v>
      </c>
      <c r="J118" t="s">
        <v>59</v>
      </c>
      <c r="K118">
        <v>114.475713290347</v>
      </c>
      <c r="L118">
        <v>1</v>
      </c>
      <c r="M118" t="s">
        <v>53</v>
      </c>
    </row>
    <row r="119" spans="1:13" x14ac:dyDescent="0.2">
      <c r="A119">
        <v>118</v>
      </c>
      <c r="B119">
        <v>2006</v>
      </c>
      <c r="C119">
        <v>51</v>
      </c>
      <c r="D119" t="s">
        <v>57</v>
      </c>
      <c r="E119" t="s">
        <v>57</v>
      </c>
      <c r="F119" t="s">
        <v>48</v>
      </c>
      <c r="G119" t="s">
        <v>66</v>
      </c>
      <c r="H119" t="s">
        <v>50</v>
      </c>
      <c r="I119" t="s">
        <v>56</v>
      </c>
      <c r="J119" t="s">
        <v>59</v>
      </c>
      <c r="K119">
        <v>176.98965048987699</v>
      </c>
      <c r="L119">
        <v>1</v>
      </c>
      <c r="M119" t="s">
        <v>53</v>
      </c>
    </row>
    <row r="120" spans="1:13" x14ac:dyDescent="0.2">
      <c r="A120">
        <v>119</v>
      </c>
      <c r="B120">
        <v>2008</v>
      </c>
      <c r="C120">
        <v>38</v>
      </c>
      <c r="D120" t="s">
        <v>57</v>
      </c>
      <c r="E120" t="s">
        <v>57</v>
      </c>
      <c r="F120" t="s">
        <v>48</v>
      </c>
      <c r="G120" t="s">
        <v>66</v>
      </c>
      <c r="H120" t="s">
        <v>50</v>
      </c>
      <c r="I120" t="s">
        <v>51</v>
      </c>
      <c r="J120" t="s">
        <v>59</v>
      </c>
      <c r="K120">
        <v>276.778413321176</v>
      </c>
      <c r="L120">
        <v>1</v>
      </c>
      <c r="M120" t="s">
        <v>53</v>
      </c>
    </row>
    <row r="121" spans="1:13" x14ac:dyDescent="0.2">
      <c r="A121">
        <v>120</v>
      </c>
      <c r="B121">
        <v>2005</v>
      </c>
      <c r="C121">
        <v>49</v>
      </c>
      <c r="D121" t="s">
        <v>57</v>
      </c>
      <c r="E121" t="s">
        <v>57</v>
      </c>
      <c r="F121" t="s">
        <v>48</v>
      </c>
      <c r="G121" t="s">
        <v>63</v>
      </c>
      <c r="H121" t="s">
        <v>55</v>
      </c>
      <c r="I121" t="s">
        <v>56</v>
      </c>
      <c r="J121" t="s">
        <v>59</v>
      </c>
      <c r="K121">
        <v>101.82435207568</v>
      </c>
      <c r="L121">
        <v>1</v>
      </c>
      <c r="M121" t="s">
        <v>53</v>
      </c>
    </row>
    <row r="122" spans="1:13" x14ac:dyDescent="0.2">
      <c r="A122">
        <v>121</v>
      </c>
      <c r="B122">
        <v>2006</v>
      </c>
      <c r="C122">
        <v>42</v>
      </c>
      <c r="D122" t="s">
        <v>57</v>
      </c>
      <c r="E122" t="s">
        <v>57</v>
      </c>
      <c r="F122" t="s">
        <v>48</v>
      </c>
      <c r="G122" t="s">
        <v>63</v>
      </c>
      <c r="H122" t="s">
        <v>55</v>
      </c>
      <c r="I122" t="s">
        <v>56</v>
      </c>
      <c r="J122" t="s">
        <v>52</v>
      </c>
      <c r="K122">
        <v>91.699226111704206</v>
      </c>
      <c r="L122">
        <v>0</v>
      </c>
      <c r="M122" t="s">
        <v>53</v>
      </c>
    </row>
    <row r="123" spans="1:13" x14ac:dyDescent="0.2">
      <c r="A123">
        <v>122</v>
      </c>
      <c r="B123">
        <v>2009</v>
      </c>
      <c r="C123">
        <v>43</v>
      </c>
      <c r="D123" t="s">
        <v>68</v>
      </c>
      <c r="E123" t="s">
        <v>62</v>
      </c>
      <c r="F123" t="s">
        <v>48</v>
      </c>
      <c r="G123" t="s">
        <v>49</v>
      </c>
      <c r="H123" t="s">
        <v>55</v>
      </c>
      <c r="I123" t="s">
        <v>51</v>
      </c>
      <c r="J123" t="s">
        <v>52</v>
      </c>
      <c r="K123">
        <v>86.695154828940204</v>
      </c>
      <c r="L123">
        <v>0</v>
      </c>
      <c r="M123" t="s">
        <v>53</v>
      </c>
    </row>
    <row r="124" spans="1:13" x14ac:dyDescent="0.2">
      <c r="A124">
        <v>123</v>
      </c>
      <c r="B124">
        <v>2006</v>
      </c>
      <c r="C124">
        <v>38</v>
      </c>
      <c r="D124" t="s">
        <v>57</v>
      </c>
      <c r="E124" t="s">
        <v>57</v>
      </c>
      <c r="F124" t="s">
        <v>48</v>
      </c>
      <c r="G124" t="s">
        <v>54</v>
      </c>
      <c r="H124" t="s">
        <v>55</v>
      </c>
      <c r="I124" t="s">
        <v>56</v>
      </c>
      <c r="J124" t="s">
        <v>59</v>
      </c>
      <c r="K124">
        <v>162.94646074466399</v>
      </c>
      <c r="L124">
        <v>1</v>
      </c>
      <c r="M124" t="s">
        <v>53</v>
      </c>
    </row>
    <row r="125" spans="1:13" x14ac:dyDescent="0.2">
      <c r="A125">
        <v>124</v>
      </c>
      <c r="B125">
        <v>2008</v>
      </c>
      <c r="C125">
        <v>59</v>
      </c>
      <c r="D125" t="s">
        <v>57</v>
      </c>
      <c r="E125" t="s">
        <v>57</v>
      </c>
      <c r="F125" t="s">
        <v>60</v>
      </c>
      <c r="G125" t="s">
        <v>63</v>
      </c>
      <c r="H125" t="s">
        <v>50</v>
      </c>
      <c r="I125" t="s">
        <v>56</v>
      </c>
      <c r="J125" t="s">
        <v>59</v>
      </c>
      <c r="K125">
        <v>139.213788138664</v>
      </c>
      <c r="L125">
        <v>1</v>
      </c>
      <c r="M125" t="s">
        <v>53</v>
      </c>
    </row>
    <row r="126" spans="1:13" x14ac:dyDescent="0.2">
      <c r="A126">
        <v>125</v>
      </c>
      <c r="B126">
        <v>2009</v>
      </c>
      <c r="C126">
        <v>57</v>
      </c>
      <c r="D126" t="s">
        <v>57</v>
      </c>
      <c r="E126" t="s">
        <v>57</v>
      </c>
      <c r="F126" t="s">
        <v>48</v>
      </c>
      <c r="G126" t="s">
        <v>58</v>
      </c>
      <c r="H126" t="s">
        <v>50</v>
      </c>
      <c r="I126" t="s">
        <v>51</v>
      </c>
      <c r="J126" t="s">
        <v>59</v>
      </c>
      <c r="K126">
        <v>95.230712566981893</v>
      </c>
      <c r="L126">
        <v>0</v>
      </c>
      <c r="M126" t="s">
        <v>53</v>
      </c>
    </row>
    <row r="127" spans="1:13" x14ac:dyDescent="0.2">
      <c r="A127">
        <v>126</v>
      </c>
      <c r="B127">
        <v>2005</v>
      </c>
      <c r="C127">
        <v>25</v>
      </c>
      <c r="D127" t="s">
        <v>47</v>
      </c>
      <c r="E127" t="s">
        <v>47</v>
      </c>
      <c r="F127" t="s">
        <v>48</v>
      </c>
      <c r="G127" t="s">
        <v>63</v>
      </c>
      <c r="H127" t="s">
        <v>50</v>
      </c>
      <c r="I127" t="s">
        <v>51</v>
      </c>
      <c r="J127" t="s">
        <v>52</v>
      </c>
      <c r="K127">
        <v>66.961644321735903</v>
      </c>
      <c r="L127">
        <v>0</v>
      </c>
      <c r="M127" t="s">
        <v>53</v>
      </c>
    </row>
    <row r="128" spans="1:13" x14ac:dyDescent="0.2">
      <c r="A128">
        <v>127</v>
      </c>
      <c r="B128">
        <v>2004</v>
      </c>
      <c r="C128">
        <v>49</v>
      </c>
      <c r="D128" t="s">
        <v>57</v>
      </c>
      <c r="E128" t="s">
        <v>57</v>
      </c>
      <c r="F128" t="s">
        <v>48</v>
      </c>
      <c r="G128" t="s">
        <v>54</v>
      </c>
      <c r="H128" t="s">
        <v>50</v>
      </c>
      <c r="I128" t="s">
        <v>51</v>
      </c>
      <c r="J128" t="s">
        <v>59</v>
      </c>
      <c r="K128">
        <v>131.194323611687</v>
      </c>
      <c r="L128">
        <v>1</v>
      </c>
      <c r="M128" t="s">
        <v>53</v>
      </c>
    </row>
    <row r="129" spans="1:13" x14ac:dyDescent="0.2">
      <c r="A129">
        <v>128</v>
      </c>
      <c r="B129">
        <v>2004</v>
      </c>
      <c r="C129">
        <v>41</v>
      </c>
      <c r="D129" t="s">
        <v>57</v>
      </c>
      <c r="E129" t="s">
        <v>57</v>
      </c>
      <c r="F129" t="s">
        <v>48</v>
      </c>
      <c r="G129" t="s">
        <v>49</v>
      </c>
      <c r="H129" t="s">
        <v>50</v>
      </c>
      <c r="I129" t="s">
        <v>56</v>
      </c>
      <c r="J129" t="s">
        <v>59</v>
      </c>
      <c r="K129">
        <v>90.481913356640106</v>
      </c>
      <c r="L129">
        <v>0</v>
      </c>
      <c r="M129" t="s">
        <v>53</v>
      </c>
    </row>
    <row r="130" spans="1:13" x14ac:dyDescent="0.2">
      <c r="A130">
        <v>129</v>
      </c>
      <c r="B130">
        <v>2009</v>
      </c>
      <c r="C130">
        <v>38</v>
      </c>
      <c r="D130" t="s">
        <v>57</v>
      </c>
      <c r="E130" t="s">
        <v>57</v>
      </c>
      <c r="F130" t="s">
        <v>48</v>
      </c>
      <c r="G130" t="s">
        <v>63</v>
      </c>
      <c r="H130" t="s">
        <v>50</v>
      </c>
      <c r="I130" t="s">
        <v>56</v>
      </c>
      <c r="J130" t="s">
        <v>59</v>
      </c>
      <c r="K130">
        <v>114.475713290347</v>
      </c>
      <c r="L130">
        <v>1</v>
      </c>
      <c r="M130" t="s">
        <v>53</v>
      </c>
    </row>
    <row r="131" spans="1:13" x14ac:dyDescent="0.2">
      <c r="A131">
        <v>130</v>
      </c>
      <c r="B131">
        <v>2003</v>
      </c>
      <c r="C131">
        <v>61</v>
      </c>
      <c r="D131" t="s">
        <v>57</v>
      </c>
      <c r="E131" t="s">
        <v>57</v>
      </c>
      <c r="F131" t="s">
        <v>48</v>
      </c>
      <c r="G131" t="s">
        <v>66</v>
      </c>
      <c r="H131" t="s">
        <v>50</v>
      </c>
      <c r="I131" t="s">
        <v>56</v>
      </c>
      <c r="J131" t="s">
        <v>59</v>
      </c>
      <c r="K131">
        <v>79.128084495629693</v>
      </c>
      <c r="L131">
        <v>0</v>
      </c>
      <c r="M131" t="s">
        <v>53</v>
      </c>
    </row>
    <row r="132" spans="1:13" x14ac:dyDescent="0.2">
      <c r="A132">
        <v>131</v>
      </c>
      <c r="B132">
        <v>2007</v>
      </c>
      <c r="C132">
        <v>49</v>
      </c>
      <c r="D132" t="s">
        <v>61</v>
      </c>
      <c r="E132" t="s">
        <v>62</v>
      </c>
      <c r="F132" t="s">
        <v>48</v>
      </c>
      <c r="G132" t="s">
        <v>63</v>
      </c>
      <c r="H132" t="s">
        <v>50</v>
      </c>
      <c r="I132" t="s">
        <v>51</v>
      </c>
      <c r="J132" t="s">
        <v>59</v>
      </c>
      <c r="K132">
        <v>104.59173792491799</v>
      </c>
      <c r="L132">
        <v>1</v>
      </c>
      <c r="M132" t="s">
        <v>53</v>
      </c>
    </row>
    <row r="133" spans="1:13" x14ac:dyDescent="0.2">
      <c r="A133">
        <v>132</v>
      </c>
      <c r="B133">
        <v>2008</v>
      </c>
      <c r="C133">
        <v>52</v>
      </c>
      <c r="D133" t="s">
        <v>61</v>
      </c>
      <c r="E133" t="s">
        <v>62</v>
      </c>
      <c r="F133" t="s">
        <v>48</v>
      </c>
      <c r="G133" t="s">
        <v>66</v>
      </c>
      <c r="H133" t="s">
        <v>55</v>
      </c>
      <c r="I133" t="s">
        <v>56</v>
      </c>
      <c r="J133" t="s">
        <v>59</v>
      </c>
      <c r="K133">
        <v>132.48782112612301</v>
      </c>
      <c r="L133">
        <v>1</v>
      </c>
      <c r="M133" t="s">
        <v>53</v>
      </c>
    </row>
    <row r="134" spans="1:13" x14ac:dyDescent="0.2">
      <c r="A134">
        <v>133</v>
      </c>
      <c r="B134">
        <v>2007</v>
      </c>
      <c r="C134">
        <v>43</v>
      </c>
      <c r="D134" t="s">
        <v>57</v>
      </c>
      <c r="E134" t="s">
        <v>57</v>
      </c>
      <c r="F134" t="s">
        <v>48</v>
      </c>
      <c r="G134" t="s">
        <v>66</v>
      </c>
      <c r="H134" t="s">
        <v>55</v>
      </c>
      <c r="I134" t="s">
        <v>56</v>
      </c>
      <c r="J134" t="s">
        <v>59</v>
      </c>
      <c r="K134">
        <v>141.77517233318</v>
      </c>
      <c r="L134">
        <v>1</v>
      </c>
      <c r="M134" t="s">
        <v>53</v>
      </c>
    </row>
    <row r="135" spans="1:13" x14ac:dyDescent="0.2">
      <c r="A135">
        <v>134</v>
      </c>
      <c r="B135">
        <v>2008</v>
      </c>
      <c r="C135">
        <v>60</v>
      </c>
      <c r="D135" t="s">
        <v>57</v>
      </c>
      <c r="E135" t="s">
        <v>57</v>
      </c>
      <c r="F135" t="s">
        <v>48</v>
      </c>
      <c r="G135" t="s">
        <v>54</v>
      </c>
      <c r="H135" t="s">
        <v>55</v>
      </c>
      <c r="I135" t="s">
        <v>56</v>
      </c>
      <c r="J135" t="s">
        <v>59</v>
      </c>
      <c r="K135">
        <v>123.089699847943</v>
      </c>
      <c r="L135">
        <v>1</v>
      </c>
      <c r="M135" t="s">
        <v>53</v>
      </c>
    </row>
    <row r="136" spans="1:13" x14ac:dyDescent="0.2">
      <c r="A136">
        <v>135</v>
      </c>
      <c r="B136">
        <v>2005</v>
      </c>
      <c r="C136">
        <v>46</v>
      </c>
      <c r="D136" t="s">
        <v>57</v>
      </c>
      <c r="E136" t="s">
        <v>57</v>
      </c>
      <c r="F136" t="s">
        <v>60</v>
      </c>
      <c r="G136" t="s">
        <v>66</v>
      </c>
      <c r="H136" t="s">
        <v>55</v>
      </c>
      <c r="I136" t="s">
        <v>56</v>
      </c>
      <c r="J136" t="s">
        <v>59</v>
      </c>
      <c r="K136">
        <v>134.705375118879</v>
      </c>
      <c r="L136">
        <v>1</v>
      </c>
      <c r="M136" t="s">
        <v>53</v>
      </c>
    </row>
    <row r="137" spans="1:13" x14ac:dyDescent="0.2">
      <c r="A137">
        <v>136</v>
      </c>
      <c r="B137">
        <v>2004</v>
      </c>
      <c r="C137">
        <v>21</v>
      </c>
      <c r="D137" t="s">
        <v>47</v>
      </c>
      <c r="E137" t="s">
        <v>47</v>
      </c>
      <c r="F137" t="s">
        <v>48</v>
      </c>
      <c r="G137" t="s">
        <v>63</v>
      </c>
      <c r="H137" t="s">
        <v>55</v>
      </c>
      <c r="I137" t="s">
        <v>56</v>
      </c>
      <c r="J137" t="s">
        <v>52</v>
      </c>
      <c r="K137">
        <v>55.767390508492298</v>
      </c>
      <c r="L137">
        <v>0</v>
      </c>
      <c r="M137" t="s">
        <v>53</v>
      </c>
    </row>
    <row r="138" spans="1:13" x14ac:dyDescent="0.2">
      <c r="A138">
        <v>137</v>
      </c>
      <c r="B138">
        <v>2009</v>
      </c>
      <c r="C138">
        <v>61</v>
      </c>
      <c r="D138" t="s">
        <v>57</v>
      </c>
      <c r="E138" t="s">
        <v>57</v>
      </c>
      <c r="F138" t="s">
        <v>48</v>
      </c>
      <c r="G138" t="s">
        <v>54</v>
      </c>
      <c r="H138" t="s">
        <v>50</v>
      </c>
      <c r="I138" t="s">
        <v>56</v>
      </c>
      <c r="J138" t="s">
        <v>59</v>
      </c>
      <c r="K138">
        <v>106.921814091211</v>
      </c>
      <c r="L138">
        <v>1</v>
      </c>
      <c r="M138" t="s">
        <v>53</v>
      </c>
    </row>
    <row r="139" spans="1:13" x14ac:dyDescent="0.2">
      <c r="A139">
        <v>138</v>
      </c>
      <c r="B139">
        <v>2007</v>
      </c>
      <c r="C139">
        <v>32</v>
      </c>
      <c r="D139" t="s">
        <v>57</v>
      </c>
      <c r="E139" t="s">
        <v>57</v>
      </c>
      <c r="F139" t="s">
        <v>65</v>
      </c>
      <c r="G139" t="s">
        <v>66</v>
      </c>
      <c r="H139" t="s">
        <v>55</v>
      </c>
      <c r="I139" t="s">
        <v>56</v>
      </c>
      <c r="J139" t="s">
        <v>59</v>
      </c>
      <c r="K139">
        <v>118.884359339886</v>
      </c>
      <c r="L139">
        <v>1</v>
      </c>
      <c r="M139" t="s">
        <v>53</v>
      </c>
    </row>
    <row r="140" spans="1:13" x14ac:dyDescent="0.2">
      <c r="A140">
        <v>139</v>
      </c>
      <c r="B140">
        <v>2004</v>
      </c>
      <c r="C140">
        <v>58</v>
      </c>
      <c r="D140" t="s">
        <v>57</v>
      </c>
      <c r="E140" t="s">
        <v>57</v>
      </c>
      <c r="F140" t="s">
        <v>48</v>
      </c>
      <c r="G140" t="s">
        <v>63</v>
      </c>
      <c r="H140" t="s">
        <v>55</v>
      </c>
      <c r="I140" t="s">
        <v>51</v>
      </c>
      <c r="J140" t="s">
        <v>59</v>
      </c>
      <c r="K140">
        <v>87.981032785605393</v>
      </c>
      <c r="L140">
        <v>0</v>
      </c>
      <c r="M140" t="s">
        <v>53</v>
      </c>
    </row>
    <row r="141" spans="1:13" x14ac:dyDescent="0.2">
      <c r="A141">
        <v>140</v>
      </c>
      <c r="B141">
        <v>2003</v>
      </c>
      <c r="C141">
        <v>35</v>
      </c>
      <c r="D141" t="s">
        <v>47</v>
      </c>
      <c r="E141" t="s">
        <v>47</v>
      </c>
      <c r="F141" t="s">
        <v>48</v>
      </c>
      <c r="G141" t="s">
        <v>63</v>
      </c>
      <c r="H141" t="s">
        <v>55</v>
      </c>
      <c r="I141" t="s">
        <v>56</v>
      </c>
      <c r="J141" t="s">
        <v>59</v>
      </c>
      <c r="K141">
        <v>88.929606636791306</v>
      </c>
      <c r="L141">
        <v>0</v>
      </c>
      <c r="M141" t="s">
        <v>53</v>
      </c>
    </row>
    <row r="142" spans="1:13" x14ac:dyDescent="0.2">
      <c r="A142">
        <v>141</v>
      </c>
      <c r="B142">
        <v>2004</v>
      </c>
      <c r="C142">
        <v>26</v>
      </c>
      <c r="D142" t="s">
        <v>47</v>
      </c>
      <c r="E142" t="s">
        <v>47</v>
      </c>
      <c r="F142" t="s">
        <v>65</v>
      </c>
      <c r="G142" t="s">
        <v>63</v>
      </c>
      <c r="H142" t="s">
        <v>55</v>
      </c>
      <c r="I142" t="s">
        <v>56</v>
      </c>
      <c r="J142" t="s">
        <v>59</v>
      </c>
      <c r="K142">
        <v>81.283253284252694</v>
      </c>
      <c r="L142">
        <v>0</v>
      </c>
      <c r="M142" t="s">
        <v>53</v>
      </c>
    </row>
    <row r="143" spans="1:13" x14ac:dyDescent="0.2">
      <c r="A143">
        <v>142</v>
      </c>
      <c r="B143">
        <v>2006</v>
      </c>
      <c r="C143">
        <v>32</v>
      </c>
      <c r="D143" t="s">
        <v>47</v>
      </c>
      <c r="E143" t="s">
        <v>47</v>
      </c>
      <c r="F143" t="s">
        <v>65</v>
      </c>
      <c r="G143" t="s">
        <v>63</v>
      </c>
      <c r="H143" t="s">
        <v>50</v>
      </c>
      <c r="I143" t="s">
        <v>56</v>
      </c>
      <c r="J143" t="s">
        <v>52</v>
      </c>
      <c r="K143">
        <v>94.072714745700495</v>
      </c>
      <c r="L143">
        <v>0</v>
      </c>
      <c r="M143" t="s">
        <v>53</v>
      </c>
    </row>
    <row r="144" spans="1:13" x14ac:dyDescent="0.2">
      <c r="A144">
        <v>143</v>
      </c>
      <c r="B144">
        <v>2003</v>
      </c>
      <c r="C144">
        <v>37</v>
      </c>
      <c r="D144" t="s">
        <v>57</v>
      </c>
      <c r="E144" t="s">
        <v>57</v>
      </c>
      <c r="F144" t="s">
        <v>48</v>
      </c>
      <c r="G144" t="s">
        <v>63</v>
      </c>
      <c r="H144" t="s">
        <v>55</v>
      </c>
      <c r="I144" t="s">
        <v>56</v>
      </c>
      <c r="J144" t="s">
        <v>59</v>
      </c>
      <c r="K144">
        <v>106.921814091211</v>
      </c>
      <c r="L144">
        <v>1</v>
      </c>
      <c r="M144" t="s">
        <v>53</v>
      </c>
    </row>
    <row r="145" spans="1:13" x14ac:dyDescent="0.2">
      <c r="A145">
        <v>144</v>
      </c>
      <c r="B145">
        <v>2007</v>
      </c>
      <c r="C145">
        <v>22</v>
      </c>
      <c r="D145" t="s">
        <v>47</v>
      </c>
      <c r="E145" t="s">
        <v>47</v>
      </c>
      <c r="F145" t="s">
        <v>60</v>
      </c>
      <c r="G145" t="s">
        <v>63</v>
      </c>
      <c r="H145" t="s">
        <v>50</v>
      </c>
      <c r="I145" t="s">
        <v>51</v>
      </c>
      <c r="J145" t="s">
        <v>52</v>
      </c>
      <c r="K145">
        <v>59.097064081589103</v>
      </c>
      <c r="L145">
        <v>0</v>
      </c>
      <c r="M145" t="s">
        <v>53</v>
      </c>
    </row>
    <row r="146" spans="1:13" x14ac:dyDescent="0.2">
      <c r="A146">
        <v>145</v>
      </c>
      <c r="B146">
        <v>2005</v>
      </c>
      <c r="C146">
        <v>51</v>
      </c>
      <c r="D146" t="s">
        <v>47</v>
      </c>
      <c r="E146" t="s">
        <v>47</v>
      </c>
      <c r="F146" t="s">
        <v>48</v>
      </c>
      <c r="G146" t="s">
        <v>63</v>
      </c>
      <c r="H146" t="s">
        <v>50</v>
      </c>
      <c r="I146" t="s">
        <v>51</v>
      </c>
      <c r="J146" t="s">
        <v>52</v>
      </c>
      <c r="K146">
        <v>65.110853715344703</v>
      </c>
      <c r="L146">
        <v>0</v>
      </c>
      <c r="M146" t="s">
        <v>53</v>
      </c>
    </row>
    <row r="147" spans="1:13" x14ac:dyDescent="0.2">
      <c r="A147">
        <v>146</v>
      </c>
      <c r="B147">
        <v>2004</v>
      </c>
      <c r="C147">
        <v>44</v>
      </c>
      <c r="D147" t="s">
        <v>61</v>
      </c>
      <c r="E147" t="s">
        <v>62</v>
      </c>
      <c r="F147" t="s">
        <v>48</v>
      </c>
      <c r="G147" t="s">
        <v>66</v>
      </c>
      <c r="H147" t="s">
        <v>55</v>
      </c>
      <c r="I147" t="s">
        <v>51</v>
      </c>
      <c r="J147" t="s">
        <v>59</v>
      </c>
      <c r="K147">
        <v>120.589436530402</v>
      </c>
      <c r="L147">
        <v>1</v>
      </c>
      <c r="M147" t="s">
        <v>53</v>
      </c>
    </row>
    <row r="148" spans="1:13" x14ac:dyDescent="0.2">
      <c r="A148">
        <v>147</v>
      </c>
      <c r="B148">
        <v>2005</v>
      </c>
      <c r="C148">
        <v>35</v>
      </c>
      <c r="D148" t="s">
        <v>57</v>
      </c>
      <c r="E148" t="s">
        <v>57</v>
      </c>
      <c r="F148" t="s">
        <v>60</v>
      </c>
      <c r="G148" t="s">
        <v>66</v>
      </c>
      <c r="H148" t="s">
        <v>50</v>
      </c>
      <c r="I148" t="s">
        <v>56</v>
      </c>
      <c r="J148" t="s">
        <v>59</v>
      </c>
      <c r="K148">
        <v>157.700527725737</v>
      </c>
      <c r="L148">
        <v>1</v>
      </c>
      <c r="M148" t="s">
        <v>53</v>
      </c>
    </row>
    <row r="149" spans="1:13" x14ac:dyDescent="0.2">
      <c r="A149">
        <v>148</v>
      </c>
      <c r="B149">
        <v>2004</v>
      </c>
      <c r="C149">
        <v>60</v>
      </c>
      <c r="D149" t="s">
        <v>57</v>
      </c>
      <c r="E149" t="s">
        <v>57</v>
      </c>
      <c r="F149" t="s">
        <v>48</v>
      </c>
      <c r="G149" t="s">
        <v>63</v>
      </c>
      <c r="H149" t="s">
        <v>55</v>
      </c>
      <c r="I149" t="s">
        <v>56</v>
      </c>
      <c r="J149" t="s">
        <v>59</v>
      </c>
      <c r="K149">
        <v>129.45364457662501</v>
      </c>
      <c r="L149">
        <v>1</v>
      </c>
      <c r="M149" t="s">
        <v>53</v>
      </c>
    </row>
    <row r="150" spans="1:13" x14ac:dyDescent="0.2">
      <c r="A150">
        <v>149</v>
      </c>
      <c r="B150">
        <v>2007</v>
      </c>
      <c r="C150">
        <v>40</v>
      </c>
      <c r="D150" t="s">
        <v>57</v>
      </c>
      <c r="E150" t="s">
        <v>57</v>
      </c>
      <c r="F150" t="s">
        <v>48</v>
      </c>
      <c r="G150" t="s">
        <v>54</v>
      </c>
      <c r="H150" t="s">
        <v>55</v>
      </c>
      <c r="I150" t="s">
        <v>56</v>
      </c>
      <c r="J150" t="s">
        <v>59</v>
      </c>
      <c r="K150">
        <v>176.98965048987699</v>
      </c>
      <c r="L150">
        <v>1</v>
      </c>
      <c r="M150" t="s">
        <v>53</v>
      </c>
    </row>
    <row r="151" spans="1:13" x14ac:dyDescent="0.2">
      <c r="A151">
        <v>150</v>
      </c>
      <c r="B151">
        <v>2004</v>
      </c>
      <c r="C151">
        <v>35</v>
      </c>
      <c r="D151" t="s">
        <v>47</v>
      </c>
      <c r="E151" t="s">
        <v>47</v>
      </c>
      <c r="F151" t="s">
        <v>48</v>
      </c>
      <c r="G151" t="s">
        <v>49</v>
      </c>
      <c r="H151" t="s">
        <v>55</v>
      </c>
      <c r="I151" t="s">
        <v>56</v>
      </c>
      <c r="J151" t="s">
        <v>52</v>
      </c>
      <c r="K151">
        <v>59.097064081589103</v>
      </c>
      <c r="L151">
        <v>0</v>
      </c>
      <c r="M151" t="s">
        <v>53</v>
      </c>
    </row>
    <row r="152" spans="1:13" x14ac:dyDescent="0.2">
      <c r="A152">
        <v>151</v>
      </c>
      <c r="B152">
        <v>2007</v>
      </c>
      <c r="C152">
        <v>35</v>
      </c>
      <c r="D152" t="s">
        <v>57</v>
      </c>
      <c r="E152" t="s">
        <v>57</v>
      </c>
      <c r="F152" t="s">
        <v>48</v>
      </c>
      <c r="G152" t="s">
        <v>66</v>
      </c>
      <c r="H152" t="s">
        <v>55</v>
      </c>
      <c r="I152" t="s">
        <v>56</v>
      </c>
      <c r="J152" t="s">
        <v>52</v>
      </c>
      <c r="K152">
        <v>94.072714745700495</v>
      </c>
      <c r="L152">
        <v>0</v>
      </c>
      <c r="M152" t="s">
        <v>53</v>
      </c>
    </row>
    <row r="153" spans="1:13" x14ac:dyDescent="0.2">
      <c r="A153">
        <v>152</v>
      </c>
      <c r="B153">
        <v>2008</v>
      </c>
      <c r="C153">
        <v>47</v>
      </c>
      <c r="D153" t="s">
        <v>57</v>
      </c>
      <c r="E153" t="s">
        <v>57</v>
      </c>
      <c r="F153" t="s">
        <v>48</v>
      </c>
      <c r="G153" t="s">
        <v>63</v>
      </c>
      <c r="H153" t="s">
        <v>50</v>
      </c>
      <c r="I153" t="s">
        <v>56</v>
      </c>
      <c r="J153" t="s">
        <v>59</v>
      </c>
      <c r="K153">
        <v>134.705375118879</v>
      </c>
      <c r="L153">
        <v>1</v>
      </c>
      <c r="M153" t="s">
        <v>53</v>
      </c>
    </row>
    <row r="154" spans="1:13" x14ac:dyDescent="0.2">
      <c r="A154">
        <v>153</v>
      </c>
      <c r="B154">
        <v>2003</v>
      </c>
      <c r="C154">
        <v>43</v>
      </c>
      <c r="D154" t="s">
        <v>47</v>
      </c>
      <c r="E154" t="s">
        <v>47</v>
      </c>
      <c r="F154" t="s">
        <v>48</v>
      </c>
      <c r="G154" t="s">
        <v>54</v>
      </c>
      <c r="H154" t="s">
        <v>55</v>
      </c>
      <c r="I154" t="s">
        <v>56</v>
      </c>
      <c r="J154" t="s">
        <v>59</v>
      </c>
      <c r="K154">
        <v>81.283253284252694</v>
      </c>
      <c r="L154">
        <v>0</v>
      </c>
      <c r="M154" t="s">
        <v>53</v>
      </c>
    </row>
    <row r="155" spans="1:13" x14ac:dyDescent="0.2">
      <c r="A155">
        <v>154</v>
      </c>
      <c r="B155">
        <v>2003</v>
      </c>
      <c r="C155">
        <v>33</v>
      </c>
      <c r="D155" t="s">
        <v>57</v>
      </c>
      <c r="E155" t="s">
        <v>57</v>
      </c>
      <c r="F155" t="s">
        <v>48</v>
      </c>
      <c r="G155" t="s">
        <v>49</v>
      </c>
      <c r="H155" t="s">
        <v>50</v>
      </c>
      <c r="I155" t="s">
        <v>51</v>
      </c>
      <c r="J155" t="s">
        <v>59</v>
      </c>
      <c r="K155">
        <v>81.283253284252694</v>
      </c>
      <c r="L155">
        <v>0</v>
      </c>
      <c r="M155" t="s">
        <v>53</v>
      </c>
    </row>
    <row r="156" spans="1:13" x14ac:dyDescent="0.2">
      <c r="A156">
        <v>155</v>
      </c>
      <c r="B156">
        <v>2003</v>
      </c>
      <c r="C156">
        <v>60</v>
      </c>
      <c r="D156" t="s">
        <v>61</v>
      </c>
      <c r="E156" t="s">
        <v>62</v>
      </c>
      <c r="F156" t="s">
        <v>48</v>
      </c>
      <c r="G156" t="s">
        <v>66</v>
      </c>
      <c r="H156" t="s">
        <v>50</v>
      </c>
      <c r="I156" t="s">
        <v>56</v>
      </c>
      <c r="J156" t="s">
        <v>59</v>
      </c>
      <c r="K156">
        <v>153.45751530896101</v>
      </c>
      <c r="L156">
        <v>1</v>
      </c>
      <c r="M156" t="s">
        <v>53</v>
      </c>
    </row>
    <row r="157" spans="1:13" x14ac:dyDescent="0.2">
      <c r="A157">
        <v>156</v>
      </c>
      <c r="B157">
        <v>2008</v>
      </c>
      <c r="C157">
        <v>38</v>
      </c>
      <c r="D157" t="s">
        <v>57</v>
      </c>
      <c r="E157" t="s">
        <v>57</v>
      </c>
      <c r="F157" t="s">
        <v>60</v>
      </c>
      <c r="G157" t="s">
        <v>66</v>
      </c>
      <c r="H157" t="s">
        <v>50</v>
      </c>
      <c r="I157" t="s">
        <v>56</v>
      </c>
      <c r="J157" t="s">
        <v>59</v>
      </c>
      <c r="K157">
        <v>136.87636763518401</v>
      </c>
      <c r="L157">
        <v>1</v>
      </c>
      <c r="M157" t="s">
        <v>53</v>
      </c>
    </row>
    <row r="158" spans="1:13" x14ac:dyDescent="0.2">
      <c r="A158">
        <v>157</v>
      </c>
      <c r="B158">
        <v>2005</v>
      </c>
      <c r="C158">
        <v>53</v>
      </c>
      <c r="D158" t="s">
        <v>57</v>
      </c>
      <c r="E158" t="s">
        <v>57</v>
      </c>
      <c r="F158" t="s">
        <v>48</v>
      </c>
      <c r="G158" t="s">
        <v>63</v>
      </c>
      <c r="H158" t="s">
        <v>55</v>
      </c>
      <c r="I158" t="s">
        <v>56</v>
      </c>
      <c r="J158" t="s">
        <v>52</v>
      </c>
      <c r="K158">
        <v>75.043154017351497</v>
      </c>
      <c r="L158">
        <v>0</v>
      </c>
      <c r="M158" t="s">
        <v>53</v>
      </c>
    </row>
    <row r="159" spans="1:13" x14ac:dyDescent="0.2">
      <c r="A159">
        <v>158</v>
      </c>
      <c r="B159">
        <v>2004</v>
      </c>
      <c r="C159">
        <v>55</v>
      </c>
      <c r="D159" t="s">
        <v>57</v>
      </c>
      <c r="E159" t="s">
        <v>57</v>
      </c>
      <c r="F159" t="s">
        <v>48</v>
      </c>
      <c r="G159" t="s">
        <v>58</v>
      </c>
      <c r="H159" t="s">
        <v>55</v>
      </c>
      <c r="I159" t="s">
        <v>56</v>
      </c>
      <c r="J159" t="s">
        <v>59</v>
      </c>
      <c r="K159">
        <v>130.22083235877699</v>
      </c>
      <c r="L159">
        <v>1</v>
      </c>
      <c r="M159" t="s">
        <v>53</v>
      </c>
    </row>
    <row r="160" spans="1:13" x14ac:dyDescent="0.2">
      <c r="A160">
        <v>159</v>
      </c>
      <c r="B160">
        <v>2003</v>
      </c>
      <c r="C160">
        <v>57</v>
      </c>
      <c r="D160" t="s">
        <v>57</v>
      </c>
      <c r="E160" t="s">
        <v>57</v>
      </c>
      <c r="F160" t="s">
        <v>65</v>
      </c>
      <c r="G160" t="s">
        <v>63</v>
      </c>
      <c r="H160" t="s">
        <v>55</v>
      </c>
      <c r="I160" t="s">
        <v>51</v>
      </c>
      <c r="J160" t="s">
        <v>52</v>
      </c>
      <c r="K160">
        <v>104.921506533664</v>
      </c>
      <c r="L160">
        <v>1</v>
      </c>
      <c r="M160" t="s">
        <v>53</v>
      </c>
    </row>
    <row r="161" spans="1:13" x14ac:dyDescent="0.2">
      <c r="A161">
        <v>160</v>
      </c>
      <c r="B161">
        <v>2005</v>
      </c>
      <c r="C161">
        <v>64</v>
      </c>
      <c r="D161" t="s">
        <v>57</v>
      </c>
      <c r="E161" t="s">
        <v>57</v>
      </c>
      <c r="F161" t="s">
        <v>48</v>
      </c>
      <c r="G161" t="s">
        <v>54</v>
      </c>
      <c r="H161" t="s">
        <v>55</v>
      </c>
      <c r="I161" t="s">
        <v>51</v>
      </c>
      <c r="J161" t="s">
        <v>52</v>
      </c>
      <c r="K161">
        <v>49.555338121522603</v>
      </c>
      <c r="L161">
        <v>0</v>
      </c>
      <c r="M161" t="s">
        <v>53</v>
      </c>
    </row>
    <row r="162" spans="1:13" x14ac:dyDescent="0.2">
      <c r="A162">
        <v>161</v>
      </c>
      <c r="B162">
        <v>2007</v>
      </c>
      <c r="C162">
        <v>43</v>
      </c>
      <c r="D162" t="s">
        <v>57</v>
      </c>
      <c r="E162" t="s">
        <v>57</v>
      </c>
      <c r="F162" t="s">
        <v>48</v>
      </c>
      <c r="G162" t="s">
        <v>63</v>
      </c>
      <c r="H162" t="s">
        <v>50</v>
      </c>
      <c r="I162" t="s">
        <v>51</v>
      </c>
      <c r="J162" t="s">
        <v>59</v>
      </c>
      <c r="K162">
        <v>123.908567597957</v>
      </c>
      <c r="L162">
        <v>1</v>
      </c>
      <c r="M162" t="s">
        <v>53</v>
      </c>
    </row>
    <row r="163" spans="1:13" x14ac:dyDescent="0.2">
      <c r="A163">
        <v>162</v>
      </c>
      <c r="B163">
        <v>2008</v>
      </c>
      <c r="C163">
        <v>35</v>
      </c>
      <c r="D163" t="s">
        <v>57</v>
      </c>
      <c r="E163" t="s">
        <v>57</v>
      </c>
      <c r="F163" t="s">
        <v>65</v>
      </c>
      <c r="G163" t="s">
        <v>58</v>
      </c>
      <c r="H163" t="s">
        <v>55</v>
      </c>
      <c r="I163" t="s">
        <v>56</v>
      </c>
      <c r="J163" t="s">
        <v>59</v>
      </c>
      <c r="K163">
        <v>123.089699847943</v>
      </c>
      <c r="L163">
        <v>1</v>
      </c>
      <c r="M163" t="s">
        <v>53</v>
      </c>
    </row>
    <row r="164" spans="1:13" x14ac:dyDescent="0.2">
      <c r="A164">
        <v>163</v>
      </c>
      <c r="B164">
        <v>2008</v>
      </c>
      <c r="C164">
        <v>54</v>
      </c>
      <c r="D164" t="s">
        <v>57</v>
      </c>
      <c r="E164" t="s">
        <v>57</v>
      </c>
      <c r="F164" t="s">
        <v>48</v>
      </c>
      <c r="G164" t="s">
        <v>63</v>
      </c>
      <c r="H164" t="s">
        <v>55</v>
      </c>
      <c r="I164" t="s">
        <v>56</v>
      </c>
      <c r="J164" t="s">
        <v>52</v>
      </c>
      <c r="K164">
        <v>78.155161407934003</v>
      </c>
      <c r="L164">
        <v>0</v>
      </c>
      <c r="M164" t="s">
        <v>53</v>
      </c>
    </row>
    <row r="165" spans="1:13" x14ac:dyDescent="0.2">
      <c r="A165">
        <v>164</v>
      </c>
      <c r="B165">
        <v>2007</v>
      </c>
      <c r="C165">
        <v>45</v>
      </c>
      <c r="D165" t="s">
        <v>57</v>
      </c>
      <c r="E165" t="s">
        <v>57</v>
      </c>
      <c r="F165" t="s">
        <v>48</v>
      </c>
      <c r="G165" t="s">
        <v>63</v>
      </c>
      <c r="H165" t="s">
        <v>55</v>
      </c>
      <c r="I165" t="s">
        <v>51</v>
      </c>
      <c r="J165" t="s">
        <v>59</v>
      </c>
      <c r="K165">
        <v>73.775743274694605</v>
      </c>
      <c r="L165">
        <v>0</v>
      </c>
      <c r="M165" t="s">
        <v>53</v>
      </c>
    </row>
    <row r="166" spans="1:13" x14ac:dyDescent="0.2">
      <c r="A166">
        <v>165</v>
      </c>
      <c r="B166">
        <v>2003</v>
      </c>
      <c r="C166">
        <v>58</v>
      </c>
      <c r="D166" t="s">
        <v>61</v>
      </c>
      <c r="E166" t="s">
        <v>62</v>
      </c>
      <c r="F166" t="s">
        <v>60</v>
      </c>
      <c r="G166" t="s">
        <v>54</v>
      </c>
      <c r="H166" t="s">
        <v>55</v>
      </c>
      <c r="I166" t="s">
        <v>56</v>
      </c>
      <c r="J166" t="s">
        <v>59</v>
      </c>
      <c r="K166">
        <v>138.299126920883</v>
      </c>
      <c r="L166">
        <v>1</v>
      </c>
      <c r="M166" t="s">
        <v>53</v>
      </c>
    </row>
    <row r="167" spans="1:13" x14ac:dyDescent="0.2">
      <c r="A167">
        <v>166</v>
      </c>
      <c r="B167">
        <v>2007</v>
      </c>
      <c r="C167">
        <v>48</v>
      </c>
      <c r="D167" t="s">
        <v>57</v>
      </c>
      <c r="E167" t="s">
        <v>57</v>
      </c>
      <c r="F167" t="s">
        <v>48</v>
      </c>
      <c r="G167" t="s">
        <v>54</v>
      </c>
      <c r="H167" t="s">
        <v>55</v>
      </c>
      <c r="I167" t="s">
        <v>51</v>
      </c>
      <c r="J167" t="s">
        <v>52</v>
      </c>
      <c r="K167">
        <v>127.11574381218399</v>
      </c>
      <c r="L167">
        <v>1</v>
      </c>
      <c r="M167" t="s">
        <v>53</v>
      </c>
    </row>
    <row r="168" spans="1:13" x14ac:dyDescent="0.2">
      <c r="A168">
        <v>167</v>
      </c>
      <c r="B168">
        <v>2003</v>
      </c>
      <c r="C168">
        <v>46</v>
      </c>
      <c r="D168" t="s">
        <v>57</v>
      </c>
      <c r="E168" t="s">
        <v>57</v>
      </c>
      <c r="F168" t="s">
        <v>60</v>
      </c>
      <c r="G168" t="s">
        <v>49</v>
      </c>
      <c r="H168" t="s">
        <v>50</v>
      </c>
      <c r="I168" t="s">
        <v>56</v>
      </c>
      <c r="J168" t="s">
        <v>59</v>
      </c>
      <c r="K168">
        <v>68.748087733766894</v>
      </c>
      <c r="L168">
        <v>0</v>
      </c>
      <c r="M168" t="s">
        <v>53</v>
      </c>
    </row>
    <row r="169" spans="1:13" x14ac:dyDescent="0.2">
      <c r="A169">
        <v>168</v>
      </c>
      <c r="B169">
        <v>2004</v>
      </c>
      <c r="C169">
        <v>46</v>
      </c>
      <c r="D169" t="s">
        <v>57</v>
      </c>
      <c r="E169" t="s">
        <v>57</v>
      </c>
      <c r="F169" t="s">
        <v>48</v>
      </c>
      <c r="G169" t="s">
        <v>63</v>
      </c>
      <c r="H169" t="s">
        <v>50</v>
      </c>
      <c r="I169" t="s">
        <v>56</v>
      </c>
      <c r="J169" t="s">
        <v>59</v>
      </c>
      <c r="K169">
        <v>84.391114747779994</v>
      </c>
      <c r="L169">
        <v>0</v>
      </c>
      <c r="M169" t="s">
        <v>53</v>
      </c>
    </row>
    <row r="170" spans="1:13" x14ac:dyDescent="0.2">
      <c r="A170">
        <v>169</v>
      </c>
      <c r="B170">
        <v>2009</v>
      </c>
      <c r="C170">
        <v>55</v>
      </c>
      <c r="D170" t="s">
        <v>57</v>
      </c>
      <c r="E170" t="s">
        <v>57</v>
      </c>
      <c r="F170" t="s">
        <v>48</v>
      </c>
      <c r="G170" t="s">
        <v>49</v>
      </c>
      <c r="H170" t="s">
        <v>50</v>
      </c>
      <c r="I170" t="s">
        <v>56</v>
      </c>
      <c r="J170" t="s">
        <v>59</v>
      </c>
      <c r="K170">
        <v>85.3839403789827</v>
      </c>
      <c r="L170">
        <v>0</v>
      </c>
      <c r="M170" t="s">
        <v>53</v>
      </c>
    </row>
    <row r="171" spans="1:13" x14ac:dyDescent="0.2">
      <c r="A171">
        <v>170</v>
      </c>
      <c r="B171">
        <v>2006</v>
      </c>
      <c r="C171">
        <v>51</v>
      </c>
      <c r="D171" t="s">
        <v>57</v>
      </c>
      <c r="E171" t="s">
        <v>57</v>
      </c>
      <c r="F171" t="s">
        <v>48</v>
      </c>
      <c r="G171" t="s">
        <v>58</v>
      </c>
      <c r="H171" t="s">
        <v>50</v>
      </c>
      <c r="I171" t="s">
        <v>56</v>
      </c>
      <c r="J171" t="s">
        <v>59</v>
      </c>
      <c r="K171">
        <v>128.680488220624</v>
      </c>
      <c r="L171">
        <v>1</v>
      </c>
      <c r="M171" t="s">
        <v>53</v>
      </c>
    </row>
    <row r="172" spans="1:13" x14ac:dyDescent="0.2">
      <c r="A172">
        <v>171</v>
      </c>
      <c r="B172">
        <v>2005</v>
      </c>
      <c r="C172">
        <v>49</v>
      </c>
      <c r="D172" t="s">
        <v>57</v>
      </c>
      <c r="E172" t="s">
        <v>57</v>
      </c>
      <c r="F172" t="s">
        <v>48</v>
      </c>
      <c r="G172" t="s">
        <v>58</v>
      </c>
      <c r="H172" t="s">
        <v>50</v>
      </c>
      <c r="I172" t="s">
        <v>56</v>
      </c>
      <c r="J172" t="s">
        <v>59</v>
      </c>
      <c r="K172">
        <v>70.476019646944494</v>
      </c>
      <c r="L172">
        <v>0</v>
      </c>
      <c r="M172" t="s">
        <v>53</v>
      </c>
    </row>
    <row r="173" spans="1:13" x14ac:dyDescent="0.2">
      <c r="A173">
        <v>172</v>
      </c>
      <c r="B173">
        <v>2008</v>
      </c>
      <c r="C173">
        <v>34</v>
      </c>
      <c r="D173" t="s">
        <v>47</v>
      </c>
      <c r="E173" t="s">
        <v>47</v>
      </c>
      <c r="F173" t="s">
        <v>48</v>
      </c>
      <c r="G173" t="s">
        <v>58</v>
      </c>
      <c r="H173" t="s">
        <v>50</v>
      </c>
      <c r="I173" t="s">
        <v>56</v>
      </c>
      <c r="J173" t="s">
        <v>59</v>
      </c>
      <c r="K173">
        <v>76.8936025176112</v>
      </c>
      <c r="L173">
        <v>0</v>
      </c>
      <c r="M173" t="s">
        <v>53</v>
      </c>
    </row>
    <row r="174" spans="1:13" x14ac:dyDescent="0.2">
      <c r="A174">
        <v>173</v>
      </c>
      <c r="B174">
        <v>2007</v>
      </c>
      <c r="C174">
        <v>53</v>
      </c>
      <c r="D174" t="s">
        <v>57</v>
      </c>
      <c r="E174" t="s">
        <v>57</v>
      </c>
      <c r="F174" t="s">
        <v>48</v>
      </c>
      <c r="G174" t="s">
        <v>58</v>
      </c>
      <c r="H174" t="s">
        <v>50</v>
      </c>
      <c r="I174" t="s">
        <v>56</v>
      </c>
      <c r="J174" t="s">
        <v>52</v>
      </c>
      <c r="K174">
        <v>148.413159102577</v>
      </c>
      <c r="L174">
        <v>1</v>
      </c>
      <c r="M174" t="s">
        <v>53</v>
      </c>
    </row>
    <row r="175" spans="1:13" x14ac:dyDescent="0.2">
      <c r="A175">
        <v>174</v>
      </c>
      <c r="B175">
        <v>2004</v>
      </c>
      <c r="C175">
        <v>40</v>
      </c>
      <c r="D175" t="s">
        <v>57</v>
      </c>
      <c r="E175" t="s">
        <v>57</v>
      </c>
      <c r="F175" t="s">
        <v>48</v>
      </c>
      <c r="G175" t="s">
        <v>58</v>
      </c>
      <c r="H175" t="s">
        <v>50</v>
      </c>
      <c r="I175" t="s">
        <v>56</v>
      </c>
      <c r="J175" t="s">
        <v>59</v>
      </c>
      <c r="K175">
        <v>148.413159102577</v>
      </c>
      <c r="L175">
        <v>1</v>
      </c>
      <c r="M175" t="s">
        <v>53</v>
      </c>
    </row>
    <row r="176" spans="1:13" x14ac:dyDescent="0.2">
      <c r="A176">
        <v>175</v>
      </c>
      <c r="B176">
        <v>2009</v>
      </c>
      <c r="C176">
        <v>50</v>
      </c>
      <c r="D176" t="s">
        <v>57</v>
      </c>
      <c r="E176" t="s">
        <v>57</v>
      </c>
      <c r="F176" t="s">
        <v>48</v>
      </c>
      <c r="G176" t="s">
        <v>58</v>
      </c>
      <c r="H176" t="s">
        <v>50</v>
      </c>
      <c r="I176" t="s">
        <v>56</v>
      </c>
      <c r="J176" t="s">
        <v>59</v>
      </c>
      <c r="K176">
        <v>175.96088313040099</v>
      </c>
      <c r="L176">
        <v>1</v>
      </c>
      <c r="M176" t="s">
        <v>53</v>
      </c>
    </row>
    <row r="177" spans="1:13" x14ac:dyDescent="0.2">
      <c r="A177">
        <v>176</v>
      </c>
      <c r="B177">
        <v>2006</v>
      </c>
      <c r="C177">
        <v>37</v>
      </c>
      <c r="D177" t="s">
        <v>61</v>
      </c>
      <c r="E177" t="s">
        <v>62</v>
      </c>
      <c r="F177" t="s">
        <v>48</v>
      </c>
      <c r="G177" t="s">
        <v>49</v>
      </c>
      <c r="H177" t="s">
        <v>55</v>
      </c>
      <c r="I177" t="s">
        <v>51</v>
      </c>
      <c r="J177" t="s">
        <v>59</v>
      </c>
      <c r="K177">
        <v>98.599343860389197</v>
      </c>
      <c r="L177">
        <v>0</v>
      </c>
      <c r="M177" t="s">
        <v>53</v>
      </c>
    </row>
    <row r="178" spans="1:13" x14ac:dyDescent="0.2">
      <c r="A178">
        <v>177</v>
      </c>
      <c r="B178">
        <v>2003</v>
      </c>
      <c r="C178">
        <v>39</v>
      </c>
      <c r="D178" t="s">
        <v>57</v>
      </c>
      <c r="E178" t="s">
        <v>57</v>
      </c>
      <c r="F178" t="s">
        <v>48</v>
      </c>
      <c r="G178" t="s">
        <v>58</v>
      </c>
      <c r="H178" t="s">
        <v>50</v>
      </c>
      <c r="I178" t="s">
        <v>56</v>
      </c>
      <c r="J178" t="s">
        <v>59</v>
      </c>
      <c r="K178">
        <v>145.14360117691101</v>
      </c>
      <c r="L178">
        <v>1</v>
      </c>
      <c r="M178" t="s">
        <v>53</v>
      </c>
    </row>
    <row r="179" spans="1:13" x14ac:dyDescent="0.2">
      <c r="A179">
        <v>178</v>
      </c>
      <c r="B179">
        <v>2004</v>
      </c>
      <c r="C179">
        <v>52</v>
      </c>
      <c r="D179" t="s">
        <v>57</v>
      </c>
      <c r="E179" t="s">
        <v>57</v>
      </c>
      <c r="F179" t="s">
        <v>48</v>
      </c>
      <c r="G179" t="s">
        <v>54</v>
      </c>
      <c r="H179" t="s">
        <v>50</v>
      </c>
      <c r="I179" t="s">
        <v>51</v>
      </c>
      <c r="J179" t="s">
        <v>59</v>
      </c>
      <c r="K179">
        <v>99.689463698486406</v>
      </c>
      <c r="L179">
        <v>0</v>
      </c>
      <c r="M179" t="s">
        <v>53</v>
      </c>
    </row>
    <row r="180" spans="1:13" x14ac:dyDescent="0.2">
      <c r="A180">
        <v>179</v>
      </c>
      <c r="B180">
        <v>2003</v>
      </c>
      <c r="C180">
        <v>50</v>
      </c>
      <c r="D180" t="s">
        <v>57</v>
      </c>
      <c r="E180" t="s">
        <v>57</v>
      </c>
      <c r="F180" t="s">
        <v>48</v>
      </c>
      <c r="G180" t="s">
        <v>63</v>
      </c>
      <c r="H180" t="s">
        <v>55</v>
      </c>
      <c r="I180" t="s">
        <v>56</v>
      </c>
      <c r="J180" t="s">
        <v>59</v>
      </c>
      <c r="K180">
        <v>141.08887439127</v>
      </c>
      <c r="L180">
        <v>1</v>
      </c>
      <c r="M180" t="s">
        <v>53</v>
      </c>
    </row>
    <row r="181" spans="1:13" x14ac:dyDescent="0.2">
      <c r="A181">
        <v>180</v>
      </c>
      <c r="B181">
        <v>2006</v>
      </c>
      <c r="C181">
        <v>48</v>
      </c>
      <c r="D181" t="s">
        <v>57</v>
      </c>
      <c r="E181" t="s">
        <v>57</v>
      </c>
      <c r="F181" t="s">
        <v>48</v>
      </c>
      <c r="G181" t="s">
        <v>54</v>
      </c>
      <c r="H181" t="s">
        <v>50</v>
      </c>
      <c r="I181" t="s">
        <v>56</v>
      </c>
      <c r="J181" t="s">
        <v>59</v>
      </c>
      <c r="K181">
        <v>123.089699847943</v>
      </c>
      <c r="L181">
        <v>1</v>
      </c>
      <c r="M181" t="s">
        <v>53</v>
      </c>
    </row>
    <row r="182" spans="1:13" x14ac:dyDescent="0.2">
      <c r="A182">
        <v>181</v>
      </c>
      <c r="B182">
        <v>2006</v>
      </c>
      <c r="C182">
        <v>47</v>
      </c>
      <c r="D182" t="s">
        <v>57</v>
      </c>
      <c r="E182" t="s">
        <v>57</v>
      </c>
      <c r="F182" t="s">
        <v>48</v>
      </c>
      <c r="G182" t="s">
        <v>63</v>
      </c>
      <c r="H182" t="s">
        <v>50</v>
      </c>
      <c r="I182" t="s">
        <v>56</v>
      </c>
      <c r="J182" t="s">
        <v>59</v>
      </c>
      <c r="K182">
        <v>129.45364457662501</v>
      </c>
      <c r="L182">
        <v>1</v>
      </c>
      <c r="M182" t="s">
        <v>53</v>
      </c>
    </row>
    <row r="183" spans="1:13" x14ac:dyDescent="0.2">
      <c r="A183">
        <v>182</v>
      </c>
      <c r="B183">
        <v>2005</v>
      </c>
      <c r="C183">
        <v>27</v>
      </c>
      <c r="D183" t="s">
        <v>57</v>
      </c>
      <c r="E183" t="s">
        <v>57</v>
      </c>
      <c r="F183" t="s">
        <v>48</v>
      </c>
      <c r="G183" t="s">
        <v>54</v>
      </c>
      <c r="H183" t="s">
        <v>50</v>
      </c>
      <c r="I183" t="s">
        <v>56</v>
      </c>
      <c r="J183" t="s">
        <v>59</v>
      </c>
      <c r="K183">
        <v>111.72084936098901</v>
      </c>
      <c r="L183">
        <v>1</v>
      </c>
      <c r="M183" t="s">
        <v>53</v>
      </c>
    </row>
    <row r="184" spans="1:13" x14ac:dyDescent="0.2">
      <c r="A184">
        <v>183</v>
      </c>
      <c r="B184">
        <v>2006</v>
      </c>
      <c r="C184">
        <v>39</v>
      </c>
      <c r="D184" t="s">
        <v>57</v>
      </c>
      <c r="E184" t="s">
        <v>57</v>
      </c>
      <c r="F184" t="s">
        <v>48</v>
      </c>
      <c r="G184" t="s">
        <v>63</v>
      </c>
      <c r="H184" t="s">
        <v>50</v>
      </c>
      <c r="I184" t="s">
        <v>56</v>
      </c>
      <c r="J184" t="s">
        <v>59</v>
      </c>
      <c r="K184">
        <v>103.90247060316</v>
      </c>
      <c r="L184">
        <v>1</v>
      </c>
      <c r="M184" t="s">
        <v>53</v>
      </c>
    </row>
    <row r="185" spans="1:13" x14ac:dyDescent="0.2">
      <c r="A185">
        <v>184</v>
      </c>
      <c r="B185">
        <v>2009</v>
      </c>
      <c r="C185">
        <v>44</v>
      </c>
      <c r="D185" t="s">
        <v>57</v>
      </c>
      <c r="E185" t="s">
        <v>57</v>
      </c>
      <c r="F185" t="s">
        <v>65</v>
      </c>
      <c r="G185" t="s">
        <v>63</v>
      </c>
      <c r="H185" t="s">
        <v>55</v>
      </c>
      <c r="I185" t="s">
        <v>51</v>
      </c>
      <c r="J185" t="s">
        <v>59</v>
      </c>
      <c r="K185">
        <v>118.884359339886</v>
      </c>
      <c r="L185">
        <v>1</v>
      </c>
      <c r="M185" t="s">
        <v>53</v>
      </c>
    </row>
    <row r="186" spans="1:13" x14ac:dyDescent="0.2">
      <c r="A186">
        <v>185</v>
      </c>
      <c r="B186">
        <v>2003</v>
      </c>
      <c r="C186">
        <v>37</v>
      </c>
      <c r="D186" t="s">
        <v>57</v>
      </c>
      <c r="E186" t="s">
        <v>57</v>
      </c>
      <c r="F186" t="s">
        <v>65</v>
      </c>
      <c r="G186" t="s">
        <v>58</v>
      </c>
      <c r="H186" t="s">
        <v>50</v>
      </c>
      <c r="I186" t="s">
        <v>56</v>
      </c>
      <c r="J186" t="s">
        <v>59</v>
      </c>
      <c r="K186">
        <v>151.59148423981401</v>
      </c>
      <c r="L186">
        <v>1</v>
      </c>
      <c r="M186" t="s">
        <v>53</v>
      </c>
    </row>
    <row r="187" spans="1:13" x14ac:dyDescent="0.2">
      <c r="A187">
        <v>186</v>
      </c>
      <c r="B187">
        <v>2006</v>
      </c>
      <c r="C187">
        <v>52</v>
      </c>
      <c r="D187" t="s">
        <v>57</v>
      </c>
      <c r="E187" t="s">
        <v>57</v>
      </c>
      <c r="F187" t="s">
        <v>48</v>
      </c>
      <c r="G187" t="s">
        <v>63</v>
      </c>
      <c r="H187" t="s">
        <v>50</v>
      </c>
      <c r="I187" t="s">
        <v>51</v>
      </c>
      <c r="J187" t="s">
        <v>52</v>
      </c>
      <c r="K187">
        <v>101.82435207568</v>
      </c>
      <c r="L187">
        <v>1</v>
      </c>
      <c r="M187" t="s">
        <v>53</v>
      </c>
    </row>
    <row r="188" spans="1:13" x14ac:dyDescent="0.2">
      <c r="A188">
        <v>187</v>
      </c>
      <c r="B188">
        <v>2004</v>
      </c>
      <c r="C188">
        <v>26</v>
      </c>
      <c r="D188" t="s">
        <v>47</v>
      </c>
      <c r="E188" t="s">
        <v>47</v>
      </c>
      <c r="F188" t="s">
        <v>60</v>
      </c>
      <c r="G188" t="s">
        <v>58</v>
      </c>
      <c r="H188" t="s">
        <v>50</v>
      </c>
      <c r="I188" t="s">
        <v>56</v>
      </c>
      <c r="J188" t="s">
        <v>59</v>
      </c>
      <c r="K188">
        <v>99.689463698486406</v>
      </c>
      <c r="L188">
        <v>0</v>
      </c>
      <c r="M188" t="s">
        <v>53</v>
      </c>
    </row>
    <row r="189" spans="1:13" x14ac:dyDescent="0.2">
      <c r="A189">
        <v>188</v>
      </c>
      <c r="B189">
        <v>2008</v>
      </c>
      <c r="C189">
        <v>39</v>
      </c>
      <c r="D189" t="s">
        <v>57</v>
      </c>
      <c r="E189" t="s">
        <v>57</v>
      </c>
      <c r="F189" t="s">
        <v>60</v>
      </c>
      <c r="G189" t="s">
        <v>66</v>
      </c>
      <c r="H189" t="s">
        <v>50</v>
      </c>
      <c r="I189" t="s">
        <v>51</v>
      </c>
      <c r="J189" t="s">
        <v>59</v>
      </c>
      <c r="K189">
        <v>99.689463698486406</v>
      </c>
      <c r="L189">
        <v>0</v>
      </c>
      <c r="M189" t="s">
        <v>53</v>
      </c>
    </row>
    <row r="190" spans="1:13" x14ac:dyDescent="0.2">
      <c r="A190">
        <v>189</v>
      </c>
      <c r="B190">
        <v>2006</v>
      </c>
      <c r="C190">
        <v>25</v>
      </c>
      <c r="D190" t="s">
        <v>57</v>
      </c>
      <c r="E190" t="s">
        <v>57</v>
      </c>
      <c r="F190" t="s">
        <v>65</v>
      </c>
      <c r="G190" t="s">
        <v>63</v>
      </c>
      <c r="H190" t="s">
        <v>50</v>
      </c>
      <c r="I190" t="s">
        <v>51</v>
      </c>
      <c r="J190" t="s">
        <v>52</v>
      </c>
      <c r="K190">
        <v>99.689463698486406</v>
      </c>
      <c r="L190">
        <v>0</v>
      </c>
      <c r="M190" t="s">
        <v>53</v>
      </c>
    </row>
    <row r="191" spans="1:13" x14ac:dyDescent="0.2">
      <c r="A191">
        <v>190</v>
      </c>
      <c r="B191">
        <v>2005</v>
      </c>
      <c r="C191">
        <v>31</v>
      </c>
      <c r="D191" t="s">
        <v>47</v>
      </c>
      <c r="E191" t="s">
        <v>47</v>
      </c>
      <c r="F191" t="s">
        <v>48</v>
      </c>
      <c r="G191" t="s">
        <v>54</v>
      </c>
      <c r="H191" t="s">
        <v>55</v>
      </c>
      <c r="I191" t="s">
        <v>56</v>
      </c>
      <c r="J191" t="s">
        <v>52</v>
      </c>
      <c r="K191">
        <v>94.072714745700495</v>
      </c>
      <c r="L191">
        <v>0</v>
      </c>
      <c r="M191" t="s">
        <v>53</v>
      </c>
    </row>
    <row r="192" spans="1:13" x14ac:dyDescent="0.2">
      <c r="A192">
        <v>191</v>
      </c>
      <c r="B192">
        <v>2004</v>
      </c>
      <c r="C192">
        <v>58</v>
      </c>
      <c r="D192" t="s">
        <v>57</v>
      </c>
      <c r="E192" t="s">
        <v>57</v>
      </c>
      <c r="F192" t="s">
        <v>48</v>
      </c>
      <c r="G192" t="s">
        <v>58</v>
      </c>
      <c r="H192" t="s">
        <v>50</v>
      </c>
      <c r="I192" t="s">
        <v>51</v>
      </c>
      <c r="J192" t="s">
        <v>59</v>
      </c>
      <c r="K192">
        <v>152.21680682710601</v>
      </c>
      <c r="L192">
        <v>1</v>
      </c>
      <c r="M192" t="s">
        <v>53</v>
      </c>
    </row>
    <row r="193" spans="1:13" x14ac:dyDescent="0.2">
      <c r="A193">
        <v>192</v>
      </c>
      <c r="B193">
        <v>2005</v>
      </c>
      <c r="C193">
        <v>30</v>
      </c>
      <c r="D193" t="s">
        <v>57</v>
      </c>
      <c r="E193" t="s">
        <v>57</v>
      </c>
      <c r="F193" t="s">
        <v>48</v>
      </c>
      <c r="G193" t="s">
        <v>54</v>
      </c>
      <c r="H193" t="s">
        <v>55</v>
      </c>
      <c r="I193" t="s">
        <v>56</v>
      </c>
      <c r="J193" t="s">
        <v>59</v>
      </c>
      <c r="K193">
        <v>104.921506533664</v>
      </c>
      <c r="L193">
        <v>1</v>
      </c>
      <c r="M193" t="s">
        <v>53</v>
      </c>
    </row>
    <row r="194" spans="1:13" x14ac:dyDescent="0.2">
      <c r="A194">
        <v>193</v>
      </c>
      <c r="B194">
        <v>2004</v>
      </c>
      <c r="C194">
        <v>27</v>
      </c>
      <c r="D194" t="s">
        <v>57</v>
      </c>
      <c r="E194" t="s">
        <v>57</v>
      </c>
      <c r="F194" t="s">
        <v>48</v>
      </c>
      <c r="G194" t="s">
        <v>49</v>
      </c>
      <c r="H194" t="s">
        <v>50</v>
      </c>
      <c r="I194" t="s">
        <v>51</v>
      </c>
      <c r="J194" t="s">
        <v>59</v>
      </c>
      <c r="K194">
        <v>65.110853715344703</v>
      </c>
      <c r="L194">
        <v>0</v>
      </c>
      <c r="M194" t="s">
        <v>53</v>
      </c>
    </row>
    <row r="195" spans="1:13" x14ac:dyDescent="0.2">
      <c r="A195">
        <v>194</v>
      </c>
      <c r="B195">
        <v>2003</v>
      </c>
      <c r="C195">
        <v>40</v>
      </c>
      <c r="D195" t="s">
        <v>61</v>
      </c>
      <c r="E195" t="s">
        <v>62</v>
      </c>
      <c r="F195" t="s">
        <v>48</v>
      </c>
      <c r="G195" t="s">
        <v>63</v>
      </c>
      <c r="H195" t="s">
        <v>50</v>
      </c>
      <c r="I195" t="s">
        <v>56</v>
      </c>
      <c r="J195" t="s">
        <v>59</v>
      </c>
      <c r="K195">
        <v>95.230712566981893</v>
      </c>
      <c r="L195">
        <v>0</v>
      </c>
      <c r="M195" t="s">
        <v>53</v>
      </c>
    </row>
    <row r="196" spans="1:13" x14ac:dyDescent="0.2">
      <c r="A196">
        <v>195</v>
      </c>
      <c r="B196">
        <v>2006</v>
      </c>
      <c r="C196">
        <v>55</v>
      </c>
      <c r="D196" t="s">
        <v>57</v>
      </c>
      <c r="E196" t="s">
        <v>57</v>
      </c>
      <c r="F196" t="s">
        <v>48</v>
      </c>
      <c r="G196" t="s">
        <v>66</v>
      </c>
      <c r="H196" t="s">
        <v>50</v>
      </c>
      <c r="I196" t="s">
        <v>56</v>
      </c>
      <c r="J196" t="s">
        <v>59</v>
      </c>
      <c r="K196">
        <v>173.87949331001201</v>
      </c>
      <c r="L196">
        <v>1</v>
      </c>
      <c r="M196" t="s">
        <v>53</v>
      </c>
    </row>
    <row r="197" spans="1:13" x14ac:dyDescent="0.2">
      <c r="A197">
        <v>196</v>
      </c>
      <c r="B197">
        <v>2009</v>
      </c>
      <c r="C197">
        <v>35</v>
      </c>
      <c r="D197" t="s">
        <v>57</v>
      </c>
      <c r="E197" t="s">
        <v>57</v>
      </c>
      <c r="F197" t="s">
        <v>60</v>
      </c>
      <c r="G197" t="s">
        <v>66</v>
      </c>
      <c r="H197" t="s">
        <v>55</v>
      </c>
      <c r="I197" t="s">
        <v>56</v>
      </c>
      <c r="J197" t="s">
        <v>59</v>
      </c>
      <c r="K197">
        <v>193.411070530969</v>
      </c>
      <c r="L197">
        <v>1</v>
      </c>
      <c r="M197" t="s">
        <v>53</v>
      </c>
    </row>
    <row r="198" spans="1:13" x14ac:dyDescent="0.2">
      <c r="A198">
        <v>197</v>
      </c>
      <c r="B198">
        <v>2008</v>
      </c>
      <c r="C198">
        <v>48</v>
      </c>
      <c r="D198" t="s">
        <v>57</v>
      </c>
      <c r="E198" t="s">
        <v>57</v>
      </c>
      <c r="F198" t="s">
        <v>48</v>
      </c>
      <c r="G198" t="s">
        <v>63</v>
      </c>
      <c r="H198" t="s">
        <v>50</v>
      </c>
      <c r="I198" t="s">
        <v>51</v>
      </c>
      <c r="J198" t="s">
        <v>52</v>
      </c>
      <c r="K198">
        <v>114.475713290347</v>
      </c>
      <c r="L198">
        <v>1</v>
      </c>
      <c r="M198" t="s">
        <v>53</v>
      </c>
    </row>
    <row r="199" spans="1:13" x14ac:dyDescent="0.2">
      <c r="A199">
        <v>198</v>
      </c>
      <c r="B199">
        <v>2006</v>
      </c>
      <c r="C199">
        <v>29</v>
      </c>
      <c r="D199" t="s">
        <v>47</v>
      </c>
      <c r="E199" t="s">
        <v>47</v>
      </c>
      <c r="F199" t="s">
        <v>60</v>
      </c>
      <c r="G199" t="s">
        <v>54</v>
      </c>
      <c r="H199" t="s">
        <v>50</v>
      </c>
      <c r="I199" t="s">
        <v>51</v>
      </c>
      <c r="J199" t="s">
        <v>59</v>
      </c>
      <c r="K199">
        <v>160.64247540826301</v>
      </c>
      <c r="L199">
        <v>1</v>
      </c>
      <c r="M199" t="s">
        <v>53</v>
      </c>
    </row>
    <row r="200" spans="1:13" x14ac:dyDescent="0.2">
      <c r="A200">
        <v>199</v>
      </c>
      <c r="B200">
        <v>2005</v>
      </c>
      <c r="C200">
        <v>25</v>
      </c>
      <c r="D200" t="s">
        <v>47</v>
      </c>
      <c r="E200" t="s">
        <v>47</v>
      </c>
      <c r="F200" t="s">
        <v>48</v>
      </c>
      <c r="G200" t="s">
        <v>58</v>
      </c>
      <c r="H200" t="s">
        <v>50</v>
      </c>
      <c r="I200" t="s">
        <v>56</v>
      </c>
      <c r="J200" t="s">
        <v>59</v>
      </c>
      <c r="K200">
        <v>89.492479518000096</v>
      </c>
      <c r="L200">
        <v>0</v>
      </c>
      <c r="M200" t="s">
        <v>53</v>
      </c>
    </row>
    <row r="201" spans="1:13" x14ac:dyDescent="0.2">
      <c r="A201">
        <v>200</v>
      </c>
      <c r="B201">
        <v>2004</v>
      </c>
      <c r="C201">
        <v>40</v>
      </c>
      <c r="D201" t="s">
        <v>57</v>
      </c>
      <c r="E201" t="s">
        <v>57</v>
      </c>
      <c r="F201" t="s">
        <v>48</v>
      </c>
      <c r="G201" t="s">
        <v>58</v>
      </c>
      <c r="H201" t="s">
        <v>50</v>
      </c>
      <c r="I201" t="s">
        <v>56</v>
      </c>
      <c r="J201" t="s">
        <v>59</v>
      </c>
      <c r="K201">
        <v>120.589436530402</v>
      </c>
      <c r="L201">
        <v>1</v>
      </c>
      <c r="M201" t="s">
        <v>53</v>
      </c>
    </row>
    <row r="202" spans="1:13" x14ac:dyDescent="0.2">
      <c r="A202">
        <v>201</v>
      </c>
      <c r="B202">
        <v>2006</v>
      </c>
      <c r="C202">
        <v>27</v>
      </c>
      <c r="D202" t="s">
        <v>57</v>
      </c>
      <c r="E202" t="s">
        <v>57</v>
      </c>
      <c r="F202" t="s">
        <v>48</v>
      </c>
      <c r="G202" t="s">
        <v>49</v>
      </c>
      <c r="H202" t="s">
        <v>55</v>
      </c>
      <c r="I202" t="s">
        <v>51</v>
      </c>
      <c r="J202" t="s">
        <v>52</v>
      </c>
      <c r="K202">
        <v>73.775743274694605</v>
      </c>
      <c r="L202">
        <v>0</v>
      </c>
      <c r="M202" t="s">
        <v>53</v>
      </c>
    </row>
    <row r="203" spans="1:13" x14ac:dyDescent="0.2">
      <c r="A203">
        <v>202</v>
      </c>
      <c r="B203">
        <v>2006</v>
      </c>
      <c r="C203">
        <v>44</v>
      </c>
      <c r="D203" t="s">
        <v>57</v>
      </c>
      <c r="E203" t="s">
        <v>57</v>
      </c>
      <c r="F203" t="s">
        <v>48</v>
      </c>
      <c r="G203" t="s">
        <v>63</v>
      </c>
      <c r="H203" t="s">
        <v>55</v>
      </c>
      <c r="I203" t="s">
        <v>56</v>
      </c>
      <c r="J203" t="s">
        <v>59</v>
      </c>
      <c r="K203">
        <v>127.11574381218399</v>
      </c>
      <c r="L203">
        <v>1</v>
      </c>
      <c r="M203" t="s">
        <v>53</v>
      </c>
    </row>
    <row r="204" spans="1:13" x14ac:dyDescent="0.2">
      <c r="A204">
        <v>203</v>
      </c>
      <c r="B204">
        <v>2006</v>
      </c>
      <c r="C204">
        <v>49</v>
      </c>
      <c r="D204" t="s">
        <v>57</v>
      </c>
      <c r="E204" t="s">
        <v>57</v>
      </c>
      <c r="F204" t="s">
        <v>48</v>
      </c>
      <c r="G204" t="s">
        <v>58</v>
      </c>
      <c r="H204" t="s">
        <v>55</v>
      </c>
      <c r="I204" t="s">
        <v>56</v>
      </c>
      <c r="J204" t="s">
        <v>59</v>
      </c>
      <c r="K204">
        <v>118.884359339886</v>
      </c>
      <c r="L204">
        <v>1</v>
      </c>
      <c r="M204" t="s">
        <v>53</v>
      </c>
    </row>
    <row r="205" spans="1:13" x14ac:dyDescent="0.2">
      <c r="A205">
        <v>204</v>
      </c>
      <c r="B205">
        <v>2003</v>
      </c>
      <c r="C205">
        <v>22</v>
      </c>
      <c r="D205" t="s">
        <v>47</v>
      </c>
      <c r="E205" t="s">
        <v>47</v>
      </c>
      <c r="F205" t="s">
        <v>48</v>
      </c>
      <c r="G205" t="s">
        <v>58</v>
      </c>
      <c r="H205" t="s">
        <v>50</v>
      </c>
      <c r="I205" t="s">
        <v>51</v>
      </c>
      <c r="J205" t="s">
        <v>52</v>
      </c>
      <c r="K205">
        <v>34.607417730128802</v>
      </c>
      <c r="L205">
        <v>0</v>
      </c>
      <c r="M205" t="s">
        <v>53</v>
      </c>
    </row>
    <row r="206" spans="1:13" x14ac:dyDescent="0.2">
      <c r="A206">
        <v>205</v>
      </c>
      <c r="B206">
        <v>2007</v>
      </c>
      <c r="C206">
        <v>45</v>
      </c>
      <c r="D206" t="s">
        <v>57</v>
      </c>
      <c r="E206" t="s">
        <v>57</v>
      </c>
      <c r="F206" t="s">
        <v>48</v>
      </c>
      <c r="G206" t="s">
        <v>58</v>
      </c>
      <c r="H206" t="s">
        <v>50</v>
      </c>
      <c r="I206" t="s">
        <v>51</v>
      </c>
      <c r="J206" t="s">
        <v>59</v>
      </c>
      <c r="K206">
        <v>114.475713290347</v>
      </c>
      <c r="L206">
        <v>1</v>
      </c>
      <c r="M206" t="s">
        <v>69</v>
      </c>
    </row>
    <row r="207" spans="1:13" x14ac:dyDescent="0.2">
      <c r="A207">
        <v>206</v>
      </c>
      <c r="B207">
        <v>2007</v>
      </c>
      <c r="C207">
        <v>33</v>
      </c>
      <c r="D207" t="s">
        <v>57</v>
      </c>
      <c r="E207" t="s">
        <v>57</v>
      </c>
      <c r="F207" t="s">
        <v>48</v>
      </c>
      <c r="G207" t="s">
        <v>58</v>
      </c>
      <c r="H207" t="s">
        <v>50</v>
      </c>
      <c r="I207" t="s">
        <v>56</v>
      </c>
      <c r="J207" t="s">
        <v>52</v>
      </c>
      <c r="K207">
        <v>85.3839403789827</v>
      </c>
      <c r="L207">
        <v>0</v>
      </c>
      <c r="M207" t="s">
        <v>53</v>
      </c>
    </row>
    <row r="208" spans="1:13" x14ac:dyDescent="0.2">
      <c r="A208">
        <v>207</v>
      </c>
      <c r="B208">
        <v>2007</v>
      </c>
      <c r="C208">
        <v>63</v>
      </c>
      <c r="D208" t="s">
        <v>57</v>
      </c>
      <c r="E208" t="s">
        <v>57</v>
      </c>
      <c r="F208" t="s">
        <v>65</v>
      </c>
      <c r="G208" t="s">
        <v>66</v>
      </c>
      <c r="H208" t="s">
        <v>55</v>
      </c>
      <c r="I208" t="s">
        <v>56</v>
      </c>
      <c r="J208" t="s">
        <v>59</v>
      </c>
      <c r="K208">
        <v>318.342430056529</v>
      </c>
      <c r="L208">
        <v>1</v>
      </c>
      <c r="M208" t="s">
        <v>69</v>
      </c>
    </row>
    <row r="209" spans="1:13" x14ac:dyDescent="0.2">
      <c r="A209">
        <v>208</v>
      </c>
      <c r="B209">
        <v>2006</v>
      </c>
      <c r="C209">
        <v>49</v>
      </c>
      <c r="D209" t="s">
        <v>47</v>
      </c>
      <c r="E209" t="s">
        <v>47</v>
      </c>
      <c r="F209" t="s">
        <v>65</v>
      </c>
      <c r="G209" t="s">
        <v>54</v>
      </c>
      <c r="H209" t="s">
        <v>50</v>
      </c>
      <c r="I209" t="s">
        <v>56</v>
      </c>
      <c r="J209" t="s">
        <v>59</v>
      </c>
      <c r="K209">
        <v>141.77517233318</v>
      </c>
      <c r="L209">
        <v>1</v>
      </c>
      <c r="M209" t="s">
        <v>69</v>
      </c>
    </row>
    <row r="210" spans="1:13" x14ac:dyDescent="0.2">
      <c r="A210">
        <v>209</v>
      </c>
      <c r="B210">
        <v>2005</v>
      </c>
      <c r="C210">
        <v>39</v>
      </c>
      <c r="D210" t="s">
        <v>47</v>
      </c>
      <c r="E210" t="s">
        <v>47</v>
      </c>
      <c r="F210" t="s">
        <v>48</v>
      </c>
      <c r="G210" t="s">
        <v>66</v>
      </c>
      <c r="H210" t="s">
        <v>55</v>
      </c>
      <c r="I210" t="s">
        <v>56</v>
      </c>
      <c r="J210" t="s">
        <v>59</v>
      </c>
      <c r="K210">
        <v>130.982177377461</v>
      </c>
      <c r="L210">
        <v>1</v>
      </c>
      <c r="M210" t="s">
        <v>69</v>
      </c>
    </row>
    <row r="211" spans="1:13" x14ac:dyDescent="0.2">
      <c r="A211">
        <v>210</v>
      </c>
      <c r="B211">
        <v>2007</v>
      </c>
      <c r="C211">
        <v>25</v>
      </c>
      <c r="D211" t="s">
        <v>47</v>
      </c>
      <c r="E211" t="s">
        <v>47</v>
      </c>
      <c r="F211" t="s">
        <v>64</v>
      </c>
      <c r="G211" t="s">
        <v>49</v>
      </c>
      <c r="H211" t="s">
        <v>50</v>
      </c>
      <c r="I211" t="s">
        <v>51</v>
      </c>
      <c r="J211" t="s">
        <v>52</v>
      </c>
      <c r="K211">
        <v>73.775743274694605</v>
      </c>
      <c r="L211">
        <v>0</v>
      </c>
      <c r="M211" t="s">
        <v>53</v>
      </c>
    </row>
    <row r="212" spans="1:13" x14ac:dyDescent="0.2">
      <c r="A212">
        <v>211</v>
      </c>
      <c r="B212">
        <v>2005</v>
      </c>
      <c r="C212">
        <v>29</v>
      </c>
      <c r="D212" t="s">
        <v>47</v>
      </c>
      <c r="E212" t="s">
        <v>47</v>
      </c>
      <c r="F212" t="s">
        <v>48</v>
      </c>
      <c r="G212" t="s">
        <v>66</v>
      </c>
      <c r="H212" t="s">
        <v>55</v>
      </c>
      <c r="I212" t="s">
        <v>56</v>
      </c>
      <c r="J212" t="s">
        <v>59</v>
      </c>
      <c r="K212">
        <v>130.982177377461</v>
      </c>
      <c r="L212">
        <v>1</v>
      </c>
      <c r="M212" t="s">
        <v>69</v>
      </c>
    </row>
    <row r="213" spans="1:13" x14ac:dyDescent="0.2">
      <c r="A213">
        <v>212</v>
      </c>
      <c r="B213">
        <v>2006</v>
      </c>
      <c r="C213">
        <v>37</v>
      </c>
      <c r="D213" t="s">
        <v>57</v>
      </c>
      <c r="E213" t="s">
        <v>57</v>
      </c>
      <c r="F213" t="s">
        <v>48</v>
      </c>
      <c r="G213" t="s">
        <v>63</v>
      </c>
      <c r="H213" t="s">
        <v>50</v>
      </c>
      <c r="I213" t="s">
        <v>56</v>
      </c>
      <c r="J213" t="s">
        <v>59</v>
      </c>
      <c r="K213">
        <v>75.043154017351497</v>
      </c>
      <c r="L213">
        <v>0</v>
      </c>
      <c r="M213" t="s">
        <v>53</v>
      </c>
    </row>
    <row r="214" spans="1:13" x14ac:dyDescent="0.2">
      <c r="A214">
        <v>213</v>
      </c>
      <c r="B214">
        <v>2008</v>
      </c>
      <c r="C214">
        <v>35</v>
      </c>
      <c r="D214" t="s">
        <v>57</v>
      </c>
      <c r="E214" t="s">
        <v>57</v>
      </c>
      <c r="F214" t="s">
        <v>48</v>
      </c>
      <c r="G214" t="s">
        <v>66</v>
      </c>
      <c r="H214" t="s">
        <v>55</v>
      </c>
      <c r="I214" t="s">
        <v>51</v>
      </c>
      <c r="J214" t="s">
        <v>59</v>
      </c>
      <c r="K214">
        <v>154.99026027681199</v>
      </c>
      <c r="L214">
        <v>1</v>
      </c>
      <c r="M214" t="s">
        <v>69</v>
      </c>
    </row>
    <row r="215" spans="1:13" x14ac:dyDescent="0.2">
      <c r="A215">
        <v>214</v>
      </c>
      <c r="B215">
        <v>2009</v>
      </c>
      <c r="C215">
        <v>46</v>
      </c>
      <c r="D215" t="s">
        <v>57</v>
      </c>
      <c r="E215" t="s">
        <v>57</v>
      </c>
      <c r="F215" t="s">
        <v>48</v>
      </c>
      <c r="G215" t="s">
        <v>63</v>
      </c>
      <c r="H215" t="s">
        <v>50</v>
      </c>
      <c r="I215" t="s">
        <v>51</v>
      </c>
      <c r="J215" t="s">
        <v>59</v>
      </c>
      <c r="K215">
        <v>104.921506533664</v>
      </c>
      <c r="L215">
        <v>1</v>
      </c>
      <c r="M215" t="s">
        <v>69</v>
      </c>
    </row>
    <row r="216" spans="1:13" x14ac:dyDescent="0.2">
      <c r="A216">
        <v>215</v>
      </c>
      <c r="B216">
        <v>2008</v>
      </c>
      <c r="C216">
        <v>58</v>
      </c>
      <c r="D216" t="s">
        <v>57</v>
      </c>
      <c r="E216" t="s">
        <v>57</v>
      </c>
      <c r="F216" t="s">
        <v>48</v>
      </c>
      <c r="G216" t="s">
        <v>54</v>
      </c>
      <c r="H216" t="s">
        <v>50</v>
      </c>
      <c r="I216" t="s">
        <v>56</v>
      </c>
      <c r="J216" t="s">
        <v>59</v>
      </c>
      <c r="K216">
        <v>73.118306923863997</v>
      </c>
      <c r="L216">
        <v>0</v>
      </c>
      <c r="M216" t="s">
        <v>53</v>
      </c>
    </row>
    <row r="217" spans="1:13" x14ac:dyDescent="0.2">
      <c r="A217">
        <v>216</v>
      </c>
      <c r="B217">
        <v>2003</v>
      </c>
      <c r="C217">
        <v>39</v>
      </c>
      <c r="D217" t="s">
        <v>57</v>
      </c>
      <c r="E217" t="s">
        <v>57</v>
      </c>
      <c r="F217" t="s">
        <v>48</v>
      </c>
      <c r="G217" t="s">
        <v>66</v>
      </c>
      <c r="H217" t="s">
        <v>50</v>
      </c>
      <c r="I217" t="s">
        <v>56</v>
      </c>
      <c r="J217" t="s">
        <v>59</v>
      </c>
      <c r="K217">
        <v>123.089699847943</v>
      </c>
      <c r="L217">
        <v>1</v>
      </c>
      <c r="M217" t="s">
        <v>69</v>
      </c>
    </row>
    <row r="218" spans="1:13" x14ac:dyDescent="0.2">
      <c r="A218">
        <v>217</v>
      </c>
      <c r="B218">
        <v>2008</v>
      </c>
      <c r="C218">
        <v>41</v>
      </c>
      <c r="D218" t="s">
        <v>57</v>
      </c>
      <c r="E218" t="s">
        <v>57</v>
      </c>
      <c r="F218" t="s">
        <v>48</v>
      </c>
      <c r="G218" t="s">
        <v>54</v>
      </c>
      <c r="H218" t="s">
        <v>55</v>
      </c>
      <c r="I218" t="s">
        <v>56</v>
      </c>
      <c r="J218" t="s">
        <v>59</v>
      </c>
      <c r="K218">
        <v>157.700527725737</v>
      </c>
      <c r="L218">
        <v>1</v>
      </c>
      <c r="M218" t="s">
        <v>69</v>
      </c>
    </row>
    <row r="219" spans="1:13" x14ac:dyDescent="0.2">
      <c r="A219">
        <v>218</v>
      </c>
      <c r="B219">
        <v>2008</v>
      </c>
      <c r="C219">
        <v>29</v>
      </c>
      <c r="D219" t="s">
        <v>57</v>
      </c>
      <c r="E219" t="s">
        <v>57</v>
      </c>
      <c r="F219" t="s">
        <v>65</v>
      </c>
      <c r="G219" t="s">
        <v>54</v>
      </c>
      <c r="H219" t="s">
        <v>55</v>
      </c>
      <c r="I219" t="s">
        <v>56</v>
      </c>
      <c r="J219" t="s">
        <v>59</v>
      </c>
      <c r="K219">
        <v>81.283253284252694</v>
      </c>
      <c r="L219">
        <v>0</v>
      </c>
      <c r="M219" t="s">
        <v>53</v>
      </c>
    </row>
    <row r="220" spans="1:13" x14ac:dyDescent="0.2">
      <c r="A220">
        <v>219</v>
      </c>
      <c r="B220">
        <v>2009</v>
      </c>
      <c r="C220">
        <v>37</v>
      </c>
      <c r="D220" t="s">
        <v>57</v>
      </c>
      <c r="E220" t="s">
        <v>57</v>
      </c>
      <c r="F220" t="s">
        <v>48</v>
      </c>
      <c r="G220" t="s">
        <v>54</v>
      </c>
      <c r="H220" t="s">
        <v>55</v>
      </c>
      <c r="I220" t="s">
        <v>51</v>
      </c>
      <c r="J220" t="s">
        <v>59</v>
      </c>
      <c r="K220">
        <v>107.25606212842899</v>
      </c>
      <c r="L220">
        <v>1</v>
      </c>
      <c r="M220" t="s">
        <v>69</v>
      </c>
    </row>
    <row r="221" spans="1:13" x14ac:dyDescent="0.2">
      <c r="A221">
        <v>220</v>
      </c>
      <c r="B221">
        <v>2009</v>
      </c>
      <c r="C221">
        <v>62</v>
      </c>
      <c r="D221" t="s">
        <v>57</v>
      </c>
      <c r="E221" t="s">
        <v>57</v>
      </c>
      <c r="F221" t="s">
        <v>48</v>
      </c>
      <c r="G221" t="s">
        <v>63</v>
      </c>
      <c r="H221" t="s">
        <v>55</v>
      </c>
      <c r="I221" t="s">
        <v>51</v>
      </c>
      <c r="J221" t="s">
        <v>52</v>
      </c>
      <c r="K221">
        <v>78.981674516299407</v>
      </c>
      <c r="L221">
        <v>0</v>
      </c>
      <c r="M221" t="s">
        <v>53</v>
      </c>
    </row>
    <row r="222" spans="1:13" x14ac:dyDescent="0.2">
      <c r="A222">
        <v>221</v>
      </c>
      <c r="B222">
        <v>2008</v>
      </c>
      <c r="C222">
        <v>27</v>
      </c>
      <c r="D222" t="s">
        <v>47</v>
      </c>
      <c r="E222" t="s">
        <v>47</v>
      </c>
      <c r="F222" t="s">
        <v>65</v>
      </c>
      <c r="G222" t="s">
        <v>63</v>
      </c>
      <c r="H222" t="s">
        <v>50</v>
      </c>
      <c r="I222" t="s">
        <v>56</v>
      </c>
      <c r="J222" t="s">
        <v>59</v>
      </c>
      <c r="K222">
        <v>73.775743274694605</v>
      </c>
      <c r="L222">
        <v>0</v>
      </c>
      <c r="M222" t="s">
        <v>69</v>
      </c>
    </row>
    <row r="223" spans="1:13" x14ac:dyDescent="0.2">
      <c r="A223">
        <v>222</v>
      </c>
      <c r="B223">
        <v>2003</v>
      </c>
      <c r="C223">
        <v>37</v>
      </c>
      <c r="D223" t="s">
        <v>57</v>
      </c>
      <c r="E223" t="s">
        <v>57</v>
      </c>
      <c r="F223" t="s">
        <v>48</v>
      </c>
      <c r="G223" t="s">
        <v>63</v>
      </c>
      <c r="H223" t="s">
        <v>50</v>
      </c>
      <c r="I223" t="s">
        <v>51</v>
      </c>
      <c r="J223" t="s">
        <v>59</v>
      </c>
      <c r="K223">
        <v>94.072714745700495</v>
      </c>
      <c r="L223">
        <v>0</v>
      </c>
      <c r="M223" t="s">
        <v>69</v>
      </c>
    </row>
    <row r="224" spans="1:13" x14ac:dyDescent="0.2">
      <c r="A224">
        <v>223</v>
      </c>
      <c r="B224">
        <v>2006</v>
      </c>
      <c r="C224">
        <v>56</v>
      </c>
      <c r="D224" t="s">
        <v>68</v>
      </c>
      <c r="E224" t="s">
        <v>62</v>
      </c>
      <c r="F224" t="s">
        <v>60</v>
      </c>
      <c r="G224" t="s">
        <v>54</v>
      </c>
      <c r="H224" t="s">
        <v>55</v>
      </c>
      <c r="I224" t="s">
        <v>51</v>
      </c>
      <c r="J224" t="s">
        <v>52</v>
      </c>
      <c r="K224">
        <v>99.689463698486406</v>
      </c>
      <c r="L224">
        <v>0</v>
      </c>
      <c r="M224" t="s">
        <v>69</v>
      </c>
    </row>
    <row r="225" spans="1:13" x14ac:dyDescent="0.2">
      <c r="A225">
        <v>224</v>
      </c>
      <c r="B225">
        <v>2004</v>
      </c>
      <c r="C225">
        <v>36</v>
      </c>
      <c r="D225" t="s">
        <v>57</v>
      </c>
      <c r="E225" t="s">
        <v>57</v>
      </c>
      <c r="F225" t="s">
        <v>48</v>
      </c>
      <c r="G225" t="s">
        <v>58</v>
      </c>
      <c r="H225" t="s">
        <v>55</v>
      </c>
      <c r="I225" t="s">
        <v>56</v>
      </c>
      <c r="J225" t="s">
        <v>59</v>
      </c>
      <c r="K225">
        <v>176.98965048987699</v>
      </c>
      <c r="L225">
        <v>1</v>
      </c>
      <c r="M225" t="s">
        <v>69</v>
      </c>
    </row>
    <row r="226" spans="1:13" x14ac:dyDescent="0.2">
      <c r="A226">
        <v>225</v>
      </c>
      <c r="B226">
        <v>2005</v>
      </c>
      <c r="C226">
        <v>23</v>
      </c>
      <c r="D226" t="s">
        <v>47</v>
      </c>
      <c r="E226" t="s">
        <v>47</v>
      </c>
      <c r="F226" t="s">
        <v>64</v>
      </c>
      <c r="G226" t="s">
        <v>63</v>
      </c>
      <c r="H226" t="s">
        <v>55</v>
      </c>
      <c r="I226" t="s">
        <v>56</v>
      </c>
      <c r="J226" t="s">
        <v>52</v>
      </c>
      <c r="K226">
        <v>73.775743274694605</v>
      </c>
      <c r="L226">
        <v>0</v>
      </c>
      <c r="M226" t="s">
        <v>69</v>
      </c>
    </row>
    <row r="227" spans="1:13" x14ac:dyDescent="0.2">
      <c r="A227">
        <v>226</v>
      </c>
      <c r="B227">
        <v>2003</v>
      </c>
      <c r="C227">
        <v>46</v>
      </c>
      <c r="D227" t="s">
        <v>57</v>
      </c>
      <c r="E227" t="s">
        <v>57</v>
      </c>
      <c r="F227" t="s">
        <v>48</v>
      </c>
      <c r="G227" t="s">
        <v>58</v>
      </c>
      <c r="H227" t="s">
        <v>55</v>
      </c>
      <c r="I227" t="s">
        <v>56</v>
      </c>
      <c r="J227" t="s">
        <v>59</v>
      </c>
      <c r="K227">
        <v>99.689463698486406</v>
      </c>
      <c r="L227">
        <v>0</v>
      </c>
      <c r="M227" t="s">
        <v>69</v>
      </c>
    </row>
    <row r="228" spans="1:13" x14ac:dyDescent="0.2">
      <c r="A228">
        <v>227</v>
      </c>
      <c r="B228">
        <v>2009</v>
      </c>
      <c r="C228">
        <v>26</v>
      </c>
      <c r="D228" t="s">
        <v>47</v>
      </c>
      <c r="E228" t="s">
        <v>47</v>
      </c>
      <c r="F228" t="s">
        <v>48</v>
      </c>
      <c r="G228" t="s">
        <v>58</v>
      </c>
      <c r="H228" t="s">
        <v>50</v>
      </c>
      <c r="I228" t="s">
        <v>56</v>
      </c>
      <c r="J228" t="s">
        <v>52</v>
      </c>
      <c r="K228">
        <v>94.072714745700495</v>
      </c>
      <c r="L228">
        <v>0</v>
      </c>
      <c r="M228" t="s">
        <v>69</v>
      </c>
    </row>
    <row r="229" spans="1:13" x14ac:dyDescent="0.2">
      <c r="A229">
        <v>228</v>
      </c>
      <c r="B229">
        <v>2006</v>
      </c>
      <c r="C229">
        <v>43</v>
      </c>
      <c r="D229" t="s">
        <v>57</v>
      </c>
      <c r="E229" t="s">
        <v>57</v>
      </c>
      <c r="F229" t="s">
        <v>48</v>
      </c>
      <c r="G229" t="s">
        <v>49</v>
      </c>
      <c r="H229" t="s">
        <v>55</v>
      </c>
      <c r="I229" t="s">
        <v>56</v>
      </c>
      <c r="J229" t="s">
        <v>59</v>
      </c>
      <c r="K229">
        <v>95.230712566981893</v>
      </c>
      <c r="L229">
        <v>0</v>
      </c>
      <c r="M229" t="s">
        <v>69</v>
      </c>
    </row>
    <row r="230" spans="1:13" x14ac:dyDescent="0.2">
      <c r="A230">
        <v>229</v>
      </c>
      <c r="B230">
        <v>2007</v>
      </c>
      <c r="C230">
        <v>36</v>
      </c>
      <c r="D230" t="s">
        <v>57</v>
      </c>
      <c r="E230" t="s">
        <v>57</v>
      </c>
      <c r="F230" t="s">
        <v>48</v>
      </c>
      <c r="G230" t="s">
        <v>63</v>
      </c>
      <c r="H230" t="s">
        <v>55</v>
      </c>
      <c r="I230" t="s">
        <v>56</v>
      </c>
      <c r="J230" t="s">
        <v>59</v>
      </c>
      <c r="K230">
        <v>127.11574381218399</v>
      </c>
      <c r="L230">
        <v>1</v>
      </c>
      <c r="M230" t="s">
        <v>69</v>
      </c>
    </row>
    <row r="231" spans="1:13" x14ac:dyDescent="0.2">
      <c r="A231">
        <v>230</v>
      </c>
      <c r="B231">
        <v>2003</v>
      </c>
      <c r="C231">
        <v>54</v>
      </c>
      <c r="D231" t="s">
        <v>68</v>
      </c>
      <c r="E231" t="s">
        <v>62</v>
      </c>
      <c r="F231" t="s">
        <v>48</v>
      </c>
      <c r="G231" t="s">
        <v>58</v>
      </c>
      <c r="H231" t="s">
        <v>55</v>
      </c>
      <c r="I231" t="s">
        <v>51</v>
      </c>
      <c r="J231" t="s">
        <v>59</v>
      </c>
      <c r="K231">
        <v>99.689463698486406</v>
      </c>
      <c r="L231">
        <v>0</v>
      </c>
      <c r="M231" t="s">
        <v>69</v>
      </c>
    </row>
    <row r="232" spans="1:13" x14ac:dyDescent="0.2">
      <c r="A232">
        <v>231</v>
      </c>
      <c r="B232">
        <v>2003</v>
      </c>
      <c r="C232">
        <v>62</v>
      </c>
      <c r="D232" t="s">
        <v>57</v>
      </c>
      <c r="E232" t="s">
        <v>57</v>
      </c>
      <c r="F232" t="s">
        <v>48</v>
      </c>
      <c r="G232" t="s">
        <v>63</v>
      </c>
      <c r="H232" t="s">
        <v>50</v>
      </c>
      <c r="I232" t="s">
        <v>56</v>
      </c>
      <c r="J232" t="s">
        <v>59</v>
      </c>
      <c r="K232">
        <v>95.688811906737101</v>
      </c>
      <c r="L232">
        <v>0</v>
      </c>
      <c r="M232" t="s">
        <v>69</v>
      </c>
    </row>
    <row r="233" spans="1:13" x14ac:dyDescent="0.2">
      <c r="A233">
        <v>232</v>
      </c>
      <c r="B233">
        <v>2006</v>
      </c>
      <c r="C233">
        <v>40</v>
      </c>
      <c r="D233" t="s">
        <v>57</v>
      </c>
      <c r="E233" t="s">
        <v>57</v>
      </c>
      <c r="F233" t="s">
        <v>48</v>
      </c>
      <c r="G233" t="s">
        <v>63</v>
      </c>
      <c r="H233" t="s">
        <v>50</v>
      </c>
      <c r="I233" t="s">
        <v>56</v>
      </c>
      <c r="J233" t="s">
        <v>59</v>
      </c>
      <c r="K233">
        <v>109.833985642199</v>
      </c>
      <c r="L233">
        <v>1</v>
      </c>
      <c r="M233" t="s">
        <v>69</v>
      </c>
    </row>
    <row r="234" spans="1:13" x14ac:dyDescent="0.2">
      <c r="A234">
        <v>233</v>
      </c>
      <c r="B234">
        <v>2006</v>
      </c>
      <c r="C234">
        <v>53</v>
      </c>
      <c r="D234" t="s">
        <v>57</v>
      </c>
      <c r="E234" t="s">
        <v>57</v>
      </c>
      <c r="F234" t="s">
        <v>48</v>
      </c>
      <c r="G234" t="s">
        <v>58</v>
      </c>
      <c r="H234" t="s">
        <v>50</v>
      </c>
      <c r="I234" t="s">
        <v>56</v>
      </c>
      <c r="J234" t="s">
        <v>59</v>
      </c>
      <c r="K234">
        <v>118.884359339886</v>
      </c>
      <c r="L234">
        <v>1</v>
      </c>
      <c r="M234" t="s">
        <v>69</v>
      </c>
    </row>
    <row r="235" spans="1:13" x14ac:dyDescent="0.2">
      <c r="A235">
        <v>234</v>
      </c>
      <c r="B235">
        <v>2007</v>
      </c>
      <c r="C235">
        <v>48</v>
      </c>
      <c r="D235" t="s">
        <v>57</v>
      </c>
      <c r="E235" t="s">
        <v>57</v>
      </c>
      <c r="F235" t="s">
        <v>48</v>
      </c>
      <c r="G235" t="s">
        <v>66</v>
      </c>
      <c r="H235" t="s">
        <v>55</v>
      </c>
      <c r="I235" t="s">
        <v>56</v>
      </c>
      <c r="J235" t="s">
        <v>59</v>
      </c>
      <c r="K235">
        <v>176.98965048987699</v>
      </c>
      <c r="L235">
        <v>1</v>
      </c>
      <c r="M235" t="s">
        <v>69</v>
      </c>
    </row>
    <row r="236" spans="1:13" x14ac:dyDescent="0.2">
      <c r="A236">
        <v>235</v>
      </c>
      <c r="B236">
        <v>2004</v>
      </c>
      <c r="C236">
        <v>23</v>
      </c>
      <c r="D236" t="s">
        <v>57</v>
      </c>
      <c r="E236" t="s">
        <v>57</v>
      </c>
      <c r="F236" t="s">
        <v>48</v>
      </c>
      <c r="G236" t="s">
        <v>54</v>
      </c>
      <c r="H236" t="s">
        <v>50</v>
      </c>
      <c r="I236" t="s">
        <v>56</v>
      </c>
      <c r="J236" t="s">
        <v>52</v>
      </c>
      <c r="K236">
        <v>61.187526433991501</v>
      </c>
      <c r="L236">
        <v>0</v>
      </c>
      <c r="M236" t="s">
        <v>69</v>
      </c>
    </row>
    <row r="237" spans="1:13" x14ac:dyDescent="0.2">
      <c r="A237">
        <v>236</v>
      </c>
      <c r="B237">
        <v>2009</v>
      </c>
      <c r="C237">
        <v>34</v>
      </c>
      <c r="D237" t="s">
        <v>57</v>
      </c>
      <c r="E237" t="s">
        <v>57</v>
      </c>
      <c r="F237" t="s">
        <v>48</v>
      </c>
      <c r="G237" t="s">
        <v>63</v>
      </c>
      <c r="H237" t="s">
        <v>50</v>
      </c>
      <c r="I237" t="s">
        <v>56</v>
      </c>
      <c r="J237" t="s">
        <v>59</v>
      </c>
      <c r="K237">
        <v>81.283253284252694</v>
      </c>
      <c r="L237">
        <v>0</v>
      </c>
      <c r="M237" t="s">
        <v>69</v>
      </c>
    </row>
    <row r="238" spans="1:13" x14ac:dyDescent="0.2">
      <c r="A238">
        <v>237</v>
      </c>
      <c r="B238">
        <v>2004</v>
      </c>
      <c r="C238">
        <v>43</v>
      </c>
      <c r="D238" t="s">
        <v>57</v>
      </c>
      <c r="E238" t="s">
        <v>57</v>
      </c>
      <c r="F238" t="s">
        <v>48</v>
      </c>
      <c r="G238" t="s">
        <v>54</v>
      </c>
      <c r="H238" t="s">
        <v>55</v>
      </c>
      <c r="I238" t="s">
        <v>56</v>
      </c>
      <c r="J238" t="s">
        <v>52</v>
      </c>
      <c r="K238">
        <v>256.40064956242497</v>
      </c>
      <c r="L238">
        <v>1</v>
      </c>
      <c r="M238" t="s">
        <v>69</v>
      </c>
    </row>
    <row r="239" spans="1:13" x14ac:dyDescent="0.2">
      <c r="A239">
        <v>238</v>
      </c>
      <c r="B239">
        <v>2006</v>
      </c>
      <c r="C239">
        <v>55</v>
      </c>
      <c r="D239" t="s">
        <v>57</v>
      </c>
      <c r="E239" t="s">
        <v>57</v>
      </c>
      <c r="F239" t="s">
        <v>48</v>
      </c>
      <c r="G239" t="s">
        <v>63</v>
      </c>
      <c r="H239" t="s">
        <v>55</v>
      </c>
      <c r="I239" t="s">
        <v>51</v>
      </c>
      <c r="J239" t="s">
        <v>59</v>
      </c>
      <c r="K239">
        <v>81.283253284252694</v>
      </c>
      <c r="L239">
        <v>0</v>
      </c>
      <c r="M239" t="s">
        <v>69</v>
      </c>
    </row>
    <row r="240" spans="1:13" x14ac:dyDescent="0.2">
      <c r="A240">
        <v>239</v>
      </c>
      <c r="B240">
        <v>2007</v>
      </c>
      <c r="C240">
        <v>59</v>
      </c>
      <c r="D240" t="s">
        <v>47</v>
      </c>
      <c r="E240" t="s">
        <v>47</v>
      </c>
      <c r="F240" t="s">
        <v>48</v>
      </c>
      <c r="G240" t="s">
        <v>63</v>
      </c>
      <c r="H240" t="s">
        <v>55</v>
      </c>
      <c r="I240" t="s">
        <v>56</v>
      </c>
      <c r="J240" t="s">
        <v>59</v>
      </c>
      <c r="K240">
        <v>81.283253284252694</v>
      </c>
      <c r="L240">
        <v>0</v>
      </c>
      <c r="M240" t="s">
        <v>69</v>
      </c>
    </row>
    <row r="241" spans="1:13" x14ac:dyDescent="0.2">
      <c r="A241">
        <v>240</v>
      </c>
      <c r="B241">
        <v>2007</v>
      </c>
      <c r="C241">
        <v>60</v>
      </c>
      <c r="D241" t="s">
        <v>57</v>
      </c>
      <c r="E241" t="s">
        <v>57</v>
      </c>
      <c r="F241" t="s">
        <v>48</v>
      </c>
      <c r="G241" t="s">
        <v>63</v>
      </c>
      <c r="H241" t="s">
        <v>55</v>
      </c>
      <c r="I241" t="s">
        <v>56</v>
      </c>
      <c r="J241" t="s">
        <v>52</v>
      </c>
      <c r="K241">
        <v>55.767390508492298</v>
      </c>
      <c r="L241">
        <v>0</v>
      </c>
      <c r="M241" t="s">
        <v>69</v>
      </c>
    </row>
    <row r="242" spans="1:13" x14ac:dyDescent="0.2">
      <c r="A242">
        <v>241</v>
      </c>
      <c r="B242">
        <v>2009</v>
      </c>
      <c r="C242">
        <v>49</v>
      </c>
      <c r="D242" t="s">
        <v>47</v>
      </c>
      <c r="E242" t="s">
        <v>47</v>
      </c>
      <c r="F242" t="s">
        <v>48</v>
      </c>
      <c r="G242" t="s">
        <v>63</v>
      </c>
      <c r="H242" t="s">
        <v>50</v>
      </c>
      <c r="I242" t="s">
        <v>56</v>
      </c>
      <c r="J242" t="s">
        <v>59</v>
      </c>
      <c r="K242">
        <v>75.355679318009095</v>
      </c>
      <c r="L242">
        <v>0</v>
      </c>
      <c r="M242" t="s">
        <v>69</v>
      </c>
    </row>
    <row r="243" spans="1:13" x14ac:dyDescent="0.2">
      <c r="A243">
        <v>242</v>
      </c>
      <c r="B243">
        <v>2006</v>
      </c>
      <c r="C243">
        <v>45</v>
      </c>
      <c r="D243" t="s">
        <v>57</v>
      </c>
      <c r="E243" t="s">
        <v>57</v>
      </c>
      <c r="F243" t="s">
        <v>60</v>
      </c>
      <c r="G243" t="s">
        <v>58</v>
      </c>
      <c r="H243" t="s">
        <v>50</v>
      </c>
      <c r="I243" t="s">
        <v>56</v>
      </c>
      <c r="J243" t="s">
        <v>59</v>
      </c>
      <c r="K243">
        <v>130.982177377461</v>
      </c>
      <c r="L243">
        <v>1</v>
      </c>
      <c r="M243" t="s">
        <v>69</v>
      </c>
    </row>
    <row r="244" spans="1:13" x14ac:dyDescent="0.2">
      <c r="A244">
        <v>243</v>
      </c>
      <c r="B244">
        <v>2006</v>
      </c>
      <c r="C244">
        <v>31</v>
      </c>
      <c r="D244" t="s">
        <v>61</v>
      </c>
      <c r="E244" t="s">
        <v>62</v>
      </c>
      <c r="F244" t="s">
        <v>48</v>
      </c>
      <c r="G244" t="s">
        <v>63</v>
      </c>
      <c r="H244" t="s">
        <v>50</v>
      </c>
      <c r="I244" t="s">
        <v>56</v>
      </c>
      <c r="J244" t="s">
        <v>52</v>
      </c>
      <c r="K244">
        <v>43.735111677982097</v>
      </c>
      <c r="L244">
        <v>0</v>
      </c>
      <c r="M244" t="s">
        <v>69</v>
      </c>
    </row>
    <row r="245" spans="1:13" x14ac:dyDescent="0.2">
      <c r="A245">
        <v>244</v>
      </c>
      <c r="B245">
        <v>2004</v>
      </c>
      <c r="C245">
        <v>34</v>
      </c>
      <c r="D245" t="s">
        <v>47</v>
      </c>
      <c r="E245" t="s">
        <v>47</v>
      </c>
      <c r="F245" t="s">
        <v>48</v>
      </c>
      <c r="G245" t="s">
        <v>54</v>
      </c>
      <c r="H245" t="s">
        <v>55</v>
      </c>
      <c r="I245" t="s">
        <v>51</v>
      </c>
      <c r="J245" t="s">
        <v>59</v>
      </c>
      <c r="K245">
        <v>114.475713290347</v>
      </c>
      <c r="L245">
        <v>1</v>
      </c>
      <c r="M245" t="s">
        <v>69</v>
      </c>
    </row>
    <row r="246" spans="1:13" x14ac:dyDescent="0.2">
      <c r="A246">
        <v>245</v>
      </c>
      <c r="B246">
        <v>2005</v>
      </c>
      <c r="C246">
        <v>26</v>
      </c>
      <c r="D246" t="s">
        <v>47</v>
      </c>
      <c r="E246" t="s">
        <v>47</v>
      </c>
      <c r="F246" t="s">
        <v>48</v>
      </c>
      <c r="G246" t="s">
        <v>66</v>
      </c>
      <c r="H246" t="s">
        <v>55</v>
      </c>
      <c r="I246" t="s">
        <v>56</v>
      </c>
      <c r="J246" t="s">
        <v>59</v>
      </c>
      <c r="K246">
        <v>114.475713290347</v>
      </c>
      <c r="L246">
        <v>1</v>
      </c>
      <c r="M246" t="s">
        <v>69</v>
      </c>
    </row>
    <row r="247" spans="1:13" x14ac:dyDescent="0.2">
      <c r="A247">
        <v>246</v>
      </c>
      <c r="B247">
        <v>2007</v>
      </c>
      <c r="C247">
        <v>22</v>
      </c>
      <c r="D247" t="s">
        <v>47</v>
      </c>
      <c r="E247" t="s">
        <v>47</v>
      </c>
      <c r="F247" t="s">
        <v>48</v>
      </c>
      <c r="G247" t="s">
        <v>63</v>
      </c>
      <c r="H247" t="s">
        <v>50</v>
      </c>
      <c r="I247" t="s">
        <v>56</v>
      </c>
      <c r="J247" t="s">
        <v>52</v>
      </c>
      <c r="K247">
        <v>81.283253284252694</v>
      </c>
      <c r="L247">
        <v>0</v>
      </c>
      <c r="M247" t="s">
        <v>69</v>
      </c>
    </row>
    <row r="248" spans="1:13" x14ac:dyDescent="0.2">
      <c r="A248">
        <v>247</v>
      </c>
      <c r="B248">
        <v>2004</v>
      </c>
      <c r="C248">
        <v>40</v>
      </c>
      <c r="D248" t="s">
        <v>57</v>
      </c>
      <c r="E248" t="s">
        <v>57</v>
      </c>
      <c r="F248" t="s">
        <v>48</v>
      </c>
      <c r="G248" t="s">
        <v>63</v>
      </c>
      <c r="H248" t="s">
        <v>55</v>
      </c>
      <c r="I248" t="s">
        <v>51</v>
      </c>
      <c r="J248" t="s">
        <v>52</v>
      </c>
      <c r="K248">
        <v>68.572165702273793</v>
      </c>
      <c r="L248">
        <v>0</v>
      </c>
      <c r="M248" t="s">
        <v>69</v>
      </c>
    </row>
    <row r="249" spans="1:13" x14ac:dyDescent="0.2">
      <c r="A249">
        <v>248</v>
      </c>
      <c r="B249">
        <v>2009</v>
      </c>
      <c r="C249">
        <v>41</v>
      </c>
      <c r="D249" t="s">
        <v>57</v>
      </c>
      <c r="E249" t="s">
        <v>57</v>
      </c>
      <c r="F249" t="s">
        <v>48</v>
      </c>
      <c r="G249" t="s">
        <v>58</v>
      </c>
      <c r="H249" t="s">
        <v>55</v>
      </c>
      <c r="I249" t="s">
        <v>56</v>
      </c>
      <c r="J249" t="s">
        <v>59</v>
      </c>
      <c r="K249">
        <v>109.833985642199</v>
      </c>
      <c r="L249">
        <v>1</v>
      </c>
      <c r="M249" t="s">
        <v>69</v>
      </c>
    </row>
    <row r="250" spans="1:13" x14ac:dyDescent="0.2">
      <c r="A250">
        <v>249</v>
      </c>
      <c r="B250">
        <v>2006</v>
      </c>
      <c r="C250">
        <v>36</v>
      </c>
      <c r="D250" t="s">
        <v>47</v>
      </c>
      <c r="E250" t="s">
        <v>47</v>
      </c>
      <c r="F250" t="s">
        <v>65</v>
      </c>
      <c r="G250" t="s">
        <v>58</v>
      </c>
      <c r="H250" t="s">
        <v>50</v>
      </c>
      <c r="I250" t="s">
        <v>56</v>
      </c>
      <c r="J250" t="s">
        <v>59</v>
      </c>
      <c r="K250">
        <v>97.493294045393398</v>
      </c>
      <c r="L250">
        <v>0</v>
      </c>
      <c r="M250" t="s">
        <v>69</v>
      </c>
    </row>
    <row r="251" spans="1:13" x14ac:dyDescent="0.2">
      <c r="A251">
        <v>250</v>
      </c>
      <c r="B251">
        <v>2007</v>
      </c>
      <c r="C251">
        <v>38</v>
      </c>
      <c r="D251" t="s">
        <v>57</v>
      </c>
      <c r="E251" t="s">
        <v>57</v>
      </c>
      <c r="F251" t="s">
        <v>48</v>
      </c>
      <c r="G251" t="s">
        <v>49</v>
      </c>
      <c r="H251" t="s">
        <v>50</v>
      </c>
      <c r="I251" t="s">
        <v>56</v>
      </c>
      <c r="J251" t="s">
        <v>52</v>
      </c>
      <c r="K251">
        <v>62.398354720568499</v>
      </c>
      <c r="L251">
        <v>0</v>
      </c>
      <c r="M251" t="s">
        <v>69</v>
      </c>
    </row>
    <row r="252" spans="1:13" x14ac:dyDescent="0.2">
      <c r="A252">
        <v>251</v>
      </c>
      <c r="B252">
        <v>2003</v>
      </c>
      <c r="C252">
        <v>48</v>
      </c>
      <c r="D252" t="s">
        <v>57</v>
      </c>
      <c r="E252" t="s">
        <v>57</v>
      </c>
      <c r="F252" t="s">
        <v>48</v>
      </c>
      <c r="G252" t="s">
        <v>63</v>
      </c>
      <c r="H252" t="s">
        <v>50</v>
      </c>
      <c r="I252" t="s">
        <v>56</v>
      </c>
      <c r="J252" t="s">
        <v>52</v>
      </c>
      <c r="K252">
        <v>97.493294045393398</v>
      </c>
      <c r="L252">
        <v>0</v>
      </c>
      <c r="M252" t="s">
        <v>69</v>
      </c>
    </row>
    <row r="253" spans="1:13" x14ac:dyDescent="0.2">
      <c r="A253">
        <v>252</v>
      </c>
      <c r="B253">
        <v>2006</v>
      </c>
      <c r="C253">
        <v>47</v>
      </c>
      <c r="D253" t="s">
        <v>57</v>
      </c>
      <c r="E253" t="s">
        <v>57</v>
      </c>
      <c r="F253" t="s">
        <v>48</v>
      </c>
      <c r="G253" t="s">
        <v>58</v>
      </c>
      <c r="H253" t="s">
        <v>55</v>
      </c>
      <c r="I253" t="s">
        <v>56</v>
      </c>
      <c r="J253" t="s">
        <v>59</v>
      </c>
      <c r="K253">
        <v>134.705375118879</v>
      </c>
      <c r="L253">
        <v>1</v>
      </c>
      <c r="M253" t="s">
        <v>69</v>
      </c>
    </row>
    <row r="254" spans="1:13" x14ac:dyDescent="0.2">
      <c r="A254">
        <v>253</v>
      </c>
      <c r="B254">
        <v>2005</v>
      </c>
      <c r="C254">
        <v>47</v>
      </c>
      <c r="D254" t="s">
        <v>68</v>
      </c>
      <c r="E254" t="s">
        <v>62</v>
      </c>
      <c r="F254" t="s">
        <v>48</v>
      </c>
      <c r="G254" t="s">
        <v>49</v>
      </c>
      <c r="H254" t="s">
        <v>50</v>
      </c>
      <c r="I254" t="s">
        <v>51</v>
      </c>
      <c r="J254" t="s">
        <v>52</v>
      </c>
      <c r="K254">
        <v>61.187526433991501</v>
      </c>
      <c r="L254">
        <v>0</v>
      </c>
      <c r="M254" t="s">
        <v>69</v>
      </c>
    </row>
    <row r="255" spans="1:13" x14ac:dyDescent="0.2">
      <c r="A255">
        <v>254</v>
      </c>
      <c r="B255">
        <v>2007</v>
      </c>
      <c r="C255">
        <v>35</v>
      </c>
      <c r="D255" t="s">
        <v>57</v>
      </c>
      <c r="E255" t="s">
        <v>57</v>
      </c>
      <c r="F255" t="s">
        <v>48</v>
      </c>
      <c r="G255" t="s">
        <v>54</v>
      </c>
      <c r="H255" t="s">
        <v>55</v>
      </c>
      <c r="I255" t="s">
        <v>51</v>
      </c>
      <c r="J255" t="s">
        <v>52</v>
      </c>
      <c r="K255">
        <v>118.884359339886</v>
      </c>
      <c r="L255">
        <v>1</v>
      </c>
      <c r="M255" t="s">
        <v>69</v>
      </c>
    </row>
    <row r="256" spans="1:13" x14ac:dyDescent="0.2">
      <c r="A256">
        <v>255</v>
      </c>
      <c r="B256">
        <v>2008</v>
      </c>
      <c r="C256">
        <v>49</v>
      </c>
      <c r="D256" t="s">
        <v>57</v>
      </c>
      <c r="E256" t="s">
        <v>57</v>
      </c>
      <c r="F256" t="s">
        <v>60</v>
      </c>
      <c r="G256" t="s">
        <v>63</v>
      </c>
      <c r="H256" t="s">
        <v>55</v>
      </c>
      <c r="I256" t="s">
        <v>56</v>
      </c>
      <c r="J256" t="s">
        <v>59</v>
      </c>
      <c r="K256">
        <v>65.110853715344703</v>
      </c>
      <c r="L256">
        <v>0</v>
      </c>
      <c r="M256" t="s">
        <v>69</v>
      </c>
    </row>
    <row r="257" spans="1:13" x14ac:dyDescent="0.2">
      <c r="A257">
        <v>256</v>
      </c>
      <c r="B257">
        <v>2004</v>
      </c>
      <c r="C257">
        <v>40</v>
      </c>
      <c r="D257" t="s">
        <v>57</v>
      </c>
      <c r="E257" t="s">
        <v>57</v>
      </c>
      <c r="F257" t="s">
        <v>48</v>
      </c>
      <c r="G257" t="s">
        <v>58</v>
      </c>
      <c r="H257" t="s">
        <v>55</v>
      </c>
      <c r="I257" t="s">
        <v>56</v>
      </c>
      <c r="J257" t="s">
        <v>59</v>
      </c>
      <c r="K257">
        <v>109.833985642199</v>
      </c>
      <c r="L257">
        <v>1</v>
      </c>
      <c r="M257" t="s">
        <v>69</v>
      </c>
    </row>
    <row r="258" spans="1:13" x14ac:dyDescent="0.2">
      <c r="A258">
        <v>257</v>
      </c>
      <c r="B258">
        <v>2004</v>
      </c>
      <c r="C258">
        <v>32</v>
      </c>
      <c r="D258" t="s">
        <v>67</v>
      </c>
      <c r="E258" t="s">
        <v>62</v>
      </c>
      <c r="F258" t="s">
        <v>60</v>
      </c>
      <c r="G258" t="s">
        <v>54</v>
      </c>
      <c r="H258" t="s">
        <v>50</v>
      </c>
      <c r="I258" t="s">
        <v>56</v>
      </c>
      <c r="J258" t="s">
        <v>52</v>
      </c>
      <c r="K258">
        <v>104.921506533664</v>
      </c>
      <c r="L258">
        <v>1</v>
      </c>
      <c r="M258" t="s">
        <v>69</v>
      </c>
    </row>
    <row r="259" spans="1:13" x14ac:dyDescent="0.2">
      <c r="A259">
        <v>258</v>
      </c>
      <c r="B259">
        <v>2008</v>
      </c>
      <c r="C259">
        <v>57</v>
      </c>
      <c r="D259" t="s">
        <v>57</v>
      </c>
      <c r="E259" t="s">
        <v>57</v>
      </c>
      <c r="F259" t="s">
        <v>48</v>
      </c>
      <c r="G259" t="s">
        <v>54</v>
      </c>
      <c r="H259" t="s">
        <v>50</v>
      </c>
      <c r="I259" t="s">
        <v>56</v>
      </c>
      <c r="J259" t="s">
        <v>59</v>
      </c>
      <c r="K259">
        <v>73.775743274694605</v>
      </c>
      <c r="L259">
        <v>0</v>
      </c>
      <c r="M259" t="s">
        <v>69</v>
      </c>
    </row>
    <row r="260" spans="1:13" x14ac:dyDescent="0.2">
      <c r="A260">
        <v>259</v>
      </c>
      <c r="B260">
        <v>2008</v>
      </c>
      <c r="C260">
        <v>56</v>
      </c>
      <c r="D260" t="s">
        <v>57</v>
      </c>
      <c r="E260" t="s">
        <v>57</v>
      </c>
      <c r="F260" t="s">
        <v>48</v>
      </c>
      <c r="G260" t="s">
        <v>54</v>
      </c>
      <c r="H260" t="s">
        <v>50</v>
      </c>
      <c r="I260" t="s">
        <v>56</v>
      </c>
      <c r="J260" t="s">
        <v>59</v>
      </c>
      <c r="K260">
        <v>141.77517233318</v>
      </c>
      <c r="L260">
        <v>1</v>
      </c>
      <c r="M260" t="s">
        <v>69</v>
      </c>
    </row>
    <row r="261" spans="1:13" x14ac:dyDescent="0.2">
      <c r="A261">
        <v>260</v>
      </c>
      <c r="B261">
        <v>2009</v>
      </c>
      <c r="C261">
        <v>73</v>
      </c>
      <c r="D261" t="s">
        <v>57</v>
      </c>
      <c r="E261" t="s">
        <v>57</v>
      </c>
      <c r="F261" t="s">
        <v>48</v>
      </c>
      <c r="G261" t="s">
        <v>49</v>
      </c>
      <c r="H261" t="s">
        <v>50</v>
      </c>
      <c r="I261" t="s">
        <v>51</v>
      </c>
      <c r="J261" t="s">
        <v>52</v>
      </c>
      <c r="K261">
        <v>90.481913356640106</v>
      </c>
      <c r="L261">
        <v>0</v>
      </c>
      <c r="M261" t="s">
        <v>69</v>
      </c>
    </row>
    <row r="262" spans="1:13" x14ac:dyDescent="0.2">
      <c r="A262">
        <v>261</v>
      </c>
      <c r="B262">
        <v>2007</v>
      </c>
      <c r="C262">
        <v>29</v>
      </c>
      <c r="D262" t="s">
        <v>47</v>
      </c>
      <c r="E262" t="s">
        <v>47</v>
      </c>
      <c r="F262" t="s">
        <v>48</v>
      </c>
      <c r="G262" t="s">
        <v>63</v>
      </c>
      <c r="H262" t="s">
        <v>50</v>
      </c>
      <c r="I262" t="s">
        <v>51</v>
      </c>
      <c r="J262" t="s">
        <v>59</v>
      </c>
      <c r="K262">
        <v>73.775743274694605</v>
      </c>
      <c r="L262">
        <v>0</v>
      </c>
      <c r="M262" t="s">
        <v>69</v>
      </c>
    </row>
    <row r="263" spans="1:13" x14ac:dyDescent="0.2">
      <c r="A263">
        <v>262</v>
      </c>
      <c r="B263">
        <v>2003</v>
      </c>
      <c r="C263">
        <v>49</v>
      </c>
      <c r="D263" t="s">
        <v>57</v>
      </c>
      <c r="E263" t="s">
        <v>57</v>
      </c>
      <c r="F263" t="s">
        <v>60</v>
      </c>
      <c r="G263" t="s">
        <v>66</v>
      </c>
      <c r="H263" t="s">
        <v>50</v>
      </c>
      <c r="I263" t="s">
        <v>56</v>
      </c>
      <c r="J263" t="s">
        <v>59</v>
      </c>
      <c r="K263">
        <v>134.705375118879</v>
      </c>
      <c r="L263">
        <v>1</v>
      </c>
      <c r="M263" t="s">
        <v>69</v>
      </c>
    </row>
    <row r="264" spans="1:13" x14ac:dyDescent="0.2">
      <c r="A264">
        <v>263</v>
      </c>
      <c r="B264">
        <v>2009</v>
      </c>
      <c r="C264">
        <v>30</v>
      </c>
      <c r="D264" t="s">
        <v>47</v>
      </c>
      <c r="E264" t="s">
        <v>47</v>
      </c>
      <c r="F264" t="s">
        <v>48</v>
      </c>
      <c r="G264" t="s">
        <v>63</v>
      </c>
      <c r="H264" t="s">
        <v>50</v>
      </c>
      <c r="I264" t="s">
        <v>56</v>
      </c>
      <c r="J264" t="s">
        <v>59</v>
      </c>
      <c r="K264">
        <v>109.833985642199</v>
      </c>
      <c r="L264">
        <v>1</v>
      </c>
      <c r="M264" t="s">
        <v>69</v>
      </c>
    </row>
    <row r="265" spans="1:13" x14ac:dyDescent="0.2">
      <c r="A265">
        <v>264</v>
      </c>
      <c r="B265">
        <v>2008</v>
      </c>
      <c r="C265">
        <v>29</v>
      </c>
      <c r="D265" t="s">
        <v>57</v>
      </c>
      <c r="E265" t="s">
        <v>57</v>
      </c>
      <c r="F265" t="s">
        <v>48</v>
      </c>
      <c r="G265" t="s">
        <v>63</v>
      </c>
      <c r="H265" t="s">
        <v>50</v>
      </c>
      <c r="I265" t="s">
        <v>56</v>
      </c>
      <c r="J265" t="s">
        <v>59</v>
      </c>
      <c r="K265">
        <v>91.699226111704206</v>
      </c>
      <c r="L265">
        <v>0</v>
      </c>
      <c r="M265" t="s">
        <v>69</v>
      </c>
    </row>
    <row r="266" spans="1:13" x14ac:dyDescent="0.2">
      <c r="A266">
        <v>265</v>
      </c>
      <c r="B266">
        <v>2004</v>
      </c>
      <c r="C266">
        <v>36</v>
      </c>
      <c r="D266" t="s">
        <v>57</v>
      </c>
      <c r="E266" t="s">
        <v>57</v>
      </c>
      <c r="F266" t="s">
        <v>48</v>
      </c>
      <c r="G266" t="s">
        <v>58</v>
      </c>
      <c r="H266" t="s">
        <v>55</v>
      </c>
      <c r="I266" t="s">
        <v>56</v>
      </c>
      <c r="J266" t="s">
        <v>52</v>
      </c>
      <c r="K266">
        <v>95.230712566981893</v>
      </c>
      <c r="L266">
        <v>0</v>
      </c>
      <c r="M266" t="s">
        <v>69</v>
      </c>
    </row>
    <row r="267" spans="1:13" x14ac:dyDescent="0.2">
      <c r="A267">
        <v>266</v>
      </c>
      <c r="B267">
        <v>2009</v>
      </c>
      <c r="C267">
        <v>39</v>
      </c>
      <c r="D267" t="s">
        <v>57</v>
      </c>
      <c r="E267" t="s">
        <v>57</v>
      </c>
      <c r="F267" t="s">
        <v>48</v>
      </c>
      <c r="G267" t="s">
        <v>66</v>
      </c>
      <c r="H267" t="s">
        <v>55</v>
      </c>
      <c r="I267" t="s">
        <v>56</v>
      </c>
      <c r="J267" t="s">
        <v>59</v>
      </c>
      <c r="K267">
        <v>156.50351088263301</v>
      </c>
      <c r="L267">
        <v>1</v>
      </c>
      <c r="M267" t="s">
        <v>69</v>
      </c>
    </row>
    <row r="268" spans="1:13" x14ac:dyDescent="0.2">
      <c r="A268">
        <v>267</v>
      </c>
      <c r="B268">
        <v>2007</v>
      </c>
      <c r="C268">
        <v>48</v>
      </c>
      <c r="D268" t="s">
        <v>57</v>
      </c>
      <c r="E268" t="s">
        <v>57</v>
      </c>
      <c r="F268" t="s">
        <v>48</v>
      </c>
      <c r="G268" t="s">
        <v>54</v>
      </c>
      <c r="H268" t="s">
        <v>55</v>
      </c>
      <c r="I268" t="s">
        <v>56</v>
      </c>
      <c r="J268" t="s">
        <v>59</v>
      </c>
      <c r="K268">
        <v>104.921506533664</v>
      </c>
      <c r="L268">
        <v>1</v>
      </c>
      <c r="M268" t="s">
        <v>69</v>
      </c>
    </row>
    <row r="269" spans="1:13" x14ac:dyDescent="0.2">
      <c r="A269">
        <v>268</v>
      </c>
      <c r="B269">
        <v>2006</v>
      </c>
      <c r="C269">
        <v>45</v>
      </c>
      <c r="D269" t="s">
        <v>57</v>
      </c>
      <c r="E269" t="s">
        <v>57</v>
      </c>
      <c r="F269" t="s">
        <v>65</v>
      </c>
      <c r="G269" t="s">
        <v>54</v>
      </c>
      <c r="H269" t="s">
        <v>50</v>
      </c>
      <c r="I269" t="s">
        <v>56</v>
      </c>
      <c r="J269" t="s">
        <v>59</v>
      </c>
      <c r="K269">
        <v>99.689463698486406</v>
      </c>
      <c r="L269">
        <v>0</v>
      </c>
      <c r="M269" t="s">
        <v>69</v>
      </c>
    </row>
    <row r="270" spans="1:13" x14ac:dyDescent="0.2">
      <c r="A270">
        <v>269</v>
      </c>
      <c r="B270">
        <v>2004</v>
      </c>
      <c r="C270">
        <v>50</v>
      </c>
      <c r="D270" t="s">
        <v>57</v>
      </c>
      <c r="E270" t="s">
        <v>57</v>
      </c>
      <c r="F270" t="s">
        <v>48</v>
      </c>
      <c r="G270" t="s">
        <v>54</v>
      </c>
      <c r="H270" t="s">
        <v>50</v>
      </c>
      <c r="I270" t="s">
        <v>51</v>
      </c>
      <c r="J270" t="s">
        <v>52</v>
      </c>
      <c r="K270">
        <v>54.598150033144201</v>
      </c>
      <c r="L270">
        <v>0</v>
      </c>
      <c r="M270" t="s">
        <v>69</v>
      </c>
    </row>
    <row r="271" spans="1:13" x14ac:dyDescent="0.2">
      <c r="A271">
        <v>270</v>
      </c>
      <c r="B271">
        <v>2003</v>
      </c>
      <c r="C271">
        <v>42</v>
      </c>
      <c r="D271" t="s">
        <v>57</v>
      </c>
      <c r="E271" t="s">
        <v>57</v>
      </c>
      <c r="F271" t="s">
        <v>48</v>
      </c>
      <c r="G271" t="s">
        <v>54</v>
      </c>
      <c r="H271" t="s">
        <v>55</v>
      </c>
      <c r="I271" t="s">
        <v>56</v>
      </c>
      <c r="J271" t="s">
        <v>59</v>
      </c>
      <c r="K271">
        <v>32.366413174854898</v>
      </c>
      <c r="L271">
        <v>0</v>
      </c>
      <c r="M271" t="s">
        <v>69</v>
      </c>
    </row>
    <row r="272" spans="1:13" x14ac:dyDescent="0.2">
      <c r="A272">
        <v>271</v>
      </c>
      <c r="B272">
        <v>2007</v>
      </c>
      <c r="C272">
        <v>58</v>
      </c>
      <c r="D272" t="s">
        <v>57</v>
      </c>
      <c r="E272" t="s">
        <v>57</v>
      </c>
      <c r="F272" t="s">
        <v>48</v>
      </c>
      <c r="G272" t="s">
        <v>58</v>
      </c>
      <c r="H272" t="s">
        <v>50</v>
      </c>
      <c r="I272" t="s">
        <v>51</v>
      </c>
      <c r="J272" t="s">
        <v>52</v>
      </c>
      <c r="K272">
        <v>118.884359339886</v>
      </c>
      <c r="L272">
        <v>1</v>
      </c>
      <c r="M272" t="s">
        <v>69</v>
      </c>
    </row>
    <row r="273" spans="1:13" x14ac:dyDescent="0.2">
      <c r="A273">
        <v>272</v>
      </c>
      <c r="B273">
        <v>2007</v>
      </c>
      <c r="C273">
        <v>48</v>
      </c>
      <c r="D273" t="s">
        <v>57</v>
      </c>
      <c r="E273" t="s">
        <v>57</v>
      </c>
      <c r="F273" t="s">
        <v>48</v>
      </c>
      <c r="G273" t="s">
        <v>63</v>
      </c>
      <c r="H273" t="s">
        <v>50</v>
      </c>
      <c r="I273" t="s">
        <v>56</v>
      </c>
      <c r="J273" t="s">
        <v>59</v>
      </c>
      <c r="K273">
        <v>109.833985642199</v>
      </c>
      <c r="L273">
        <v>1</v>
      </c>
      <c r="M273" t="s">
        <v>69</v>
      </c>
    </row>
    <row r="274" spans="1:13" x14ac:dyDescent="0.2">
      <c r="A274">
        <v>273</v>
      </c>
      <c r="B274">
        <v>2003</v>
      </c>
      <c r="C274">
        <v>48</v>
      </c>
      <c r="D274" t="s">
        <v>57</v>
      </c>
      <c r="E274" t="s">
        <v>57</v>
      </c>
      <c r="F274" t="s">
        <v>48</v>
      </c>
      <c r="G274" t="s">
        <v>54</v>
      </c>
      <c r="H274" t="s">
        <v>50</v>
      </c>
      <c r="I274" t="s">
        <v>56</v>
      </c>
      <c r="J274" t="s">
        <v>59</v>
      </c>
      <c r="K274">
        <v>109.833985642199</v>
      </c>
      <c r="L274">
        <v>1</v>
      </c>
      <c r="M274" t="s">
        <v>69</v>
      </c>
    </row>
    <row r="275" spans="1:13" x14ac:dyDescent="0.2">
      <c r="A275">
        <v>274</v>
      </c>
      <c r="B275">
        <v>2005</v>
      </c>
      <c r="C275">
        <v>45</v>
      </c>
      <c r="D275" t="s">
        <v>57</v>
      </c>
      <c r="E275" t="s">
        <v>57</v>
      </c>
      <c r="F275" t="s">
        <v>48</v>
      </c>
      <c r="G275" t="s">
        <v>58</v>
      </c>
      <c r="H275" t="s">
        <v>55</v>
      </c>
      <c r="I275" t="s">
        <v>56</v>
      </c>
      <c r="J275" t="s">
        <v>59</v>
      </c>
      <c r="K275">
        <v>118.884359339886</v>
      </c>
      <c r="L275">
        <v>1</v>
      </c>
      <c r="M275" t="s">
        <v>69</v>
      </c>
    </row>
    <row r="276" spans="1:13" x14ac:dyDescent="0.2">
      <c r="A276">
        <v>275</v>
      </c>
      <c r="B276">
        <v>2007</v>
      </c>
      <c r="C276">
        <v>41</v>
      </c>
      <c r="D276" t="s">
        <v>61</v>
      </c>
      <c r="E276" t="s">
        <v>62</v>
      </c>
      <c r="F276" t="s">
        <v>48</v>
      </c>
      <c r="G276" t="s">
        <v>58</v>
      </c>
      <c r="H276" t="s">
        <v>50</v>
      </c>
      <c r="I276" t="s">
        <v>56</v>
      </c>
      <c r="J276" t="s">
        <v>59</v>
      </c>
      <c r="K276">
        <v>110.782650276254</v>
      </c>
      <c r="L276">
        <v>1</v>
      </c>
      <c r="M276" t="s">
        <v>69</v>
      </c>
    </row>
    <row r="277" spans="1:13" x14ac:dyDescent="0.2">
      <c r="A277">
        <v>276</v>
      </c>
      <c r="B277">
        <v>2008</v>
      </c>
      <c r="C277">
        <v>27</v>
      </c>
      <c r="D277" t="s">
        <v>47</v>
      </c>
      <c r="E277" t="s">
        <v>47</v>
      </c>
      <c r="F277" t="s">
        <v>48</v>
      </c>
      <c r="G277" t="s">
        <v>63</v>
      </c>
      <c r="H277" t="s">
        <v>50</v>
      </c>
      <c r="I277" t="s">
        <v>56</v>
      </c>
      <c r="J277" t="s">
        <v>59</v>
      </c>
      <c r="K277">
        <v>93.557267347930605</v>
      </c>
      <c r="L277">
        <v>0</v>
      </c>
      <c r="M277" t="s">
        <v>69</v>
      </c>
    </row>
    <row r="278" spans="1:13" x14ac:dyDescent="0.2">
      <c r="A278">
        <v>277</v>
      </c>
      <c r="B278">
        <v>2004</v>
      </c>
      <c r="C278">
        <v>44</v>
      </c>
      <c r="D278" t="s">
        <v>57</v>
      </c>
      <c r="E278" t="s">
        <v>57</v>
      </c>
      <c r="F278" t="s">
        <v>48</v>
      </c>
      <c r="G278" t="s">
        <v>63</v>
      </c>
      <c r="H278" t="s">
        <v>55</v>
      </c>
      <c r="I278" t="s">
        <v>56</v>
      </c>
      <c r="J278" t="s">
        <v>59</v>
      </c>
      <c r="K278">
        <v>109.833985642199</v>
      </c>
      <c r="L278">
        <v>1</v>
      </c>
      <c r="M278" t="s">
        <v>69</v>
      </c>
    </row>
    <row r="279" spans="1:13" x14ac:dyDescent="0.2">
      <c r="A279">
        <v>278</v>
      </c>
      <c r="B279">
        <v>2003</v>
      </c>
      <c r="C279">
        <v>32</v>
      </c>
      <c r="D279" t="s">
        <v>57</v>
      </c>
      <c r="E279" t="s">
        <v>57</v>
      </c>
      <c r="F279" t="s">
        <v>48</v>
      </c>
      <c r="G279" t="s">
        <v>54</v>
      </c>
      <c r="H279" t="s">
        <v>55</v>
      </c>
      <c r="I279" t="s">
        <v>56</v>
      </c>
      <c r="J279" t="s">
        <v>59</v>
      </c>
      <c r="K279">
        <v>118.884359339886</v>
      </c>
      <c r="L279">
        <v>1</v>
      </c>
      <c r="M279" t="s">
        <v>69</v>
      </c>
    </row>
    <row r="280" spans="1:13" x14ac:dyDescent="0.2">
      <c r="A280">
        <v>279</v>
      </c>
      <c r="B280">
        <v>2006</v>
      </c>
      <c r="C280">
        <v>46</v>
      </c>
      <c r="D280" t="s">
        <v>57</v>
      </c>
      <c r="E280" t="s">
        <v>57</v>
      </c>
      <c r="F280" t="s">
        <v>48</v>
      </c>
      <c r="G280" t="s">
        <v>49</v>
      </c>
      <c r="H280" t="s">
        <v>55</v>
      </c>
      <c r="I280" t="s">
        <v>56</v>
      </c>
      <c r="J280" t="s">
        <v>59</v>
      </c>
      <c r="K280">
        <v>118.884359339886</v>
      </c>
      <c r="L280">
        <v>1</v>
      </c>
      <c r="M280" t="s">
        <v>69</v>
      </c>
    </row>
    <row r="281" spans="1:13" x14ac:dyDescent="0.2">
      <c r="A281">
        <v>280</v>
      </c>
      <c r="B281">
        <v>2005</v>
      </c>
      <c r="C281">
        <v>52</v>
      </c>
      <c r="D281" t="s">
        <v>57</v>
      </c>
      <c r="E281" t="s">
        <v>57</v>
      </c>
      <c r="F281" t="s">
        <v>65</v>
      </c>
      <c r="G281" t="s">
        <v>63</v>
      </c>
      <c r="H281" t="s">
        <v>55</v>
      </c>
      <c r="I281" t="s">
        <v>51</v>
      </c>
      <c r="J281" t="s">
        <v>52</v>
      </c>
      <c r="K281">
        <v>52.1561711699147</v>
      </c>
      <c r="L281">
        <v>0</v>
      </c>
      <c r="M281" t="s">
        <v>69</v>
      </c>
    </row>
    <row r="282" spans="1:13" x14ac:dyDescent="0.2">
      <c r="A282">
        <v>281</v>
      </c>
      <c r="B282">
        <v>2003</v>
      </c>
      <c r="C282">
        <v>22</v>
      </c>
      <c r="D282" t="s">
        <v>47</v>
      </c>
      <c r="E282" t="s">
        <v>47</v>
      </c>
      <c r="F282" t="s">
        <v>48</v>
      </c>
      <c r="G282" t="s">
        <v>58</v>
      </c>
      <c r="H282" t="s">
        <v>50</v>
      </c>
      <c r="I282" t="s">
        <v>56</v>
      </c>
      <c r="J282" t="s">
        <v>52</v>
      </c>
      <c r="K282">
        <v>43.735111677982097</v>
      </c>
      <c r="L282">
        <v>0</v>
      </c>
      <c r="M282" t="s">
        <v>69</v>
      </c>
    </row>
    <row r="283" spans="1:13" x14ac:dyDescent="0.2">
      <c r="A283">
        <v>282</v>
      </c>
      <c r="B283">
        <v>2004</v>
      </c>
      <c r="C283">
        <v>53</v>
      </c>
      <c r="D283" t="s">
        <v>67</v>
      </c>
      <c r="E283" t="s">
        <v>62</v>
      </c>
      <c r="F283" t="s">
        <v>48</v>
      </c>
      <c r="G283" t="s">
        <v>63</v>
      </c>
      <c r="H283" t="s">
        <v>50</v>
      </c>
      <c r="I283" t="s">
        <v>56</v>
      </c>
      <c r="J283" t="s">
        <v>59</v>
      </c>
      <c r="K283">
        <v>117.146816914805</v>
      </c>
      <c r="L283">
        <v>1</v>
      </c>
      <c r="M283" t="s">
        <v>69</v>
      </c>
    </row>
    <row r="284" spans="1:13" x14ac:dyDescent="0.2">
      <c r="A284">
        <v>283</v>
      </c>
      <c r="B284">
        <v>2008</v>
      </c>
      <c r="C284">
        <v>34</v>
      </c>
      <c r="D284" t="s">
        <v>57</v>
      </c>
      <c r="E284" t="s">
        <v>57</v>
      </c>
      <c r="F284" t="s">
        <v>48</v>
      </c>
      <c r="G284" t="s">
        <v>66</v>
      </c>
      <c r="H284" t="s">
        <v>50</v>
      </c>
      <c r="I284" t="s">
        <v>51</v>
      </c>
      <c r="J284" t="s">
        <v>59</v>
      </c>
      <c r="K284">
        <v>118.884359339886</v>
      </c>
      <c r="L284">
        <v>1</v>
      </c>
      <c r="M284" t="s">
        <v>69</v>
      </c>
    </row>
    <row r="285" spans="1:13" x14ac:dyDescent="0.2">
      <c r="A285">
        <v>284</v>
      </c>
      <c r="B285">
        <v>2009</v>
      </c>
      <c r="C285">
        <v>38</v>
      </c>
      <c r="D285" t="s">
        <v>57</v>
      </c>
      <c r="E285" t="s">
        <v>57</v>
      </c>
      <c r="F285" t="s">
        <v>48</v>
      </c>
      <c r="G285" t="s">
        <v>63</v>
      </c>
      <c r="H285" t="s">
        <v>50</v>
      </c>
      <c r="I285" t="s">
        <v>56</v>
      </c>
      <c r="J285" t="s">
        <v>59</v>
      </c>
      <c r="K285">
        <v>148.413159102577</v>
      </c>
      <c r="L285">
        <v>1</v>
      </c>
      <c r="M285" t="s">
        <v>69</v>
      </c>
    </row>
    <row r="286" spans="1:13" x14ac:dyDescent="0.2">
      <c r="A286">
        <v>285</v>
      </c>
      <c r="B286">
        <v>2009</v>
      </c>
      <c r="C286">
        <v>42</v>
      </c>
      <c r="D286" t="s">
        <v>57</v>
      </c>
      <c r="E286" t="s">
        <v>57</v>
      </c>
      <c r="F286" t="s">
        <v>48</v>
      </c>
      <c r="G286" t="s">
        <v>49</v>
      </c>
      <c r="H286" t="s">
        <v>55</v>
      </c>
      <c r="I286" t="s">
        <v>56</v>
      </c>
      <c r="J286" t="s">
        <v>59</v>
      </c>
      <c r="K286">
        <v>101.82435207568</v>
      </c>
      <c r="L286">
        <v>1</v>
      </c>
      <c r="M286" t="s">
        <v>69</v>
      </c>
    </row>
    <row r="287" spans="1:13" x14ac:dyDescent="0.2">
      <c r="A287">
        <v>286</v>
      </c>
      <c r="B287">
        <v>2005</v>
      </c>
      <c r="C287">
        <v>25</v>
      </c>
      <c r="D287" t="s">
        <v>47</v>
      </c>
      <c r="E287" t="s">
        <v>47</v>
      </c>
      <c r="F287" t="s">
        <v>65</v>
      </c>
      <c r="G287" t="s">
        <v>58</v>
      </c>
      <c r="H287" t="s">
        <v>55</v>
      </c>
      <c r="I287" t="s">
        <v>56</v>
      </c>
      <c r="J287" t="s">
        <v>59</v>
      </c>
      <c r="K287">
        <v>94.072714745700495</v>
      </c>
      <c r="L287">
        <v>0</v>
      </c>
      <c r="M287" t="s">
        <v>69</v>
      </c>
    </row>
    <row r="288" spans="1:13" x14ac:dyDescent="0.2">
      <c r="A288">
        <v>287</v>
      </c>
      <c r="B288">
        <v>2004</v>
      </c>
      <c r="C288">
        <v>29</v>
      </c>
      <c r="D288" t="s">
        <v>47</v>
      </c>
      <c r="E288" t="s">
        <v>47</v>
      </c>
      <c r="F288" t="s">
        <v>48</v>
      </c>
      <c r="G288" t="s">
        <v>58</v>
      </c>
      <c r="H288" t="s">
        <v>50</v>
      </c>
      <c r="I288" t="s">
        <v>56</v>
      </c>
      <c r="J288" t="s">
        <v>59</v>
      </c>
      <c r="K288">
        <v>86.695154828940204</v>
      </c>
      <c r="L288">
        <v>0</v>
      </c>
      <c r="M288" t="s">
        <v>69</v>
      </c>
    </row>
    <row r="289" spans="1:13" x14ac:dyDescent="0.2">
      <c r="A289">
        <v>288</v>
      </c>
      <c r="B289">
        <v>2005</v>
      </c>
      <c r="C289">
        <v>28</v>
      </c>
      <c r="D289" t="s">
        <v>57</v>
      </c>
      <c r="E289" t="s">
        <v>57</v>
      </c>
      <c r="F289" t="s">
        <v>48</v>
      </c>
      <c r="G289" t="s">
        <v>66</v>
      </c>
      <c r="H289" t="s">
        <v>55</v>
      </c>
      <c r="I289" t="s">
        <v>56</v>
      </c>
      <c r="J289" t="s">
        <v>59</v>
      </c>
      <c r="K289">
        <v>141.77517233318</v>
      </c>
      <c r="L289">
        <v>1</v>
      </c>
      <c r="M289" t="s">
        <v>69</v>
      </c>
    </row>
    <row r="290" spans="1:13" x14ac:dyDescent="0.2">
      <c r="A290">
        <v>289</v>
      </c>
      <c r="B290">
        <v>2005</v>
      </c>
      <c r="C290">
        <v>46</v>
      </c>
      <c r="D290" t="s">
        <v>57</v>
      </c>
      <c r="E290" t="s">
        <v>57</v>
      </c>
      <c r="F290" t="s">
        <v>48</v>
      </c>
      <c r="G290" t="s">
        <v>54</v>
      </c>
      <c r="H290" t="s">
        <v>50</v>
      </c>
      <c r="I290" t="s">
        <v>56</v>
      </c>
      <c r="J290" t="s">
        <v>59</v>
      </c>
      <c r="K290">
        <v>66.961644321735903</v>
      </c>
      <c r="L290">
        <v>0</v>
      </c>
      <c r="M290" t="s">
        <v>69</v>
      </c>
    </row>
    <row r="291" spans="1:13" x14ac:dyDescent="0.2">
      <c r="A291">
        <v>290</v>
      </c>
      <c r="B291">
        <v>2007</v>
      </c>
      <c r="C291">
        <v>55</v>
      </c>
      <c r="D291" t="s">
        <v>57</v>
      </c>
      <c r="E291" t="s">
        <v>57</v>
      </c>
      <c r="F291" t="s">
        <v>65</v>
      </c>
      <c r="G291" t="s">
        <v>66</v>
      </c>
      <c r="H291" t="s">
        <v>55</v>
      </c>
      <c r="I291" t="s">
        <v>56</v>
      </c>
      <c r="J291" t="s">
        <v>59</v>
      </c>
      <c r="K291">
        <v>118.884359339886</v>
      </c>
      <c r="L291">
        <v>1</v>
      </c>
      <c r="M291" t="s">
        <v>69</v>
      </c>
    </row>
    <row r="292" spans="1:13" x14ac:dyDescent="0.2">
      <c r="A292">
        <v>291</v>
      </c>
      <c r="B292">
        <v>2004</v>
      </c>
      <c r="C292">
        <v>56</v>
      </c>
      <c r="D292" t="s">
        <v>57</v>
      </c>
      <c r="E292" t="s">
        <v>57</v>
      </c>
      <c r="F292" t="s">
        <v>48</v>
      </c>
      <c r="G292" t="s">
        <v>63</v>
      </c>
      <c r="H292" t="s">
        <v>50</v>
      </c>
      <c r="I292" t="s">
        <v>51</v>
      </c>
      <c r="J292" t="s">
        <v>52</v>
      </c>
      <c r="K292">
        <v>105.767639622758</v>
      </c>
      <c r="L292">
        <v>1</v>
      </c>
      <c r="M292" t="s">
        <v>69</v>
      </c>
    </row>
    <row r="293" spans="1:13" x14ac:dyDescent="0.2">
      <c r="A293">
        <v>292</v>
      </c>
      <c r="B293">
        <v>2005</v>
      </c>
      <c r="C293">
        <v>41</v>
      </c>
      <c r="D293" t="s">
        <v>61</v>
      </c>
      <c r="E293" t="s">
        <v>62</v>
      </c>
      <c r="F293" t="s">
        <v>65</v>
      </c>
      <c r="G293" t="s">
        <v>63</v>
      </c>
      <c r="H293" t="s">
        <v>55</v>
      </c>
      <c r="I293" t="s">
        <v>51</v>
      </c>
      <c r="J293" t="s">
        <v>59</v>
      </c>
      <c r="K293">
        <v>118.884359339886</v>
      </c>
      <c r="L293">
        <v>1</v>
      </c>
      <c r="M293" t="s">
        <v>69</v>
      </c>
    </row>
    <row r="294" spans="1:13" x14ac:dyDescent="0.2">
      <c r="A294">
        <v>293</v>
      </c>
      <c r="B294">
        <v>2009</v>
      </c>
      <c r="C294">
        <v>61</v>
      </c>
      <c r="D294" t="s">
        <v>57</v>
      </c>
      <c r="E294" t="s">
        <v>57</v>
      </c>
      <c r="F294" t="s">
        <v>48</v>
      </c>
      <c r="G294" t="s">
        <v>66</v>
      </c>
      <c r="H294" t="s">
        <v>55</v>
      </c>
      <c r="I294" t="s">
        <v>56</v>
      </c>
      <c r="J294" t="s">
        <v>52</v>
      </c>
      <c r="K294">
        <v>176.98965048987699</v>
      </c>
      <c r="L294">
        <v>1</v>
      </c>
      <c r="M294" t="s">
        <v>69</v>
      </c>
    </row>
    <row r="295" spans="1:13" x14ac:dyDescent="0.2">
      <c r="A295">
        <v>294</v>
      </c>
      <c r="B295">
        <v>2003</v>
      </c>
      <c r="C295">
        <v>47</v>
      </c>
      <c r="D295" t="s">
        <v>57</v>
      </c>
      <c r="E295" t="s">
        <v>57</v>
      </c>
      <c r="F295" t="s">
        <v>48</v>
      </c>
      <c r="G295" t="s">
        <v>63</v>
      </c>
      <c r="H295" t="s">
        <v>55</v>
      </c>
      <c r="I295" t="s">
        <v>56</v>
      </c>
      <c r="J295" t="s">
        <v>59</v>
      </c>
      <c r="K295">
        <v>65.110853715344703</v>
      </c>
      <c r="L295">
        <v>0</v>
      </c>
      <c r="M295" t="s">
        <v>69</v>
      </c>
    </row>
    <row r="296" spans="1:13" x14ac:dyDescent="0.2">
      <c r="A296">
        <v>295</v>
      </c>
      <c r="B296">
        <v>2006</v>
      </c>
      <c r="C296">
        <v>52</v>
      </c>
      <c r="D296" t="s">
        <v>57</v>
      </c>
      <c r="E296" t="s">
        <v>57</v>
      </c>
      <c r="F296" t="s">
        <v>48</v>
      </c>
      <c r="G296" t="s">
        <v>58</v>
      </c>
      <c r="H296" t="s">
        <v>50</v>
      </c>
      <c r="I296" t="s">
        <v>56</v>
      </c>
      <c r="J296" t="s">
        <v>59</v>
      </c>
      <c r="K296">
        <v>85.3839403789827</v>
      </c>
      <c r="L296">
        <v>0</v>
      </c>
      <c r="M296" t="s">
        <v>69</v>
      </c>
    </row>
    <row r="297" spans="1:13" x14ac:dyDescent="0.2">
      <c r="A297">
        <v>296</v>
      </c>
      <c r="B297">
        <v>2004</v>
      </c>
      <c r="C297">
        <v>27</v>
      </c>
      <c r="D297" t="s">
        <v>57</v>
      </c>
      <c r="E297" t="s">
        <v>57</v>
      </c>
      <c r="F297" t="s">
        <v>48</v>
      </c>
      <c r="G297" t="s">
        <v>63</v>
      </c>
      <c r="H297" t="s">
        <v>50</v>
      </c>
      <c r="I297" t="s">
        <v>56</v>
      </c>
      <c r="J297" t="s">
        <v>52</v>
      </c>
      <c r="K297">
        <v>72.150455681571302</v>
      </c>
      <c r="L297">
        <v>0</v>
      </c>
      <c r="M297" t="s">
        <v>69</v>
      </c>
    </row>
    <row r="298" spans="1:13" x14ac:dyDescent="0.2">
      <c r="A298">
        <v>297</v>
      </c>
      <c r="B298">
        <v>2007</v>
      </c>
      <c r="C298">
        <v>33</v>
      </c>
      <c r="D298" t="s">
        <v>47</v>
      </c>
      <c r="E298" t="s">
        <v>47</v>
      </c>
      <c r="F298" t="s">
        <v>65</v>
      </c>
      <c r="G298" t="s">
        <v>58</v>
      </c>
      <c r="H298" t="s">
        <v>55</v>
      </c>
      <c r="I298" t="s">
        <v>56</v>
      </c>
      <c r="J298" t="s">
        <v>59</v>
      </c>
      <c r="K298">
        <v>89.242884664471404</v>
      </c>
      <c r="L298">
        <v>0</v>
      </c>
      <c r="M298" t="s">
        <v>69</v>
      </c>
    </row>
    <row r="299" spans="1:13" x14ac:dyDescent="0.2">
      <c r="A299">
        <v>298</v>
      </c>
      <c r="B299">
        <v>2003</v>
      </c>
      <c r="C299">
        <v>58</v>
      </c>
      <c r="D299" t="s">
        <v>47</v>
      </c>
      <c r="E299" t="s">
        <v>47</v>
      </c>
      <c r="F299" t="s">
        <v>48</v>
      </c>
      <c r="G299" t="s">
        <v>63</v>
      </c>
      <c r="H299" t="s">
        <v>55</v>
      </c>
      <c r="I299" t="s">
        <v>51</v>
      </c>
      <c r="J299" t="s">
        <v>59</v>
      </c>
      <c r="K299">
        <v>65.110853715344703</v>
      </c>
      <c r="L299">
        <v>0</v>
      </c>
      <c r="M299" t="s">
        <v>69</v>
      </c>
    </row>
    <row r="300" spans="1:13" x14ac:dyDescent="0.2">
      <c r="A300">
        <v>299</v>
      </c>
      <c r="B300">
        <v>2005</v>
      </c>
      <c r="C300">
        <v>27</v>
      </c>
      <c r="D300" t="s">
        <v>57</v>
      </c>
      <c r="E300" t="s">
        <v>57</v>
      </c>
      <c r="F300" t="s">
        <v>48</v>
      </c>
      <c r="G300" t="s">
        <v>54</v>
      </c>
      <c r="H300" t="s">
        <v>50</v>
      </c>
      <c r="I300" t="s">
        <v>56</v>
      </c>
      <c r="J300" t="s">
        <v>59</v>
      </c>
      <c r="K300">
        <v>145.80516337462501</v>
      </c>
      <c r="L300">
        <v>1</v>
      </c>
      <c r="M300" t="s">
        <v>69</v>
      </c>
    </row>
    <row r="301" spans="1:13" x14ac:dyDescent="0.2">
      <c r="A301">
        <v>300</v>
      </c>
      <c r="B301">
        <v>2009</v>
      </c>
      <c r="C301">
        <v>52</v>
      </c>
      <c r="D301" t="s">
        <v>68</v>
      </c>
      <c r="E301" t="s">
        <v>62</v>
      </c>
      <c r="F301" t="s">
        <v>65</v>
      </c>
      <c r="G301" t="s">
        <v>63</v>
      </c>
      <c r="H301" t="s">
        <v>50</v>
      </c>
      <c r="I301" t="s">
        <v>56</v>
      </c>
      <c r="J301" t="s">
        <v>59</v>
      </c>
      <c r="K301">
        <v>87.981032785605393</v>
      </c>
      <c r="L301">
        <v>0</v>
      </c>
      <c r="M301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1"/>
  <sheetViews>
    <sheetView workbookViewId="0"/>
  </sheetViews>
  <sheetFormatPr baseColWidth="10" defaultColWidth="8.83203125" defaultRowHeight="15" x14ac:dyDescent="0.2"/>
  <cols>
    <col min="1" max="1" width="15" customWidth="1"/>
    <col min="2" max="2" width="13" customWidth="1"/>
    <col min="3" max="3" width="16" customWidth="1"/>
    <col min="4" max="4" width="13" customWidth="1"/>
    <col min="5" max="5" width="17" customWidth="1"/>
    <col min="6" max="6" width="13" customWidth="1"/>
    <col min="7" max="7" width="20" customWidth="1"/>
    <col min="8" max="8" width="21" customWidth="1"/>
    <col min="9" max="9" width="14" customWidth="1"/>
    <col min="10" max="10" width="13" customWidth="1"/>
    <col min="11" max="12" width="16" customWidth="1"/>
    <col min="14" max="14" width="21" customWidth="1"/>
  </cols>
  <sheetData>
    <row r="1" spans="1:14" x14ac:dyDescent="0.2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N1" t="s">
        <v>82</v>
      </c>
    </row>
    <row r="2" spans="1:14" x14ac:dyDescent="0.2">
      <c r="A2">
        <f>Data!C2</f>
        <v>18</v>
      </c>
      <c r="B2">
        <f>COUNTIF(Data!$C$2:$C$301,"&lt;="&amp;A2)</f>
        <v>2</v>
      </c>
      <c r="C2">
        <f>IF(B2=0,0,AVERAGEIF(Data!$C$2:$C$301,"&lt;="&amp;A2,Data!$K$2:$K$301))</f>
        <v>72.759586832147988</v>
      </c>
      <c r="D2">
        <f>COUNTIF(Data!$C$2:$C$301,"&gt;"&amp;A2)</f>
        <v>298</v>
      </c>
      <c r="E2">
        <f>IF(D2=0,0,AVERAGEIF(Data!$C$2:$C$301,"&gt;"&amp;A2,Data!$K$2:$K$301))</f>
        <v>110.49152366333249</v>
      </c>
      <c r="F2">
        <f>SUMPRODUCT(--(Data!$C$2:$C$301&lt;=A2),(Data!$K$2:$K$301-C2)^2)+SUMPRODUCT(--(Data!$C$2:$C$301&gt;A2),(Data!$K$2:$K$301-E2)^2)</f>
        <v>534445.48963118088</v>
      </c>
      <c r="G2">
        <f>IF(B2=0,0,SUMPRODUCT(--(Data!$C$2:$C$301&lt;=A2),SQRT(Data!$K$2:$K$301))/B2)</f>
        <v>8.5288724295414973</v>
      </c>
      <c r="H2">
        <f>IF(D2=0,0,SUMPRODUCT(--(Data!$C$2:$C$301&gt;A2),SQRT(Data!$K$2:$K$301))/D2)</f>
        <v>10.339826869777836</v>
      </c>
      <c r="I2">
        <f>SUMPRODUCT(--(Data!$C$2:$C$301&lt;=A2),(SQRT(Data!$K$2:$K$301)-G2)^2)+SUMPRODUCT(--(Data!$C$2:$C$301&gt;A2),(SQRT(Data!$K$2:$K$301)-H2)^2)</f>
        <v>1066.7280257986683</v>
      </c>
      <c r="J2">
        <f t="shared" ref="J2:J65" si="0">IF(AND(B2&gt;0,D2&gt;0),1,0)</f>
        <v>1</v>
      </c>
      <c r="K2">
        <f t="shared" ref="K2:K65" si="1">IF(J2=1,F2,1E+99)</f>
        <v>534445.48963118088</v>
      </c>
      <c r="L2">
        <f t="shared" ref="L2:L65" si="2">IF(J2=1,I2,1E+99)</f>
        <v>1066.7280257986683</v>
      </c>
      <c r="N2">
        <f>INDEX(A2:A251,MATCH(MIN(K2:K251),K2:K251,0))</f>
        <v>34</v>
      </c>
    </row>
    <row r="3" spans="1:14" x14ac:dyDescent="0.2">
      <c r="A3">
        <f>Data!C3</f>
        <v>24</v>
      </c>
      <c r="B3">
        <f>COUNTIF(Data!$C$2:$C$301,"&lt;="&amp;A3)</f>
        <v>16</v>
      </c>
      <c r="C3">
        <f>IF(B3=0,0,AVERAGEIF(Data!$C$2:$C$301,"&lt;="&amp;A3,Data!$K$2:$K$301))</f>
        <v>64.14561608989311</v>
      </c>
      <c r="D3">
        <f>COUNTIF(Data!$C$2:$C$301,"&gt;"&amp;A3)</f>
        <v>284</v>
      </c>
      <c r="E3">
        <f>IF(D3=0,0,AVERAGEIF(Data!$C$2:$C$301,"&gt;"&amp;A3,Data!$K$2:$K$301))</f>
        <v>112.83684284471512</v>
      </c>
      <c r="F3">
        <f>SUMPRODUCT(--(Data!$C$2:$C$301&lt;=A3),(Data!$K$2:$K$301-C3)^2)+SUMPRODUCT(--(Data!$C$2:$C$301&gt;A3),(Data!$K$2:$K$301-E3)^2)</f>
        <v>501363.64909858513</v>
      </c>
      <c r="G3">
        <f>IF(B3=0,0,SUMPRODUCT(--(Data!$C$2:$C$301&lt;=A3),SQRT(Data!$K$2:$K$301))/B3)</f>
        <v>7.9418888797170792</v>
      </c>
      <c r="H3">
        <f>IF(D3=0,0,SUMPRODUCT(--(Data!$C$2:$C$301&gt;A3),SQRT(Data!$K$2:$K$301))/D3)</f>
        <v>10.462168767526075</v>
      </c>
      <c r="I3">
        <f>SUMPRODUCT(--(Data!$C$2:$C$301&lt;=A3),(SQRT(Data!$K$2:$K$301)-G3)^2)+SUMPRODUCT(--(Data!$C$2:$C$301&gt;A3),(SQRT(Data!$K$2:$K$301)-H3)^2)</f>
        <v>977.03465075678764</v>
      </c>
      <c r="J3">
        <f t="shared" si="0"/>
        <v>1</v>
      </c>
      <c r="K3">
        <f t="shared" si="1"/>
        <v>501363.64909858513</v>
      </c>
      <c r="L3">
        <f t="shared" si="2"/>
        <v>977.03465075678764</v>
      </c>
      <c r="N3" t="s">
        <v>83</v>
      </c>
    </row>
    <row r="4" spans="1:14" x14ac:dyDescent="0.2">
      <c r="A4">
        <f>Data!C4</f>
        <v>45</v>
      </c>
      <c r="B4">
        <f>COUNTIF(Data!$C$2:$C$301,"&lt;="&amp;A4)</f>
        <v>176</v>
      </c>
      <c r="C4">
        <f>IF(B4=0,0,AVERAGEIF(Data!$C$2:$C$301,"&lt;="&amp;A4,Data!$K$2:$K$301))</f>
        <v>107.19122936601325</v>
      </c>
      <c r="D4">
        <f>COUNTIF(Data!$C$2:$C$301,"&gt;"&amp;A4)</f>
        <v>124</v>
      </c>
      <c r="E4">
        <f>IF(D4=0,0,AVERAGEIF(Data!$C$2:$C$301,"&gt;"&amp;A4,Data!$K$2:$K$301))</f>
        <v>114.56723271708925</v>
      </c>
      <c r="F4">
        <f>SUMPRODUCT(--(Data!$C$2:$C$301&lt;=A4),(Data!$K$2:$K$301-C4)^2)+SUMPRODUCT(--(Data!$C$2:$C$301&gt;A4),(Data!$K$2:$K$301-E4)^2)</f>
        <v>533316.09174216771</v>
      </c>
      <c r="G4">
        <f>IF(B4=0,0,SUMPRODUCT(--(Data!$C$2:$C$301&lt;=A4),SQRT(Data!$K$2:$K$301))/B4)</f>
        <v>10.178829622446425</v>
      </c>
      <c r="H4">
        <f>IF(D4=0,0,SUMPRODUCT(--(Data!$C$2:$C$301&gt;A4),SQRT(Data!$K$2:$K$301))/D4)</f>
        <v>10.539130149212143</v>
      </c>
      <c r="I4">
        <f>SUMPRODUCT(--(Data!$C$2:$C$301&lt;=A4),(SQRT(Data!$K$2:$K$301)-G4)^2)+SUMPRODUCT(--(Data!$C$2:$C$301&gt;A4),(SQRT(Data!$K$2:$K$301)-H4)^2)</f>
        <v>1063.7996949138264</v>
      </c>
      <c r="J4">
        <f t="shared" si="0"/>
        <v>1</v>
      </c>
      <c r="K4">
        <f t="shared" si="1"/>
        <v>533316.09174216771</v>
      </c>
      <c r="L4">
        <f t="shared" si="2"/>
        <v>1063.7996949138264</v>
      </c>
      <c r="N4">
        <f>INDEX(A2:A251,MATCH(MIN(L2:L251),L2:L251,0))</f>
        <v>27</v>
      </c>
    </row>
    <row r="5" spans="1:14" x14ac:dyDescent="0.2">
      <c r="A5">
        <f>Data!C5</f>
        <v>43</v>
      </c>
      <c r="B5">
        <f>COUNTIF(Data!$C$2:$C$301,"&lt;="&amp;A5)</f>
        <v>161</v>
      </c>
      <c r="C5">
        <f>IF(B5=0,0,AVERAGEIF(Data!$C$2:$C$301,"&lt;="&amp;A5,Data!$K$2:$K$301))</f>
        <v>105.8730068010875</v>
      </c>
      <c r="D5">
        <f>COUNTIF(Data!$C$2:$C$301,"&gt;"&amp;A5)</f>
        <v>139</v>
      </c>
      <c r="E5">
        <f>IF(D5=0,0,AVERAGEIF(Data!$C$2:$C$301,"&gt;"&amp;A5,Data!$K$2:$K$301))</f>
        <v>115.29812324001665</v>
      </c>
      <c r="F5">
        <f>SUMPRODUCT(--(Data!$C$2:$C$301&lt;=A5),(Data!$K$2:$K$301-C5)^2)+SUMPRODUCT(--(Data!$C$2:$C$301&gt;A5),(Data!$K$2:$K$301-E5)^2)</f>
        <v>530647.27283695317</v>
      </c>
      <c r="G5">
        <f>IF(B5=0,0,SUMPRODUCT(--(Data!$C$2:$C$301&lt;=A5),SQRT(Data!$K$2:$K$301))/B5)</f>
        <v>10.108069640250404</v>
      </c>
      <c r="H5">
        <f>IF(D5=0,0,SUMPRODUCT(--(Data!$C$2:$C$301&gt;A5),SQRT(Data!$K$2:$K$301))/D5)</f>
        <v>10.582208201241452</v>
      </c>
      <c r="I5">
        <f>SUMPRODUCT(--(Data!$C$2:$C$301&lt;=A5),(SQRT(Data!$K$2:$K$301)-G5)^2)+SUMPRODUCT(--(Data!$C$2:$C$301&gt;A5),(SQRT(Data!$K$2:$K$301)-H5)^2)</f>
        <v>1056.4735295362882</v>
      </c>
      <c r="J5">
        <f t="shared" si="0"/>
        <v>1</v>
      </c>
      <c r="K5">
        <f t="shared" si="1"/>
        <v>530647.27283695317</v>
      </c>
      <c r="L5">
        <f t="shared" si="2"/>
        <v>1056.4735295362882</v>
      </c>
      <c r="N5" t="s">
        <v>84</v>
      </c>
    </row>
    <row r="6" spans="1:14" x14ac:dyDescent="0.2">
      <c r="A6">
        <f>Data!C6</f>
        <v>50</v>
      </c>
      <c r="B6">
        <f>COUNTIF(Data!$C$2:$C$301,"&lt;="&amp;A6)</f>
        <v>219</v>
      </c>
      <c r="C6">
        <f>IF(B6=0,0,AVERAGEIF(Data!$C$2:$C$301,"&lt;="&amp;A6,Data!$K$2:$K$301))</f>
        <v>108.70258125966022</v>
      </c>
      <c r="D6">
        <f>COUNTIF(Data!$C$2:$C$301,"&gt;"&amp;A6)</f>
        <v>81</v>
      </c>
      <c r="E6">
        <f>IF(D6=0,0,AVERAGEIF(Data!$C$2:$C$301,"&gt;"&amp;A6,Data!$K$2:$K$301))</f>
        <v>114.39664110459017</v>
      </c>
      <c r="F6">
        <f>SUMPRODUCT(--(Data!$C$2:$C$301&lt;=A6),(Data!$K$2:$K$301-C6)^2)+SUMPRODUCT(--(Data!$C$2:$C$301&gt;A6),(Data!$K$2:$K$301-E6)^2)</f>
        <v>535356.77345633367</v>
      </c>
      <c r="G6">
        <f>IF(B6=0,0,SUMPRODUCT(--(Data!$C$2:$C$301&lt;=A6),SQRT(Data!$K$2:$K$301))/B6)</f>
        <v>10.254440242387149</v>
      </c>
      <c r="H6">
        <f>IF(D6=0,0,SUMPRODUCT(--(Data!$C$2:$C$301&gt;A6),SQRT(Data!$K$2:$K$301))/D6)</f>
        <v>10.525972086050512</v>
      </c>
      <c r="I6">
        <f>SUMPRODUCT(--(Data!$C$2:$C$301&lt;=A6),(SQRT(Data!$K$2:$K$301)-G6)^2)+SUMPRODUCT(--(Data!$C$2:$C$301&gt;A6),(SQRT(Data!$K$2:$K$301)-H6)^2)</f>
        <v>1068.8837825290173</v>
      </c>
      <c r="J6">
        <f t="shared" si="0"/>
        <v>1</v>
      </c>
      <c r="K6">
        <f t="shared" si="1"/>
        <v>535356.77345633367</v>
      </c>
      <c r="L6">
        <f t="shared" si="2"/>
        <v>1068.8837825290173</v>
      </c>
      <c r="N6">
        <f>ABS(N2-N4)</f>
        <v>7</v>
      </c>
    </row>
    <row r="7" spans="1:14" x14ac:dyDescent="0.2">
      <c r="A7">
        <f>Data!C7</f>
        <v>54</v>
      </c>
      <c r="B7">
        <f>COUNTIF(Data!$C$2:$C$301,"&lt;="&amp;A7)</f>
        <v>245</v>
      </c>
      <c r="C7">
        <f>IF(B7=0,0,AVERAGEIF(Data!$C$2:$C$301,"&lt;="&amp;A7,Data!$K$2:$K$301))</f>
        <v>108.7043715775597</v>
      </c>
      <c r="D7">
        <f>COUNTIF(Data!$C$2:$C$301,"&gt;"&amp;A7)</f>
        <v>55</v>
      </c>
      <c r="E7">
        <f>IF(D7=0,0,AVERAGEIF(Data!$C$2:$C$301,"&gt;"&amp;A7,Data!$K$2:$K$301))</f>
        <v>117.08040343336856</v>
      </c>
      <c r="F7">
        <f>SUMPRODUCT(--(Data!$C$2:$C$301&lt;=A7),(Data!$K$2:$K$301-C7)^2)+SUMPRODUCT(--(Data!$C$2:$C$301&gt;A7),(Data!$K$2:$K$301-E7)^2)</f>
        <v>534122.64564939437</v>
      </c>
      <c r="G7">
        <f>IF(B7=0,0,SUMPRODUCT(--(Data!$C$2:$C$301&lt;=A7),SQRT(Data!$K$2:$K$301))/B7)</f>
        <v>10.262431153987036</v>
      </c>
      <c r="H7">
        <f>IF(D7=0,0,SUMPRODUCT(--(Data!$C$2:$C$301&gt;A7),SQRT(Data!$K$2:$K$301))/D7)</f>
        <v>10.618736715019176</v>
      </c>
      <c r="I7">
        <f>SUMPRODUCT(--(Data!$C$2:$C$301&lt;=A7),(SQRT(Data!$K$2:$K$301)-G7)^2)+SUMPRODUCT(--(Data!$C$2:$C$301&gt;A7),(SQRT(Data!$K$2:$K$301)-H7)^2)</f>
        <v>1067.5410754488223</v>
      </c>
      <c r="J7">
        <f t="shared" si="0"/>
        <v>1</v>
      </c>
      <c r="K7">
        <f t="shared" si="1"/>
        <v>534122.64564939437</v>
      </c>
      <c r="L7">
        <f t="shared" si="2"/>
        <v>1067.5410754488223</v>
      </c>
    </row>
    <row r="8" spans="1:14" x14ac:dyDescent="0.2">
      <c r="A8">
        <f>Data!C8</f>
        <v>44</v>
      </c>
      <c r="B8">
        <f>COUNTIF(Data!$C$2:$C$301,"&lt;="&amp;A8)</f>
        <v>168</v>
      </c>
      <c r="C8">
        <f>IF(B8=0,0,AVERAGEIF(Data!$C$2:$C$301,"&lt;="&amp;A8,Data!$K$2:$K$301))</f>
        <v>106.42367056440787</v>
      </c>
      <c r="D8">
        <f>COUNTIF(Data!$C$2:$C$301,"&gt;"&amp;A8)</f>
        <v>132</v>
      </c>
      <c r="E8">
        <f>IF(D8=0,0,AVERAGEIF(Data!$C$2:$C$301,"&gt;"&amp;A8,Data!$K$2:$K$301))</f>
        <v>115.09709523118842</v>
      </c>
      <c r="F8">
        <f>SUMPRODUCT(--(Data!$C$2:$C$301&lt;=A8),(Data!$K$2:$K$301-C8)^2)+SUMPRODUCT(--(Data!$C$2:$C$301&gt;A8),(Data!$K$2:$K$301-E8)^2)</f>
        <v>531713.02949146449</v>
      </c>
      <c r="G8">
        <f>IF(B8=0,0,SUMPRODUCT(--(Data!$C$2:$C$301&lt;=A8),SQRT(Data!$K$2:$K$301))/B8)</f>
        <v>10.139424236317097</v>
      </c>
      <c r="H8">
        <f>IF(D8=0,0,SUMPRODUCT(--(Data!$C$2:$C$301&gt;A8),SQRT(Data!$K$2:$K$301))/D8)</f>
        <v>10.567446063269731</v>
      </c>
      <c r="I8">
        <f>SUMPRODUCT(--(Data!$C$2:$C$301&lt;=A8),(SQRT(Data!$K$2:$K$301)-G8)^2)+SUMPRODUCT(--(Data!$C$2:$C$301&gt;A8),(SQRT(Data!$K$2:$K$301)-H8)^2)</f>
        <v>1059.7010679277687</v>
      </c>
      <c r="J8">
        <f t="shared" si="0"/>
        <v>1</v>
      </c>
      <c r="K8">
        <f t="shared" si="1"/>
        <v>531713.02949146449</v>
      </c>
      <c r="L8">
        <f t="shared" si="2"/>
        <v>1059.7010679277687</v>
      </c>
    </row>
    <row r="9" spans="1:14" x14ac:dyDescent="0.2">
      <c r="A9">
        <f>Data!C9</f>
        <v>30</v>
      </c>
      <c r="B9">
        <f>COUNTIF(Data!$C$2:$C$301,"&lt;="&amp;A9)</f>
        <v>52</v>
      </c>
      <c r="C9">
        <f>IF(B9=0,0,AVERAGEIF(Data!$C$2:$C$301,"&lt;="&amp;A9,Data!$K$2:$K$301))</f>
        <v>86.222807371193227</v>
      </c>
      <c r="D9">
        <f>COUNTIF(Data!$C$2:$C$301,"&gt;"&amp;A9)</f>
        <v>248</v>
      </c>
      <c r="E9">
        <f>IF(D9=0,0,AVERAGEIF(Data!$C$2:$C$301,"&gt;"&amp;A9,Data!$K$2:$K$301))</f>
        <v>115.27583565336832</v>
      </c>
      <c r="F9">
        <f>SUMPRODUCT(--(Data!$C$2:$C$301&lt;=A9),(Data!$K$2:$K$301-C9)^2)+SUMPRODUCT(--(Data!$C$2:$C$301&gt;A9),(Data!$K$2:$K$301-E9)^2)</f>
        <v>500989.78601882781</v>
      </c>
      <c r="G9">
        <f>IF(B9=0,0,SUMPRODUCT(--(Data!$C$2:$C$301&lt;=A9),SQRT(Data!$K$2:$K$301))/B9)</f>
        <v>9.1609178862411547</v>
      </c>
      <c r="H9">
        <f>IF(D9=0,0,SUMPRODUCT(--(Data!$C$2:$C$301&gt;A9),SQRT(Data!$K$2:$K$301))/D9)</f>
        <v>10.572412991807813</v>
      </c>
      <c r="I9">
        <f>SUMPRODUCT(--(Data!$C$2:$C$301&lt;=A9),(SQRT(Data!$K$2:$K$301)-G9)^2)+SUMPRODUCT(--(Data!$C$2:$C$301&gt;A9),(SQRT(Data!$K$2:$K$301)-H9)^2)</f>
        <v>987.60028197987617</v>
      </c>
      <c r="J9">
        <f t="shared" si="0"/>
        <v>1</v>
      </c>
      <c r="K9">
        <f t="shared" si="1"/>
        <v>500989.78601882781</v>
      </c>
      <c r="L9">
        <f t="shared" si="2"/>
        <v>987.60028197987617</v>
      </c>
    </row>
    <row r="10" spans="1:14" x14ac:dyDescent="0.2">
      <c r="A10">
        <f>Data!C10</f>
        <v>41</v>
      </c>
      <c r="B10">
        <f>COUNTIF(Data!$C$2:$C$301,"&lt;="&amp;A10)</f>
        <v>143</v>
      </c>
      <c r="C10">
        <f>IF(B10=0,0,AVERAGEIF(Data!$C$2:$C$301,"&lt;="&amp;A10,Data!$K$2:$K$301))</f>
        <v>103.77382919941138</v>
      </c>
      <c r="D10">
        <f>COUNTIF(Data!$C$2:$C$301,"&gt;"&amp;A10)</f>
        <v>157</v>
      </c>
      <c r="E10">
        <f>IF(D10=0,0,AVERAGEIF(Data!$C$2:$C$301,"&gt;"&amp;A10,Data!$K$2:$K$301))</f>
        <v>116.12952643198452</v>
      </c>
      <c r="F10">
        <f>SUMPRODUCT(--(Data!$C$2:$C$301&lt;=A10),(Data!$K$2:$K$301-C10)^2)+SUMPRODUCT(--(Data!$C$2:$C$301&gt;A10),(Data!$K$2:$K$301-E10)^2)</f>
        <v>525849.09603159584</v>
      </c>
      <c r="G10">
        <f>IF(B10=0,0,SUMPRODUCT(--(Data!$C$2:$C$301&lt;=A10),SQRT(Data!$K$2:$K$301))/B10)</f>
        <v>10.028926081129624</v>
      </c>
      <c r="H10">
        <f>IF(D10=0,0,SUMPRODUCT(--(Data!$C$2:$C$301&gt;A10),SQRT(Data!$K$2:$K$301))/D10)</f>
        <v>10.599934537906627</v>
      </c>
      <c r="I10">
        <f>SUMPRODUCT(--(Data!$C$2:$C$301&lt;=A10),(SQRT(Data!$K$2:$K$301)-G10)^2)+SUMPRODUCT(--(Data!$C$2:$C$301&gt;A10),(SQRT(Data!$K$2:$K$301)-H10)^2)</f>
        <v>1048.8428659672084</v>
      </c>
      <c r="J10">
        <f t="shared" si="0"/>
        <v>1</v>
      </c>
      <c r="K10">
        <f t="shared" si="1"/>
        <v>525849.09603159584</v>
      </c>
      <c r="L10">
        <f t="shared" si="2"/>
        <v>1048.8428659672084</v>
      </c>
    </row>
    <row r="11" spans="1:14" x14ac:dyDescent="0.2">
      <c r="A11">
        <f>Data!C11</f>
        <v>52</v>
      </c>
      <c r="B11">
        <f>COUNTIF(Data!$C$2:$C$301,"&lt;="&amp;A11)</f>
        <v>233</v>
      </c>
      <c r="C11">
        <f>IF(B11=0,0,AVERAGEIF(Data!$C$2:$C$301,"&lt;="&amp;A11,Data!$K$2:$K$301))</f>
        <v>108.60725979033396</v>
      </c>
      <c r="D11">
        <f>COUNTIF(Data!$C$2:$C$301,"&gt;"&amp;A11)</f>
        <v>67</v>
      </c>
      <c r="E11">
        <f>IF(D11=0,0,AVERAGEIF(Data!$C$2:$C$301,"&gt;"&amp;A11,Data!$K$2:$K$301))</f>
        <v>115.91793573417284</v>
      </c>
      <c r="F11">
        <f>SUMPRODUCT(--(Data!$C$2:$C$301&lt;=A11),(Data!$K$2:$K$301-C11)^2)+SUMPRODUCT(--(Data!$C$2:$C$301&gt;A11),(Data!$K$2:$K$301-E11)^2)</f>
        <v>534492.75430181436</v>
      </c>
      <c r="G11">
        <f>IF(B11=0,0,SUMPRODUCT(--(Data!$C$2:$C$301&lt;=A11),SQRT(Data!$K$2:$K$301))/B11)</f>
        <v>10.252913653753263</v>
      </c>
      <c r="H11">
        <f>IF(D11=0,0,SUMPRODUCT(--(Data!$C$2:$C$301&gt;A11),SQRT(Data!$K$2:$K$301))/D11)</f>
        <v>10.588018966095051</v>
      </c>
      <c r="I11">
        <f>SUMPRODUCT(--(Data!$C$2:$C$301&lt;=A11),(SQRT(Data!$K$2:$K$301)-G11)^2)+SUMPRODUCT(--(Data!$C$2:$C$301&gt;A11),(SQRT(Data!$K$2:$K$301)-H11)^2)</f>
        <v>1067.3999231918131</v>
      </c>
      <c r="J11">
        <f t="shared" si="0"/>
        <v>1</v>
      </c>
      <c r="K11">
        <f t="shared" si="1"/>
        <v>534492.75430181436</v>
      </c>
      <c r="L11">
        <f t="shared" si="2"/>
        <v>1067.3999231918131</v>
      </c>
    </row>
    <row r="12" spans="1:14" x14ac:dyDescent="0.2">
      <c r="A12">
        <f>Data!C12</f>
        <v>45</v>
      </c>
      <c r="B12">
        <f>COUNTIF(Data!$C$2:$C$301,"&lt;="&amp;A12)</f>
        <v>176</v>
      </c>
      <c r="C12">
        <f>IF(B12=0,0,AVERAGEIF(Data!$C$2:$C$301,"&lt;="&amp;A12,Data!$K$2:$K$301))</f>
        <v>107.19122936601325</v>
      </c>
      <c r="D12">
        <f>COUNTIF(Data!$C$2:$C$301,"&gt;"&amp;A12)</f>
        <v>124</v>
      </c>
      <c r="E12">
        <f>IF(D12=0,0,AVERAGEIF(Data!$C$2:$C$301,"&gt;"&amp;A12,Data!$K$2:$K$301))</f>
        <v>114.56723271708925</v>
      </c>
      <c r="F12">
        <f>SUMPRODUCT(--(Data!$C$2:$C$301&lt;=A12),(Data!$K$2:$K$301-C12)^2)+SUMPRODUCT(--(Data!$C$2:$C$301&gt;A12),(Data!$K$2:$K$301-E12)^2)</f>
        <v>533316.09174216771</v>
      </c>
      <c r="G12">
        <f>IF(B12=0,0,SUMPRODUCT(--(Data!$C$2:$C$301&lt;=A12),SQRT(Data!$K$2:$K$301))/B12)</f>
        <v>10.178829622446425</v>
      </c>
      <c r="H12">
        <f>IF(D12=0,0,SUMPRODUCT(--(Data!$C$2:$C$301&gt;A12),SQRT(Data!$K$2:$K$301))/D12)</f>
        <v>10.539130149212143</v>
      </c>
      <c r="I12">
        <f>SUMPRODUCT(--(Data!$C$2:$C$301&lt;=A12),(SQRT(Data!$K$2:$K$301)-G12)^2)+SUMPRODUCT(--(Data!$C$2:$C$301&gt;A12),(SQRT(Data!$K$2:$K$301)-H12)^2)</f>
        <v>1063.7996949138264</v>
      </c>
      <c r="J12">
        <f t="shared" si="0"/>
        <v>1</v>
      </c>
      <c r="K12">
        <f t="shared" si="1"/>
        <v>533316.09174216771</v>
      </c>
      <c r="L12">
        <f t="shared" si="2"/>
        <v>1063.7996949138264</v>
      </c>
    </row>
    <row r="13" spans="1:14" x14ac:dyDescent="0.2">
      <c r="A13">
        <f>Data!C13</f>
        <v>34</v>
      </c>
      <c r="B13">
        <f>COUNTIF(Data!$C$2:$C$301,"&lt;="&amp;A13)</f>
        <v>79</v>
      </c>
      <c r="C13">
        <f>IF(B13=0,0,AVERAGEIF(Data!$C$2:$C$301,"&lt;="&amp;A13,Data!$K$2:$K$301))</f>
        <v>89.239688213542237</v>
      </c>
      <c r="D13">
        <f>COUNTIF(Data!$C$2:$C$301,"&gt;"&amp;A13)</f>
        <v>221</v>
      </c>
      <c r="E13">
        <f>IF(D13=0,0,AVERAGEIF(Data!$C$2:$C$301,"&gt;"&amp;A13,Data!$K$2:$K$301))</f>
        <v>117.74686812881249</v>
      </c>
      <c r="F13">
        <f>SUMPRODUCT(--(Data!$C$2:$C$301&lt;=A13),(Data!$K$2:$K$301-C13)^2)+SUMPRODUCT(--(Data!$C$2:$C$301&gt;A13),(Data!$K$2:$K$301-E13)^2)</f>
        <v>489979.84230431152</v>
      </c>
      <c r="G13">
        <f>IF(B13=0,0,SUMPRODUCT(--(Data!$C$2:$C$301&lt;=A13),SQRT(Data!$K$2:$K$301))/B13)</f>
        <v>9.3403512203320922</v>
      </c>
      <c r="H13">
        <f>IF(D13=0,0,SUMPRODUCT(--(Data!$C$2:$C$301&gt;A13),SQRT(Data!$K$2:$K$301))/D13)</f>
        <v>10.680716767631866</v>
      </c>
      <c r="I13">
        <f>SUMPRODUCT(--(Data!$C$2:$C$301&lt;=A13),(SQRT(Data!$K$2:$K$301)-G13)^2)+SUMPRODUCT(--(Data!$C$2:$C$301&gt;A13),(SQRT(Data!$K$2:$K$301)-H13)^2)</f>
        <v>968.68845457150394</v>
      </c>
      <c r="J13">
        <f t="shared" si="0"/>
        <v>1</v>
      </c>
      <c r="K13">
        <f t="shared" si="1"/>
        <v>489979.84230431152</v>
      </c>
      <c r="L13">
        <f t="shared" si="2"/>
        <v>968.68845457150394</v>
      </c>
    </row>
    <row r="14" spans="1:14" x14ac:dyDescent="0.2">
      <c r="A14">
        <f>Data!C14</f>
        <v>35</v>
      </c>
      <c r="B14">
        <f>COUNTIF(Data!$C$2:$C$301,"&lt;="&amp;A14)</f>
        <v>90</v>
      </c>
      <c r="C14">
        <f>IF(B14=0,0,AVERAGEIF(Data!$C$2:$C$301,"&lt;="&amp;A14,Data!$K$2:$K$301))</f>
        <v>94.577555019098696</v>
      </c>
      <c r="D14">
        <f>COUNTIF(Data!$C$2:$C$301,"&gt;"&amp;A14)</f>
        <v>210</v>
      </c>
      <c r="E14">
        <f>IF(D14=0,0,AVERAGEIF(Data!$C$2:$C$301,"&gt;"&amp;A14,Data!$K$2:$K$301))</f>
        <v>116.95244416008815</v>
      </c>
      <c r="F14">
        <f>SUMPRODUCT(--(Data!$C$2:$C$301&lt;=A14),(Data!$K$2:$K$301-C14)^2)+SUMPRODUCT(--(Data!$C$2:$C$301&gt;A14),(Data!$K$2:$K$301-E14)^2)</f>
        <v>505733.85825464316</v>
      </c>
      <c r="G14">
        <f>IF(B14=0,0,SUMPRODUCT(--(Data!$C$2:$C$301&lt;=A14),SQRT(Data!$K$2:$K$301))/B14)</f>
        <v>9.5793805119208457</v>
      </c>
      <c r="H14">
        <f>IF(D14=0,0,SUMPRODUCT(--(Data!$C$2:$C$301&gt;A14),SQRT(Data!$K$2:$K$301))/D14)</f>
        <v>10.648485266571434</v>
      </c>
      <c r="I14">
        <f>SUMPRODUCT(--(Data!$C$2:$C$301&lt;=A14),(SQRT(Data!$K$2:$K$301)-G14)^2)+SUMPRODUCT(--(Data!$C$2:$C$301&gt;A14),(SQRT(Data!$K$2:$K$301)-H14)^2)</f>
        <v>1001.2353568405237</v>
      </c>
      <c r="J14">
        <f t="shared" si="0"/>
        <v>1</v>
      </c>
      <c r="K14">
        <f t="shared" si="1"/>
        <v>505733.85825464316</v>
      </c>
      <c r="L14">
        <f t="shared" si="2"/>
        <v>1001.2353568405237</v>
      </c>
    </row>
    <row r="15" spans="1:14" x14ac:dyDescent="0.2">
      <c r="A15">
        <f>Data!C15</f>
        <v>39</v>
      </c>
      <c r="B15">
        <f>COUNTIF(Data!$C$2:$C$301,"&lt;="&amp;A15)</f>
        <v>124</v>
      </c>
      <c r="C15">
        <f>IF(B15=0,0,AVERAGEIF(Data!$C$2:$C$301,"&lt;="&amp;A15,Data!$K$2:$K$301))</f>
        <v>102.61244696541844</v>
      </c>
      <c r="D15">
        <f>COUNTIF(Data!$C$2:$C$301,"&gt;"&amp;A15)</f>
        <v>176</v>
      </c>
      <c r="E15">
        <f>IF(D15=0,0,AVERAGEIF(Data!$C$2:$C$301,"&gt;"&amp;A15,Data!$K$2:$K$301))</f>
        <v>115.61391932741766</v>
      </c>
      <c r="F15">
        <f>SUMPRODUCT(--(Data!$C$2:$C$301&lt;=A15),(Data!$K$2:$K$301-C15)^2)+SUMPRODUCT(--(Data!$C$2:$C$301&gt;A15),(Data!$K$2:$K$301-E15)^2)</f>
        <v>524976.93342166441</v>
      </c>
      <c r="G15">
        <f>IF(B15=0,0,SUMPRODUCT(--(Data!$C$2:$C$301&lt;=A15),SQRT(Data!$K$2:$K$301))/B15)</f>
        <v>9.9647092312663439</v>
      </c>
      <c r="H15">
        <f>IF(D15=0,0,SUMPRODUCT(--(Data!$C$2:$C$301&gt;A15),SQRT(Data!$K$2:$K$301))/D15)</f>
        <v>10.583535269180963</v>
      </c>
      <c r="I15">
        <f>SUMPRODUCT(--(Data!$C$2:$C$301&lt;=A15),(SQRT(Data!$K$2:$K$301)-G15)^2)+SUMPRODUCT(--(Data!$C$2:$C$301&gt;A15),(SQRT(Data!$K$2:$K$301)-H15)^2)</f>
        <v>1045.385389696934</v>
      </c>
      <c r="J15">
        <f t="shared" si="0"/>
        <v>1</v>
      </c>
      <c r="K15">
        <f t="shared" si="1"/>
        <v>524976.93342166441</v>
      </c>
      <c r="L15">
        <f t="shared" si="2"/>
        <v>1045.385389696934</v>
      </c>
    </row>
    <row r="16" spans="1:14" x14ac:dyDescent="0.2">
      <c r="A16">
        <f>Data!C16</f>
        <v>54</v>
      </c>
      <c r="B16">
        <f>COUNTIF(Data!$C$2:$C$301,"&lt;="&amp;A16)</f>
        <v>245</v>
      </c>
      <c r="C16">
        <f>IF(B16=0,0,AVERAGEIF(Data!$C$2:$C$301,"&lt;="&amp;A16,Data!$K$2:$K$301))</f>
        <v>108.7043715775597</v>
      </c>
      <c r="D16">
        <f>COUNTIF(Data!$C$2:$C$301,"&gt;"&amp;A16)</f>
        <v>55</v>
      </c>
      <c r="E16">
        <f>IF(D16=0,0,AVERAGEIF(Data!$C$2:$C$301,"&gt;"&amp;A16,Data!$K$2:$K$301))</f>
        <v>117.08040343336856</v>
      </c>
      <c r="F16">
        <f>SUMPRODUCT(--(Data!$C$2:$C$301&lt;=A16),(Data!$K$2:$K$301-C16)^2)+SUMPRODUCT(--(Data!$C$2:$C$301&gt;A16),(Data!$K$2:$K$301-E16)^2)</f>
        <v>534122.64564939437</v>
      </c>
      <c r="G16">
        <f>IF(B16=0,0,SUMPRODUCT(--(Data!$C$2:$C$301&lt;=A16),SQRT(Data!$K$2:$K$301))/B16)</f>
        <v>10.262431153987036</v>
      </c>
      <c r="H16">
        <f>IF(D16=0,0,SUMPRODUCT(--(Data!$C$2:$C$301&gt;A16),SQRT(Data!$K$2:$K$301))/D16)</f>
        <v>10.618736715019176</v>
      </c>
      <c r="I16">
        <f>SUMPRODUCT(--(Data!$C$2:$C$301&lt;=A16),(SQRT(Data!$K$2:$K$301)-G16)^2)+SUMPRODUCT(--(Data!$C$2:$C$301&gt;A16),(SQRT(Data!$K$2:$K$301)-H16)^2)</f>
        <v>1067.5410754488223</v>
      </c>
      <c r="J16">
        <f t="shared" si="0"/>
        <v>1</v>
      </c>
      <c r="K16">
        <f t="shared" si="1"/>
        <v>534122.64564939437</v>
      </c>
      <c r="L16">
        <f t="shared" si="2"/>
        <v>1067.5410754488223</v>
      </c>
    </row>
    <row r="17" spans="1:12" x14ac:dyDescent="0.2">
      <c r="A17">
        <f>Data!C17</f>
        <v>51</v>
      </c>
      <c r="B17">
        <f>COUNTIF(Data!$C$2:$C$301,"&lt;="&amp;A17)</f>
        <v>225</v>
      </c>
      <c r="C17">
        <f>IF(B17=0,0,AVERAGEIF(Data!$C$2:$C$301,"&lt;="&amp;A17,Data!$K$2:$K$301))</f>
        <v>108.72267986087451</v>
      </c>
      <c r="D17">
        <f>COUNTIF(Data!$C$2:$C$301,"&gt;"&amp;A17)</f>
        <v>75</v>
      </c>
      <c r="E17">
        <f>IF(D17=0,0,AVERAGEIF(Data!$C$2:$C$301,"&gt;"&amp;A17,Data!$K$2:$K$301))</f>
        <v>114.79187008854169</v>
      </c>
      <c r="F17">
        <f>SUMPRODUCT(--(Data!$C$2:$C$301&lt;=A17),(Data!$K$2:$K$301-C17)^2)+SUMPRODUCT(--(Data!$C$2:$C$301&gt;A17),(Data!$K$2:$K$301-E17)^2)</f>
        <v>535201.93240254861</v>
      </c>
      <c r="G17">
        <f>IF(B17=0,0,SUMPRODUCT(--(Data!$C$2:$C$301&lt;=A17),SQRT(Data!$K$2:$K$301))/B17)</f>
        <v>10.256534206419111</v>
      </c>
      <c r="H17">
        <f>IF(D17=0,0,SUMPRODUCT(--(Data!$C$2:$C$301&gt;A17),SQRT(Data!$K$2:$K$301))/D17)</f>
        <v>10.541412741447704</v>
      </c>
      <c r="I17">
        <f>SUMPRODUCT(--(Data!$C$2:$C$301&lt;=A17),(SQRT(Data!$K$2:$K$301)-G17)^2)+SUMPRODUCT(--(Data!$C$2:$C$301&gt;A17),(SQRT(Data!$K$2:$K$301)-H17)^2)</f>
        <v>1068.6783977455111</v>
      </c>
      <c r="J17">
        <f t="shared" si="0"/>
        <v>1</v>
      </c>
      <c r="K17">
        <f t="shared" si="1"/>
        <v>535201.93240254861</v>
      </c>
      <c r="L17">
        <f t="shared" si="2"/>
        <v>1068.6783977455111</v>
      </c>
    </row>
    <row r="18" spans="1:12" x14ac:dyDescent="0.2">
      <c r="A18">
        <f>Data!C18</f>
        <v>37</v>
      </c>
      <c r="B18">
        <f>COUNTIF(Data!$C$2:$C$301,"&lt;="&amp;A18)</f>
        <v>106</v>
      </c>
      <c r="C18">
        <f>IF(B18=0,0,AVERAGEIF(Data!$C$2:$C$301,"&lt;="&amp;A18,Data!$K$2:$K$301))</f>
        <v>97.276622779475886</v>
      </c>
      <c r="D18">
        <f>COUNTIF(Data!$C$2:$C$301,"&gt;"&amp;A18)</f>
        <v>194</v>
      </c>
      <c r="E18">
        <f>IF(D18=0,0,AVERAGEIF(Data!$C$2:$C$301,"&gt;"&amp;A18,Data!$K$2:$K$301))</f>
        <v>117.32304747790181</v>
      </c>
      <c r="F18">
        <f>SUMPRODUCT(--(Data!$C$2:$C$301&lt;=A18),(Data!$K$2:$K$301-C18)^2)+SUMPRODUCT(--(Data!$C$2:$C$301&gt;A18),(Data!$K$2:$K$301-E18)^2)</f>
        <v>509727.80035597854</v>
      </c>
      <c r="G18">
        <f>IF(B18=0,0,SUMPRODUCT(--(Data!$C$2:$C$301&lt;=A18),SQRT(Data!$K$2:$K$301))/B18)</f>
        <v>9.717465630869949</v>
      </c>
      <c r="H18">
        <f>IF(D18=0,0,SUMPRODUCT(--(Data!$C$2:$C$301&gt;A18),SQRT(Data!$K$2:$K$301))/D18)</f>
        <v>10.661210284436402</v>
      </c>
      <c r="I18">
        <f>SUMPRODUCT(--(Data!$C$2:$C$301&lt;=A18),(SQRT(Data!$K$2:$K$301)-G18)^2)+SUMPRODUCT(--(Data!$C$2:$C$301&gt;A18),(SQRT(Data!$K$2:$K$301)-H18)^2)</f>
        <v>1012.1920494800115</v>
      </c>
      <c r="J18">
        <f t="shared" si="0"/>
        <v>1</v>
      </c>
      <c r="K18">
        <f t="shared" si="1"/>
        <v>509727.80035597854</v>
      </c>
      <c r="L18">
        <f t="shared" si="2"/>
        <v>1012.1920494800115</v>
      </c>
    </row>
    <row r="19" spans="1:12" x14ac:dyDescent="0.2">
      <c r="A19">
        <f>Data!C19</f>
        <v>50</v>
      </c>
      <c r="B19">
        <f>COUNTIF(Data!$C$2:$C$301,"&lt;="&amp;A19)</f>
        <v>219</v>
      </c>
      <c r="C19">
        <f>IF(B19=0,0,AVERAGEIF(Data!$C$2:$C$301,"&lt;="&amp;A19,Data!$K$2:$K$301))</f>
        <v>108.70258125966022</v>
      </c>
      <c r="D19">
        <f>COUNTIF(Data!$C$2:$C$301,"&gt;"&amp;A19)</f>
        <v>81</v>
      </c>
      <c r="E19">
        <f>IF(D19=0,0,AVERAGEIF(Data!$C$2:$C$301,"&gt;"&amp;A19,Data!$K$2:$K$301))</f>
        <v>114.39664110459017</v>
      </c>
      <c r="F19">
        <f>SUMPRODUCT(--(Data!$C$2:$C$301&lt;=A19),(Data!$K$2:$K$301-C19)^2)+SUMPRODUCT(--(Data!$C$2:$C$301&gt;A19),(Data!$K$2:$K$301-E19)^2)</f>
        <v>535356.77345633367</v>
      </c>
      <c r="G19">
        <f>IF(B19=0,0,SUMPRODUCT(--(Data!$C$2:$C$301&lt;=A19),SQRT(Data!$K$2:$K$301))/B19)</f>
        <v>10.254440242387149</v>
      </c>
      <c r="H19">
        <f>IF(D19=0,0,SUMPRODUCT(--(Data!$C$2:$C$301&gt;A19),SQRT(Data!$K$2:$K$301))/D19)</f>
        <v>10.525972086050512</v>
      </c>
      <c r="I19">
        <f>SUMPRODUCT(--(Data!$C$2:$C$301&lt;=A19),(SQRT(Data!$K$2:$K$301)-G19)^2)+SUMPRODUCT(--(Data!$C$2:$C$301&gt;A19),(SQRT(Data!$K$2:$K$301)-H19)^2)</f>
        <v>1068.8837825290173</v>
      </c>
      <c r="J19">
        <f t="shared" si="0"/>
        <v>1</v>
      </c>
      <c r="K19">
        <f t="shared" si="1"/>
        <v>535356.77345633367</v>
      </c>
      <c r="L19">
        <f t="shared" si="2"/>
        <v>1068.8837825290173</v>
      </c>
    </row>
    <row r="20" spans="1:12" x14ac:dyDescent="0.2">
      <c r="A20">
        <f>Data!C20</f>
        <v>56</v>
      </c>
      <c r="B20">
        <f>COUNTIF(Data!$C$2:$C$301,"&lt;="&amp;A20)</f>
        <v>259</v>
      </c>
      <c r="C20">
        <f>IF(B20=0,0,AVERAGEIF(Data!$C$2:$C$301,"&lt;="&amp;A20,Data!$K$2:$K$301))</f>
        <v>109.12154091053999</v>
      </c>
      <c r="D20">
        <f>COUNTIF(Data!$C$2:$C$301,"&gt;"&amp;A20)</f>
        <v>41</v>
      </c>
      <c r="E20">
        <f>IF(D20=0,0,AVERAGEIF(Data!$C$2:$C$301,"&gt;"&amp;A20,Data!$K$2:$K$301))</f>
        <v>117.30522267091543</v>
      </c>
      <c r="F20">
        <f>SUMPRODUCT(--(Data!$C$2:$C$301&lt;=A20),(Data!$K$2:$K$301-C20)^2)+SUMPRODUCT(--(Data!$C$2:$C$301&gt;A20),(Data!$K$2:$K$301-E20)^2)</f>
        <v>534903.29662401765</v>
      </c>
      <c r="G20">
        <f>IF(B20=0,0,SUMPRODUCT(--(Data!$C$2:$C$301&lt;=A20),SQRT(Data!$K$2:$K$301))/B20)</f>
        <v>10.284834630131332</v>
      </c>
      <c r="H20">
        <f>IF(D20=0,0,SUMPRODUCT(--(Data!$C$2:$C$301&gt;A20),SQRT(Data!$K$2:$K$301))/D20)</f>
        <v>10.598877630460082</v>
      </c>
      <c r="I20">
        <f>SUMPRODUCT(--(Data!$C$2:$C$301&lt;=A20),(SQRT(Data!$K$2:$K$301)-G20)^2)+SUMPRODUCT(--(Data!$C$2:$C$301&gt;A20),(SQRT(Data!$K$2:$K$301)-H20)^2)</f>
        <v>1069.7524846837523</v>
      </c>
      <c r="J20">
        <f t="shared" si="0"/>
        <v>1</v>
      </c>
      <c r="K20">
        <f t="shared" si="1"/>
        <v>534903.29662401765</v>
      </c>
      <c r="L20">
        <f t="shared" si="2"/>
        <v>1069.7524846837523</v>
      </c>
    </row>
    <row r="21" spans="1:12" x14ac:dyDescent="0.2">
      <c r="A21">
        <f>Data!C21</f>
        <v>37</v>
      </c>
      <c r="B21">
        <f>COUNTIF(Data!$C$2:$C$301,"&lt;="&amp;A21)</f>
        <v>106</v>
      </c>
      <c r="C21">
        <f>IF(B21=0,0,AVERAGEIF(Data!$C$2:$C$301,"&lt;="&amp;A21,Data!$K$2:$K$301))</f>
        <v>97.276622779475886</v>
      </c>
      <c r="D21">
        <f>COUNTIF(Data!$C$2:$C$301,"&gt;"&amp;A21)</f>
        <v>194</v>
      </c>
      <c r="E21">
        <f>IF(D21=0,0,AVERAGEIF(Data!$C$2:$C$301,"&gt;"&amp;A21,Data!$K$2:$K$301))</f>
        <v>117.32304747790181</v>
      </c>
      <c r="F21">
        <f>SUMPRODUCT(--(Data!$C$2:$C$301&lt;=A21),(Data!$K$2:$K$301-C21)^2)+SUMPRODUCT(--(Data!$C$2:$C$301&gt;A21),(Data!$K$2:$K$301-E21)^2)</f>
        <v>509727.80035597854</v>
      </c>
      <c r="G21">
        <f>IF(B21=0,0,SUMPRODUCT(--(Data!$C$2:$C$301&lt;=A21),SQRT(Data!$K$2:$K$301))/B21)</f>
        <v>9.717465630869949</v>
      </c>
      <c r="H21">
        <f>IF(D21=0,0,SUMPRODUCT(--(Data!$C$2:$C$301&gt;A21),SQRT(Data!$K$2:$K$301))/D21)</f>
        <v>10.661210284436402</v>
      </c>
      <c r="I21">
        <f>SUMPRODUCT(--(Data!$C$2:$C$301&lt;=A21),(SQRT(Data!$K$2:$K$301)-G21)^2)+SUMPRODUCT(--(Data!$C$2:$C$301&gt;A21),(SQRT(Data!$K$2:$K$301)-H21)^2)</f>
        <v>1012.1920494800115</v>
      </c>
      <c r="J21">
        <f t="shared" si="0"/>
        <v>1</v>
      </c>
      <c r="K21">
        <f t="shared" si="1"/>
        <v>509727.80035597854</v>
      </c>
      <c r="L21">
        <f t="shared" si="2"/>
        <v>1012.1920494800115</v>
      </c>
    </row>
    <row r="22" spans="1:12" x14ac:dyDescent="0.2">
      <c r="A22">
        <f>Data!C22</f>
        <v>38</v>
      </c>
      <c r="B22">
        <f>COUNTIF(Data!$C$2:$C$301,"&lt;="&amp;A22)</f>
        <v>115</v>
      </c>
      <c r="C22">
        <f>IF(B22=0,0,AVERAGEIF(Data!$C$2:$C$301,"&lt;="&amp;A22,Data!$K$2:$K$301))</f>
        <v>101.18701694547781</v>
      </c>
      <c r="D22">
        <f>COUNTIF(Data!$C$2:$C$301,"&gt;"&amp;A22)</f>
        <v>185</v>
      </c>
      <c r="E22">
        <f>IF(D22=0,0,AVERAGEIF(Data!$C$2:$C$301,"&gt;"&amp;A22,Data!$K$2:$K$301))</f>
        <v>115.86749338706728</v>
      </c>
      <c r="F22">
        <f>SUMPRODUCT(--(Data!$C$2:$C$301&lt;=A22),(Data!$K$2:$K$301-C22)^2)+SUMPRODUCT(--(Data!$C$2:$C$301&gt;A22),(Data!$K$2:$K$301-E22)^2)</f>
        <v>521990.20120300131</v>
      </c>
      <c r="G22">
        <f>IF(B22=0,0,SUMPRODUCT(--(Data!$C$2:$C$301&lt;=A22),SQRT(Data!$K$2:$K$301))/B22)</f>
        <v>9.8881543625854409</v>
      </c>
      <c r="H22">
        <f>IF(D22=0,0,SUMPRODUCT(--(Data!$C$2:$C$301&gt;A22),SQRT(Data!$K$2:$K$301))/D22)</f>
        <v>10.601018380300271</v>
      </c>
      <c r="I22">
        <f>SUMPRODUCT(--(Data!$C$2:$C$301&lt;=A22),(SQRT(Data!$K$2:$K$301)-G22)^2)+SUMPRODUCT(--(Data!$C$2:$C$301&gt;A22),(SQRT(Data!$K$2:$K$301)-H22)^2)</f>
        <v>1037.2053256299796</v>
      </c>
      <c r="J22">
        <f t="shared" si="0"/>
        <v>1</v>
      </c>
      <c r="K22">
        <f t="shared" si="1"/>
        <v>521990.20120300131</v>
      </c>
      <c r="L22">
        <f t="shared" si="2"/>
        <v>1037.2053256299796</v>
      </c>
    </row>
    <row r="23" spans="1:12" x14ac:dyDescent="0.2">
      <c r="A23">
        <f>Data!C23</f>
        <v>40</v>
      </c>
      <c r="B23">
        <f>COUNTIF(Data!$C$2:$C$301,"&lt;="&amp;A23)</f>
        <v>135</v>
      </c>
      <c r="C23">
        <f>IF(B23=0,0,AVERAGEIF(Data!$C$2:$C$301,"&lt;="&amp;A23,Data!$K$2:$K$301))</f>
        <v>103.38613121677049</v>
      </c>
      <c r="D23">
        <f>COUNTIF(Data!$C$2:$C$301,"&gt;"&amp;A23)</f>
        <v>165</v>
      </c>
      <c r="E23">
        <f>IF(D23=0,0,AVERAGEIF(Data!$C$2:$C$301,"&gt;"&amp;A23,Data!$K$2:$K$301))</f>
        <v>115.8476697640811</v>
      </c>
      <c r="F23">
        <f>SUMPRODUCT(--(Data!$C$2:$C$301&lt;=A23),(Data!$K$2:$K$301-C23)^2)+SUMPRODUCT(--(Data!$C$2:$C$301&gt;A23),(Data!$K$2:$K$301-E23)^2)</f>
        <v>525743.62682591786</v>
      </c>
      <c r="G23">
        <f>IF(B23=0,0,SUMPRODUCT(--(Data!$C$2:$C$301&lt;=A23),SQRT(Data!$K$2:$K$301))/B23)</f>
        <v>10.003662056878664</v>
      </c>
      <c r="H23">
        <f>IF(D23=0,0,SUMPRODUCT(--(Data!$C$2:$C$301&gt;A23),SQRT(Data!$K$2:$K$301))/D23)</f>
        <v>10.592919844692464</v>
      </c>
      <c r="I23">
        <f>SUMPRODUCT(--(Data!$C$2:$C$301&lt;=A23),(SQRT(Data!$K$2:$K$301)-G23)^2)+SUMPRODUCT(--(Data!$C$2:$C$301&gt;A23),(SQRT(Data!$K$2:$K$301)-H23)^2)</f>
        <v>1047.4619733726961</v>
      </c>
      <c r="J23">
        <f t="shared" si="0"/>
        <v>1</v>
      </c>
      <c r="K23">
        <f t="shared" si="1"/>
        <v>525743.62682591786</v>
      </c>
      <c r="L23">
        <f t="shared" si="2"/>
        <v>1047.4619733726961</v>
      </c>
    </row>
    <row r="24" spans="1:12" x14ac:dyDescent="0.2">
      <c r="A24">
        <f>Data!C24</f>
        <v>75</v>
      </c>
      <c r="B24">
        <f>COUNTIF(Data!$C$2:$C$301,"&lt;="&amp;A24)</f>
        <v>300</v>
      </c>
      <c r="C24">
        <f>IF(B24=0,0,AVERAGEIF(Data!$C$2:$C$301,"&lt;="&amp;A24,Data!$K$2:$K$301))</f>
        <v>110.23997741779124</v>
      </c>
      <c r="D24">
        <f>COUNTIF(Data!$C$2:$C$301,"&gt;"&amp;A24)</f>
        <v>0</v>
      </c>
      <c r="E24">
        <f>IF(D24=0,0,AVERAGEIF(Data!$C$2:$C$301,"&gt;"&amp;A24,Data!$K$2:$K$301))</f>
        <v>0</v>
      </c>
      <c r="F24">
        <f>SUMPRODUCT(--(Data!$C$2:$C$301&lt;=A24),(Data!$K$2:$K$301-C24)^2)+SUMPRODUCT(--(Data!$C$2:$C$301&gt;A24),(Data!$K$2:$K$301-E24)^2)</f>
        <v>537273.90509115183</v>
      </c>
      <c r="G24">
        <f>IF(B24=0,0,SUMPRODUCT(--(Data!$C$2:$C$301&lt;=A24),SQRT(Data!$K$2:$K$301))/B24)</f>
        <v>10.327753840176261</v>
      </c>
      <c r="H24">
        <f>IF(D24=0,0,SUMPRODUCT(--(Data!$C$2:$C$301&gt;A24),SQRT(Data!$K$2:$K$301))/D24)</f>
        <v>0</v>
      </c>
      <c r="I24">
        <f>SUMPRODUCT(--(Data!$C$2:$C$301&lt;=A24),(SQRT(Data!$K$2:$K$301)-G24)^2)+SUMPRODUCT(--(Data!$C$2:$C$301&gt;A24),(SQRT(Data!$K$2:$K$301)-H24)^2)</f>
        <v>1073.243410354765</v>
      </c>
      <c r="J24">
        <f t="shared" si="0"/>
        <v>0</v>
      </c>
      <c r="K24">
        <f t="shared" si="1"/>
        <v>9.9999999999999997E+98</v>
      </c>
      <c r="L24">
        <f t="shared" si="2"/>
        <v>9.9999999999999997E+98</v>
      </c>
    </row>
    <row r="25" spans="1:12" x14ac:dyDescent="0.2">
      <c r="A25">
        <f>Data!C25</f>
        <v>40</v>
      </c>
      <c r="B25">
        <f>COUNTIF(Data!$C$2:$C$301,"&lt;="&amp;A25)</f>
        <v>135</v>
      </c>
      <c r="C25">
        <f>IF(B25=0,0,AVERAGEIF(Data!$C$2:$C$301,"&lt;="&amp;A25,Data!$K$2:$K$301))</f>
        <v>103.38613121677049</v>
      </c>
      <c r="D25">
        <f>COUNTIF(Data!$C$2:$C$301,"&gt;"&amp;A25)</f>
        <v>165</v>
      </c>
      <c r="E25">
        <f>IF(D25=0,0,AVERAGEIF(Data!$C$2:$C$301,"&gt;"&amp;A25,Data!$K$2:$K$301))</f>
        <v>115.8476697640811</v>
      </c>
      <c r="F25">
        <f>SUMPRODUCT(--(Data!$C$2:$C$301&lt;=A25),(Data!$K$2:$K$301-C25)^2)+SUMPRODUCT(--(Data!$C$2:$C$301&gt;A25),(Data!$K$2:$K$301-E25)^2)</f>
        <v>525743.62682591786</v>
      </c>
      <c r="G25">
        <f>IF(B25=0,0,SUMPRODUCT(--(Data!$C$2:$C$301&lt;=A25),SQRT(Data!$K$2:$K$301))/B25)</f>
        <v>10.003662056878664</v>
      </c>
      <c r="H25">
        <f>IF(D25=0,0,SUMPRODUCT(--(Data!$C$2:$C$301&gt;A25),SQRT(Data!$K$2:$K$301))/D25)</f>
        <v>10.592919844692464</v>
      </c>
      <c r="I25">
        <f>SUMPRODUCT(--(Data!$C$2:$C$301&lt;=A25),(SQRT(Data!$K$2:$K$301)-G25)^2)+SUMPRODUCT(--(Data!$C$2:$C$301&gt;A25),(SQRT(Data!$K$2:$K$301)-H25)^2)</f>
        <v>1047.4619733726961</v>
      </c>
      <c r="J25">
        <f t="shared" si="0"/>
        <v>1</v>
      </c>
      <c r="K25">
        <f t="shared" si="1"/>
        <v>525743.62682591786</v>
      </c>
      <c r="L25">
        <f t="shared" si="2"/>
        <v>1047.4619733726961</v>
      </c>
    </row>
    <row r="26" spans="1:12" x14ac:dyDescent="0.2">
      <c r="A26">
        <f>Data!C26</f>
        <v>38</v>
      </c>
      <c r="B26">
        <f>COUNTIF(Data!$C$2:$C$301,"&lt;="&amp;A26)</f>
        <v>115</v>
      </c>
      <c r="C26">
        <f>IF(B26=0,0,AVERAGEIF(Data!$C$2:$C$301,"&lt;="&amp;A26,Data!$K$2:$K$301))</f>
        <v>101.18701694547781</v>
      </c>
      <c r="D26">
        <f>COUNTIF(Data!$C$2:$C$301,"&gt;"&amp;A26)</f>
        <v>185</v>
      </c>
      <c r="E26">
        <f>IF(D26=0,0,AVERAGEIF(Data!$C$2:$C$301,"&gt;"&amp;A26,Data!$K$2:$K$301))</f>
        <v>115.86749338706728</v>
      </c>
      <c r="F26">
        <f>SUMPRODUCT(--(Data!$C$2:$C$301&lt;=A26),(Data!$K$2:$K$301-C26)^2)+SUMPRODUCT(--(Data!$C$2:$C$301&gt;A26),(Data!$K$2:$K$301-E26)^2)</f>
        <v>521990.20120300131</v>
      </c>
      <c r="G26">
        <f>IF(B26=0,0,SUMPRODUCT(--(Data!$C$2:$C$301&lt;=A26),SQRT(Data!$K$2:$K$301))/B26)</f>
        <v>9.8881543625854409</v>
      </c>
      <c r="H26">
        <f>IF(D26=0,0,SUMPRODUCT(--(Data!$C$2:$C$301&gt;A26),SQRT(Data!$K$2:$K$301))/D26)</f>
        <v>10.601018380300271</v>
      </c>
      <c r="I26">
        <f>SUMPRODUCT(--(Data!$C$2:$C$301&lt;=A26),(SQRT(Data!$K$2:$K$301)-G26)^2)+SUMPRODUCT(--(Data!$C$2:$C$301&gt;A26),(SQRT(Data!$K$2:$K$301)-H26)^2)</f>
        <v>1037.2053256299796</v>
      </c>
      <c r="J26">
        <f t="shared" si="0"/>
        <v>1</v>
      </c>
      <c r="K26">
        <f t="shared" si="1"/>
        <v>521990.20120300131</v>
      </c>
      <c r="L26">
        <f t="shared" si="2"/>
        <v>1037.2053256299796</v>
      </c>
    </row>
    <row r="27" spans="1:12" x14ac:dyDescent="0.2">
      <c r="A27">
        <f>Data!C27</f>
        <v>49</v>
      </c>
      <c r="B27">
        <f>COUNTIF(Data!$C$2:$C$301,"&lt;="&amp;A27)</f>
        <v>212</v>
      </c>
      <c r="C27">
        <f>IF(B27=0,0,AVERAGEIF(Data!$C$2:$C$301,"&lt;="&amp;A27,Data!$K$2:$K$301))</f>
        <v>108.2928321953428</v>
      </c>
      <c r="D27">
        <f>COUNTIF(Data!$C$2:$C$301,"&gt;"&amp;A27)</f>
        <v>88</v>
      </c>
      <c r="E27">
        <f>IF(D27=0,0,AVERAGEIF(Data!$C$2:$C$301,"&gt;"&amp;A27,Data!$K$2:$K$301))</f>
        <v>114.93082727187185</v>
      </c>
      <c r="F27">
        <f>SUMPRODUCT(--(Data!$C$2:$C$301&lt;=A27),(Data!$K$2:$K$301-C27)^2)+SUMPRODUCT(--(Data!$C$2:$C$301&gt;A27),(Data!$K$2:$K$301-E27)^2)</f>
        <v>534533.77532637282</v>
      </c>
      <c r="G27">
        <f>IF(B27=0,0,SUMPRODUCT(--(Data!$C$2:$C$301&lt;=A27),SQRT(Data!$K$2:$K$301))/B27)</f>
        <v>10.238914021322245</v>
      </c>
      <c r="H27">
        <f>IF(D27=0,0,SUMPRODUCT(--(Data!$C$2:$C$301&gt;A27),SQRT(Data!$K$2:$K$301))/D27)</f>
        <v>10.54177704014274</v>
      </c>
      <c r="I27">
        <f>SUMPRODUCT(--(Data!$C$2:$C$301&lt;=A27),(SQRT(Data!$K$2:$K$301)-G27)^2)+SUMPRODUCT(--(Data!$C$2:$C$301&gt;A27),(SQRT(Data!$K$2:$K$301)-H27)^2)</f>
        <v>1067.5392756600895</v>
      </c>
      <c r="J27">
        <f t="shared" si="0"/>
        <v>1</v>
      </c>
      <c r="K27">
        <f t="shared" si="1"/>
        <v>534533.77532637282</v>
      </c>
      <c r="L27">
        <f t="shared" si="2"/>
        <v>1067.5392756600895</v>
      </c>
    </row>
    <row r="28" spans="1:12" x14ac:dyDescent="0.2">
      <c r="A28">
        <f>Data!C28</f>
        <v>43</v>
      </c>
      <c r="B28">
        <f>COUNTIF(Data!$C$2:$C$301,"&lt;="&amp;A28)</f>
        <v>161</v>
      </c>
      <c r="C28">
        <f>IF(B28=0,0,AVERAGEIF(Data!$C$2:$C$301,"&lt;="&amp;A28,Data!$K$2:$K$301))</f>
        <v>105.8730068010875</v>
      </c>
      <c r="D28">
        <f>COUNTIF(Data!$C$2:$C$301,"&gt;"&amp;A28)</f>
        <v>139</v>
      </c>
      <c r="E28">
        <f>IF(D28=0,0,AVERAGEIF(Data!$C$2:$C$301,"&gt;"&amp;A28,Data!$K$2:$K$301))</f>
        <v>115.29812324001665</v>
      </c>
      <c r="F28">
        <f>SUMPRODUCT(--(Data!$C$2:$C$301&lt;=A28),(Data!$K$2:$K$301-C28)^2)+SUMPRODUCT(--(Data!$C$2:$C$301&gt;A28),(Data!$K$2:$K$301-E28)^2)</f>
        <v>530647.27283695317</v>
      </c>
      <c r="G28">
        <f>IF(B28=0,0,SUMPRODUCT(--(Data!$C$2:$C$301&lt;=A28),SQRT(Data!$K$2:$K$301))/B28)</f>
        <v>10.108069640250404</v>
      </c>
      <c r="H28">
        <f>IF(D28=0,0,SUMPRODUCT(--(Data!$C$2:$C$301&gt;A28),SQRT(Data!$K$2:$K$301))/D28)</f>
        <v>10.582208201241452</v>
      </c>
      <c r="I28">
        <f>SUMPRODUCT(--(Data!$C$2:$C$301&lt;=A28),(SQRT(Data!$K$2:$K$301)-G28)^2)+SUMPRODUCT(--(Data!$C$2:$C$301&gt;A28),(SQRT(Data!$K$2:$K$301)-H28)^2)</f>
        <v>1056.4735295362882</v>
      </c>
      <c r="J28">
        <f t="shared" si="0"/>
        <v>1</v>
      </c>
      <c r="K28">
        <f t="shared" si="1"/>
        <v>530647.27283695317</v>
      </c>
      <c r="L28">
        <f t="shared" si="2"/>
        <v>1056.4735295362882</v>
      </c>
    </row>
    <row r="29" spans="1:12" x14ac:dyDescent="0.2">
      <c r="A29">
        <f>Data!C29</f>
        <v>34</v>
      </c>
      <c r="B29">
        <f>COUNTIF(Data!$C$2:$C$301,"&lt;="&amp;A29)</f>
        <v>79</v>
      </c>
      <c r="C29">
        <f>IF(B29=0,0,AVERAGEIF(Data!$C$2:$C$301,"&lt;="&amp;A29,Data!$K$2:$K$301))</f>
        <v>89.239688213542237</v>
      </c>
      <c r="D29">
        <f>COUNTIF(Data!$C$2:$C$301,"&gt;"&amp;A29)</f>
        <v>221</v>
      </c>
      <c r="E29">
        <f>IF(D29=0,0,AVERAGEIF(Data!$C$2:$C$301,"&gt;"&amp;A29,Data!$K$2:$K$301))</f>
        <v>117.74686812881249</v>
      </c>
      <c r="F29">
        <f>SUMPRODUCT(--(Data!$C$2:$C$301&lt;=A29),(Data!$K$2:$K$301-C29)^2)+SUMPRODUCT(--(Data!$C$2:$C$301&gt;A29),(Data!$K$2:$K$301-E29)^2)</f>
        <v>489979.84230431152</v>
      </c>
      <c r="G29">
        <f>IF(B29=0,0,SUMPRODUCT(--(Data!$C$2:$C$301&lt;=A29),SQRT(Data!$K$2:$K$301))/B29)</f>
        <v>9.3403512203320922</v>
      </c>
      <c r="H29">
        <f>IF(D29=0,0,SUMPRODUCT(--(Data!$C$2:$C$301&gt;A29),SQRT(Data!$K$2:$K$301))/D29)</f>
        <v>10.680716767631866</v>
      </c>
      <c r="I29">
        <f>SUMPRODUCT(--(Data!$C$2:$C$301&lt;=A29),(SQRT(Data!$K$2:$K$301)-G29)^2)+SUMPRODUCT(--(Data!$C$2:$C$301&gt;A29),(SQRT(Data!$K$2:$K$301)-H29)^2)</f>
        <v>968.68845457150394</v>
      </c>
      <c r="J29">
        <f t="shared" si="0"/>
        <v>1</v>
      </c>
      <c r="K29">
        <f t="shared" si="1"/>
        <v>489979.84230431152</v>
      </c>
      <c r="L29">
        <f t="shared" si="2"/>
        <v>968.68845457150394</v>
      </c>
    </row>
    <row r="30" spans="1:12" x14ac:dyDescent="0.2">
      <c r="A30">
        <f>Data!C30</f>
        <v>57</v>
      </c>
      <c r="B30">
        <f>COUNTIF(Data!$C$2:$C$301,"&lt;="&amp;A30)</f>
        <v>265</v>
      </c>
      <c r="C30">
        <f>IF(B30=0,0,AVERAGEIF(Data!$C$2:$C$301,"&lt;="&amp;A30,Data!$K$2:$K$301))</f>
        <v>109.5479445097443</v>
      </c>
      <c r="D30">
        <f>COUNTIF(Data!$C$2:$C$301,"&gt;"&amp;A30)</f>
        <v>35</v>
      </c>
      <c r="E30">
        <f>IF(D30=0,0,AVERAGEIF(Data!$C$2:$C$301,"&gt;"&amp;A30,Data!$K$2:$K$301))</f>
        <v>115.47965515014717</v>
      </c>
      <c r="F30">
        <f>SUMPRODUCT(--(Data!$C$2:$C$301&lt;=A30),(Data!$K$2:$K$301-C30)^2)+SUMPRODUCT(--(Data!$C$2:$C$301&gt;A30),(Data!$K$2:$K$301-E30)^2)</f>
        <v>536186.09626564709</v>
      </c>
      <c r="G30">
        <f>IF(B30=0,0,SUMPRODUCT(--(Data!$C$2:$C$301&lt;=A30),SQRT(Data!$K$2:$K$301))/B30)</f>
        <v>10.304192105093877</v>
      </c>
      <c r="H30">
        <f>IF(D30=0,0,SUMPRODUCT(--(Data!$C$2:$C$301&gt;A30),SQRT(Data!$K$2:$K$301))/D30)</f>
        <v>10.506149834371465</v>
      </c>
      <c r="I30">
        <f>SUMPRODUCT(--(Data!$C$2:$C$301&lt;=A30),(SQRT(Data!$K$2:$K$301)-G30)^2)+SUMPRODUCT(--(Data!$C$2:$C$301&gt;A30),(SQRT(Data!$K$2:$K$301)-H30)^2)</f>
        <v>1071.9824146082685</v>
      </c>
      <c r="J30">
        <f t="shared" si="0"/>
        <v>1</v>
      </c>
      <c r="K30">
        <f t="shared" si="1"/>
        <v>536186.09626564709</v>
      </c>
      <c r="L30">
        <f t="shared" si="2"/>
        <v>1071.9824146082685</v>
      </c>
    </row>
    <row r="31" spans="1:12" x14ac:dyDescent="0.2">
      <c r="A31">
        <f>Data!C31</f>
        <v>18</v>
      </c>
      <c r="B31">
        <f>COUNTIF(Data!$C$2:$C$301,"&lt;="&amp;A31)</f>
        <v>2</v>
      </c>
      <c r="C31">
        <f>IF(B31=0,0,AVERAGEIF(Data!$C$2:$C$301,"&lt;="&amp;A31,Data!$K$2:$K$301))</f>
        <v>72.759586832147988</v>
      </c>
      <c r="D31">
        <f>COUNTIF(Data!$C$2:$C$301,"&gt;"&amp;A31)</f>
        <v>298</v>
      </c>
      <c r="E31">
        <f>IF(D31=0,0,AVERAGEIF(Data!$C$2:$C$301,"&gt;"&amp;A31,Data!$K$2:$K$301))</f>
        <v>110.49152366333249</v>
      </c>
      <c r="F31">
        <f>SUMPRODUCT(--(Data!$C$2:$C$301&lt;=A31),(Data!$K$2:$K$301-C31)^2)+SUMPRODUCT(--(Data!$C$2:$C$301&gt;A31),(Data!$K$2:$K$301-E31)^2)</f>
        <v>534445.48963118088</v>
      </c>
      <c r="G31">
        <f>IF(B31=0,0,SUMPRODUCT(--(Data!$C$2:$C$301&lt;=A31),SQRT(Data!$K$2:$K$301))/B31)</f>
        <v>8.5288724295414973</v>
      </c>
      <c r="H31">
        <f>IF(D31=0,0,SUMPRODUCT(--(Data!$C$2:$C$301&gt;A31),SQRT(Data!$K$2:$K$301))/D31)</f>
        <v>10.339826869777836</v>
      </c>
      <c r="I31">
        <f>SUMPRODUCT(--(Data!$C$2:$C$301&lt;=A31),(SQRT(Data!$K$2:$K$301)-G31)^2)+SUMPRODUCT(--(Data!$C$2:$C$301&gt;A31),(SQRT(Data!$K$2:$K$301)-H31)^2)</f>
        <v>1066.7280257986683</v>
      </c>
      <c r="J31">
        <f t="shared" si="0"/>
        <v>1</v>
      </c>
      <c r="K31">
        <f t="shared" si="1"/>
        <v>534445.48963118088</v>
      </c>
      <c r="L31">
        <f t="shared" si="2"/>
        <v>1066.7280257986683</v>
      </c>
    </row>
    <row r="32" spans="1:12" x14ac:dyDescent="0.2">
      <c r="A32">
        <f>Data!C32</f>
        <v>55</v>
      </c>
      <c r="B32">
        <f>COUNTIF(Data!$C$2:$C$301,"&lt;="&amp;A32)</f>
        <v>254</v>
      </c>
      <c r="C32">
        <f>IF(B32=0,0,AVERAGEIF(Data!$C$2:$C$301,"&lt;="&amp;A32,Data!$K$2:$K$301))</f>
        <v>109.04767359994145</v>
      </c>
      <c r="D32">
        <f>COUNTIF(Data!$C$2:$C$301,"&gt;"&amp;A32)</f>
        <v>46</v>
      </c>
      <c r="E32">
        <f>IF(D32=0,0,AVERAGEIF(Data!$C$2:$C$301,"&gt;"&amp;A32,Data!$K$2:$K$301))</f>
        <v>116.82356806417974</v>
      </c>
      <c r="F32">
        <f>SUMPRODUCT(--(Data!$C$2:$C$301&lt;=A32),(Data!$K$2:$K$301-C32)^2)+SUMPRODUCT(--(Data!$C$2:$C$301&gt;A32),(Data!$K$2:$K$301-E32)^2)</f>
        <v>534919.01301229745</v>
      </c>
      <c r="G32">
        <f>IF(B32=0,0,SUMPRODUCT(--(Data!$C$2:$C$301&lt;=A32),SQRT(Data!$K$2:$K$301))/B32)</f>
        <v>10.278944478092541</v>
      </c>
      <c r="H32">
        <f>IF(D32=0,0,SUMPRODUCT(--(Data!$C$2:$C$301&gt;A32),SQRT(Data!$K$2:$K$301))/D32)</f>
        <v>10.597266404725501</v>
      </c>
      <c r="I32">
        <f>SUMPRODUCT(--(Data!$C$2:$C$301&lt;=A32),(SQRT(Data!$K$2:$K$301)-G32)^2)+SUMPRODUCT(--(Data!$C$2:$C$301&gt;A32),(SQRT(Data!$K$2:$K$301)-H32)^2)</f>
        <v>1069.2969894500063</v>
      </c>
      <c r="J32">
        <f t="shared" si="0"/>
        <v>1</v>
      </c>
      <c r="K32">
        <f t="shared" si="1"/>
        <v>534919.01301229745</v>
      </c>
      <c r="L32">
        <f t="shared" si="2"/>
        <v>1069.2969894500063</v>
      </c>
    </row>
    <row r="33" spans="1:12" x14ac:dyDescent="0.2">
      <c r="A33">
        <f>Data!C33</f>
        <v>51</v>
      </c>
      <c r="B33">
        <f>COUNTIF(Data!$C$2:$C$301,"&lt;="&amp;A33)</f>
        <v>225</v>
      </c>
      <c r="C33">
        <f>IF(B33=0,0,AVERAGEIF(Data!$C$2:$C$301,"&lt;="&amp;A33,Data!$K$2:$K$301))</f>
        <v>108.72267986087451</v>
      </c>
      <c r="D33">
        <f>COUNTIF(Data!$C$2:$C$301,"&gt;"&amp;A33)</f>
        <v>75</v>
      </c>
      <c r="E33">
        <f>IF(D33=0,0,AVERAGEIF(Data!$C$2:$C$301,"&gt;"&amp;A33,Data!$K$2:$K$301))</f>
        <v>114.79187008854169</v>
      </c>
      <c r="F33">
        <f>SUMPRODUCT(--(Data!$C$2:$C$301&lt;=A33),(Data!$K$2:$K$301-C33)^2)+SUMPRODUCT(--(Data!$C$2:$C$301&gt;A33),(Data!$K$2:$K$301-E33)^2)</f>
        <v>535201.93240254861</v>
      </c>
      <c r="G33">
        <f>IF(B33=0,0,SUMPRODUCT(--(Data!$C$2:$C$301&lt;=A33),SQRT(Data!$K$2:$K$301))/B33)</f>
        <v>10.256534206419111</v>
      </c>
      <c r="H33">
        <f>IF(D33=0,0,SUMPRODUCT(--(Data!$C$2:$C$301&gt;A33),SQRT(Data!$K$2:$K$301))/D33)</f>
        <v>10.541412741447704</v>
      </c>
      <c r="I33">
        <f>SUMPRODUCT(--(Data!$C$2:$C$301&lt;=A33),(SQRT(Data!$K$2:$K$301)-G33)^2)+SUMPRODUCT(--(Data!$C$2:$C$301&gt;A33),(SQRT(Data!$K$2:$K$301)-H33)^2)</f>
        <v>1068.6783977455111</v>
      </c>
      <c r="J33">
        <f t="shared" si="0"/>
        <v>1</v>
      </c>
      <c r="K33">
        <f t="shared" si="1"/>
        <v>535201.93240254861</v>
      </c>
      <c r="L33">
        <f t="shared" si="2"/>
        <v>1068.6783977455111</v>
      </c>
    </row>
    <row r="34" spans="1:12" x14ac:dyDescent="0.2">
      <c r="A34">
        <f>Data!C34</f>
        <v>33</v>
      </c>
      <c r="B34">
        <f>COUNTIF(Data!$C$2:$C$301,"&lt;="&amp;A34)</f>
        <v>68</v>
      </c>
      <c r="C34">
        <f>IF(B34=0,0,AVERAGEIF(Data!$C$2:$C$301,"&lt;="&amp;A34,Data!$K$2:$K$301))</f>
        <v>88.550422202336463</v>
      </c>
      <c r="D34">
        <f>COUNTIF(Data!$C$2:$C$301,"&gt;"&amp;A34)</f>
        <v>232</v>
      </c>
      <c r="E34">
        <f>IF(D34=0,0,AVERAGEIF(Data!$C$2:$C$301,"&gt;"&amp;A34,Data!$K$2:$K$301))</f>
        <v>116.59726084301083</v>
      </c>
      <c r="F34">
        <f>SUMPRODUCT(--(Data!$C$2:$C$301&lt;=A34),(Data!$K$2:$K$301-C34)^2)+SUMPRODUCT(--(Data!$C$2:$C$301&gt;A34),(Data!$K$2:$K$301-E34)^2)</f>
        <v>495907.91012967401</v>
      </c>
      <c r="G34">
        <f>IF(B34=0,0,SUMPRODUCT(--(Data!$C$2:$C$301&lt;=A34),SQRT(Data!$K$2:$K$301))/B34)</f>
        <v>9.2953615607760653</v>
      </c>
      <c r="H34">
        <f>IF(D34=0,0,SUMPRODUCT(--(Data!$C$2:$C$301&gt;A34),SQRT(Data!$K$2:$K$301))/D34)</f>
        <v>10.630351577241834</v>
      </c>
      <c r="I34">
        <f>SUMPRODUCT(--(Data!$C$2:$C$301&lt;=A34),(SQRT(Data!$K$2:$K$301)-G34)^2)+SUMPRODUCT(--(Data!$C$2:$C$301&gt;A34),(SQRT(Data!$K$2:$K$301)-H34)^2)</f>
        <v>979.52354010162389</v>
      </c>
      <c r="J34">
        <f t="shared" si="0"/>
        <v>1</v>
      </c>
      <c r="K34">
        <f t="shared" si="1"/>
        <v>495907.91012967401</v>
      </c>
      <c r="L34">
        <f t="shared" si="2"/>
        <v>979.52354010162389</v>
      </c>
    </row>
    <row r="35" spans="1:12" x14ac:dyDescent="0.2">
      <c r="A35">
        <f>Data!C35</f>
        <v>34</v>
      </c>
      <c r="B35">
        <f>COUNTIF(Data!$C$2:$C$301,"&lt;="&amp;A35)</f>
        <v>79</v>
      </c>
      <c r="C35">
        <f>IF(B35=0,0,AVERAGEIF(Data!$C$2:$C$301,"&lt;="&amp;A35,Data!$K$2:$K$301))</f>
        <v>89.239688213542237</v>
      </c>
      <c r="D35">
        <f>COUNTIF(Data!$C$2:$C$301,"&gt;"&amp;A35)</f>
        <v>221</v>
      </c>
      <c r="E35">
        <f>IF(D35=0,0,AVERAGEIF(Data!$C$2:$C$301,"&gt;"&amp;A35,Data!$K$2:$K$301))</f>
        <v>117.74686812881249</v>
      </c>
      <c r="F35">
        <f>SUMPRODUCT(--(Data!$C$2:$C$301&lt;=A35),(Data!$K$2:$K$301-C35)^2)+SUMPRODUCT(--(Data!$C$2:$C$301&gt;A35),(Data!$K$2:$K$301-E35)^2)</f>
        <v>489979.84230431152</v>
      </c>
      <c r="G35">
        <f>IF(B35=0,0,SUMPRODUCT(--(Data!$C$2:$C$301&lt;=A35),SQRT(Data!$K$2:$K$301))/B35)</f>
        <v>9.3403512203320922</v>
      </c>
      <c r="H35">
        <f>IF(D35=0,0,SUMPRODUCT(--(Data!$C$2:$C$301&gt;A35),SQRT(Data!$K$2:$K$301))/D35)</f>
        <v>10.680716767631866</v>
      </c>
      <c r="I35">
        <f>SUMPRODUCT(--(Data!$C$2:$C$301&lt;=A35),(SQRT(Data!$K$2:$K$301)-G35)^2)+SUMPRODUCT(--(Data!$C$2:$C$301&gt;A35),(SQRT(Data!$K$2:$K$301)-H35)^2)</f>
        <v>968.68845457150394</v>
      </c>
      <c r="J35">
        <f t="shared" si="0"/>
        <v>1</v>
      </c>
      <c r="K35">
        <f t="shared" si="1"/>
        <v>489979.84230431152</v>
      </c>
      <c r="L35">
        <f t="shared" si="2"/>
        <v>968.68845457150394</v>
      </c>
    </row>
    <row r="36" spans="1:12" x14ac:dyDescent="0.2">
      <c r="A36">
        <f>Data!C36</f>
        <v>36</v>
      </c>
      <c r="B36">
        <f>COUNTIF(Data!$C$2:$C$301,"&lt;="&amp;A36)</f>
        <v>95</v>
      </c>
      <c r="C36">
        <f>IF(B36=0,0,AVERAGEIF(Data!$C$2:$C$301,"&lt;="&amp;A36,Data!$K$2:$K$301))</f>
        <v>95.775677888572943</v>
      </c>
      <c r="D36">
        <f>COUNTIF(Data!$C$2:$C$301,"&gt;"&amp;A36)</f>
        <v>205</v>
      </c>
      <c r="E36">
        <f>IF(D36=0,0,AVERAGEIF(Data!$C$2:$C$301,"&gt;"&amp;A36,Data!$K$2:$K$301))</f>
        <v>116.94294549230715</v>
      </c>
      <c r="F36">
        <f>SUMPRODUCT(--(Data!$C$2:$C$301&lt;=A36),(Data!$K$2:$K$301-C36)^2)+SUMPRODUCT(--(Data!$C$2:$C$301&gt;A36),(Data!$K$2:$K$301-E36)^2)</f>
        <v>508187.78370177682</v>
      </c>
      <c r="G36">
        <f>IF(B36=0,0,SUMPRODUCT(--(Data!$C$2:$C$301&lt;=A36),SQRT(Data!$K$2:$K$301))/B36)</f>
        <v>9.6403742538465416</v>
      </c>
      <c r="H36">
        <f>IF(D36=0,0,SUMPRODUCT(--(Data!$C$2:$C$301&gt;A36),SQRT(Data!$K$2:$K$301))/D36)</f>
        <v>10.646295599694904</v>
      </c>
      <c r="I36">
        <f>SUMPRODUCT(--(Data!$C$2:$C$301&lt;=A36),(SQRT(Data!$K$2:$K$301)-G36)^2)+SUMPRODUCT(--(Data!$C$2:$C$301&gt;A36),(SQRT(Data!$K$2:$K$301)-H36)^2)</f>
        <v>1007.5556794887631</v>
      </c>
      <c r="J36">
        <f t="shared" si="0"/>
        <v>1</v>
      </c>
      <c r="K36">
        <f t="shared" si="1"/>
        <v>508187.78370177682</v>
      </c>
      <c r="L36">
        <f t="shared" si="2"/>
        <v>1007.5556794887631</v>
      </c>
    </row>
    <row r="37" spans="1:12" x14ac:dyDescent="0.2">
      <c r="A37">
        <f>Data!C37</f>
        <v>56</v>
      </c>
      <c r="B37">
        <f>COUNTIF(Data!$C$2:$C$301,"&lt;="&amp;A37)</f>
        <v>259</v>
      </c>
      <c r="C37">
        <f>IF(B37=0,0,AVERAGEIF(Data!$C$2:$C$301,"&lt;="&amp;A37,Data!$K$2:$K$301))</f>
        <v>109.12154091053999</v>
      </c>
      <c r="D37">
        <f>COUNTIF(Data!$C$2:$C$301,"&gt;"&amp;A37)</f>
        <v>41</v>
      </c>
      <c r="E37">
        <f>IF(D37=0,0,AVERAGEIF(Data!$C$2:$C$301,"&gt;"&amp;A37,Data!$K$2:$K$301))</f>
        <v>117.30522267091543</v>
      </c>
      <c r="F37">
        <f>SUMPRODUCT(--(Data!$C$2:$C$301&lt;=A37),(Data!$K$2:$K$301-C37)^2)+SUMPRODUCT(--(Data!$C$2:$C$301&gt;A37),(Data!$K$2:$K$301-E37)^2)</f>
        <v>534903.29662401765</v>
      </c>
      <c r="G37">
        <f>IF(B37=0,0,SUMPRODUCT(--(Data!$C$2:$C$301&lt;=A37),SQRT(Data!$K$2:$K$301))/B37)</f>
        <v>10.284834630131332</v>
      </c>
      <c r="H37">
        <f>IF(D37=0,0,SUMPRODUCT(--(Data!$C$2:$C$301&gt;A37),SQRT(Data!$K$2:$K$301))/D37)</f>
        <v>10.598877630460082</v>
      </c>
      <c r="I37">
        <f>SUMPRODUCT(--(Data!$C$2:$C$301&lt;=A37),(SQRT(Data!$K$2:$K$301)-G37)^2)+SUMPRODUCT(--(Data!$C$2:$C$301&gt;A37),(SQRT(Data!$K$2:$K$301)-H37)^2)</f>
        <v>1069.7524846837523</v>
      </c>
      <c r="J37">
        <f t="shared" si="0"/>
        <v>1</v>
      </c>
      <c r="K37">
        <f t="shared" si="1"/>
        <v>534903.29662401765</v>
      </c>
      <c r="L37">
        <f t="shared" si="2"/>
        <v>1069.7524846837523</v>
      </c>
    </row>
    <row r="38" spans="1:12" x14ac:dyDescent="0.2">
      <c r="A38">
        <f>Data!C38</f>
        <v>70</v>
      </c>
      <c r="B38">
        <f>COUNTIF(Data!$C$2:$C$301,"&lt;="&amp;A38)</f>
        <v>296</v>
      </c>
      <c r="C38">
        <f>IF(B38=0,0,AVERAGEIF(Data!$C$2:$C$301,"&lt;="&amp;A38,Data!$K$2:$K$301))</f>
        <v>110.45477552644456</v>
      </c>
      <c r="D38">
        <f>COUNTIF(Data!$C$2:$C$301,"&gt;"&amp;A38)</f>
        <v>4</v>
      </c>
      <c r="E38">
        <f>IF(D38=0,0,AVERAGEIF(Data!$C$2:$C$301,"&gt;"&amp;A38,Data!$K$2:$K$301))</f>
        <v>94.344917377447302</v>
      </c>
      <c r="F38">
        <f>SUMPRODUCT(--(Data!$C$2:$C$301&lt;=A38),(Data!$K$2:$K$301-C38)^2)+SUMPRODUCT(--(Data!$C$2:$C$301&gt;A38),(Data!$K$2:$K$301-E38)^2)</f>
        <v>536249.63644107315</v>
      </c>
      <c r="G38">
        <f>IF(B38=0,0,SUMPRODUCT(--(Data!$C$2:$C$301&lt;=A38),SQRT(Data!$K$2:$K$301))/B38)</f>
        <v>10.336143055387767</v>
      </c>
      <c r="H38">
        <f>IF(D38=0,0,SUMPRODUCT(--(Data!$C$2:$C$301&gt;A38),SQRT(Data!$K$2:$K$301))/D38)</f>
        <v>9.706951914524792</v>
      </c>
      <c r="I38">
        <f>SUMPRODUCT(--(Data!$C$2:$C$301&lt;=A38),(SQRT(Data!$K$2:$K$301)-G38)^2)+SUMPRODUCT(--(Data!$C$2:$C$301&gt;A38),(SQRT(Data!$K$2:$K$301)-H38)^2)</f>
        <v>1071.6809980673615</v>
      </c>
      <c r="J38">
        <f t="shared" si="0"/>
        <v>1</v>
      </c>
      <c r="K38">
        <f t="shared" si="1"/>
        <v>536249.63644107315</v>
      </c>
      <c r="L38">
        <f t="shared" si="2"/>
        <v>1071.6809980673615</v>
      </c>
    </row>
    <row r="39" spans="1:12" x14ac:dyDescent="0.2">
      <c r="A39">
        <f>Data!C39</f>
        <v>25</v>
      </c>
      <c r="B39">
        <f>COUNTIF(Data!$C$2:$C$301,"&lt;="&amp;A39)</f>
        <v>25</v>
      </c>
      <c r="C39">
        <f>IF(B39=0,0,AVERAGEIF(Data!$C$2:$C$301,"&lt;="&amp;A39,Data!$K$2:$K$301))</f>
        <v>71.145225507852857</v>
      </c>
      <c r="D39">
        <f>COUNTIF(Data!$C$2:$C$301,"&gt;"&amp;A39)</f>
        <v>275</v>
      </c>
      <c r="E39">
        <f>IF(D39=0,0,AVERAGEIF(Data!$C$2:$C$301,"&gt;"&amp;A39,Data!$K$2:$K$301))</f>
        <v>113.79404577324024</v>
      </c>
      <c r="F39">
        <f>SUMPRODUCT(--(Data!$C$2:$C$301&lt;=A39),(Data!$K$2:$K$301-C39)^2)+SUMPRODUCT(--(Data!$C$2:$C$301&gt;A39),(Data!$K$2:$K$301-E39)^2)</f>
        <v>495590.27890297974</v>
      </c>
      <c r="G39">
        <f>IF(B39=0,0,SUMPRODUCT(--(Data!$C$2:$C$301&lt;=A39),SQRT(Data!$K$2:$K$301))/B39)</f>
        <v>8.3640861015010071</v>
      </c>
      <c r="H39">
        <f>IF(D39=0,0,SUMPRODUCT(--(Data!$C$2:$C$301&gt;A39),SQRT(Data!$K$2:$K$301))/D39)</f>
        <v>10.506269089146738</v>
      </c>
      <c r="I39">
        <f>SUMPRODUCT(--(Data!$C$2:$C$301&lt;=A39),(SQRT(Data!$K$2:$K$301)-G39)^2)+SUMPRODUCT(--(Data!$C$2:$C$301&gt;A39),(SQRT(Data!$K$2:$K$301)-H39)^2)</f>
        <v>968.08001977529261</v>
      </c>
      <c r="J39">
        <f t="shared" si="0"/>
        <v>1</v>
      </c>
      <c r="K39">
        <f t="shared" si="1"/>
        <v>495590.27890297974</v>
      </c>
      <c r="L39">
        <f t="shared" si="2"/>
        <v>968.08001977529261</v>
      </c>
    </row>
    <row r="40" spans="1:12" x14ac:dyDescent="0.2">
      <c r="A40">
        <f>Data!C40</f>
        <v>32</v>
      </c>
      <c r="B40">
        <f>COUNTIF(Data!$C$2:$C$301,"&lt;="&amp;A40)</f>
        <v>61</v>
      </c>
      <c r="C40">
        <f>IF(B40=0,0,AVERAGEIF(Data!$C$2:$C$301,"&lt;="&amp;A40,Data!$K$2:$K$301))</f>
        <v>87.641509616168676</v>
      </c>
      <c r="D40">
        <f>COUNTIF(Data!$C$2:$C$301,"&gt;"&amp;A40)</f>
        <v>239</v>
      </c>
      <c r="E40">
        <f>IF(D40=0,0,AVERAGEIF(Data!$C$2:$C$301,"&gt;"&amp;A40,Data!$K$2:$K$301))</f>
        <v>116.00778719142721</v>
      </c>
      <c r="F40">
        <f>SUMPRODUCT(--(Data!$C$2:$C$301&lt;=A40),(Data!$K$2:$K$301-C40)^2)+SUMPRODUCT(--(Data!$C$2:$C$301&gt;A40),(Data!$K$2:$K$301-E40)^2)</f>
        <v>498170.80605453369</v>
      </c>
      <c r="G40">
        <f>IF(B40=0,0,SUMPRODUCT(--(Data!$C$2:$C$301&lt;=A40),SQRT(Data!$K$2:$K$301))/B40)</f>
        <v>9.2422152260828607</v>
      </c>
      <c r="H40">
        <f>IF(D40=0,0,SUMPRODUCT(--(Data!$C$2:$C$301&gt;A40),SQRT(Data!$K$2:$K$301))/D40)</f>
        <v>10.604815996911393</v>
      </c>
      <c r="I40">
        <f>SUMPRODUCT(--(Data!$C$2:$C$301&lt;=A40),(SQRT(Data!$K$2:$K$301)-G40)^2)+SUMPRODUCT(--(Data!$C$2:$C$301&gt;A40),(SQRT(Data!$K$2:$K$301)-H40)^2)</f>
        <v>983.01490946276726</v>
      </c>
      <c r="J40">
        <f t="shared" si="0"/>
        <v>1</v>
      </c>
      <c r="K40">
        <f t="shared" si="1"/>
        <v>498170.80605453369</v>
      </c>
      <c r="L40">
        <f t="shared" si="2"/>
        <v>983.01490946276726</v>
      </c>
    </row>
    <row r="41" spans="1:12" x14ac:dyDescent="0.2">
      <c r="A41">
        <f>Data!C41</f>
        <v>27</v>
      </c>
      <c r="B41">
        <f>COUNTIF(Data!$C$2:$C$301,"&lt;="&amp;A41)</f>
        <v>38</v>
      </c>
      <c r="C41">
        <f>IF(B41=0,0,AVERAGEIF(Data!$C$2:$C$301,"&lt;="&amp;A41,Data!$K$2:$K$301))</f>
        <v>78.423980333724913</v>
      </c>
      <c r="D41">
        <f>COUNTIF(Data!$C$2:$C$301,"&gt;"&amp;A41)</f>
        <v>262</v>
      </c>
      <c r="E41">
        <f>IF(D41=0,0,AVERAGEIF(Data!$C$2:$C$301,"&gt;"&amp;A41,Data!$K$2:$K$301))</f>
        <v>114.85451134601466</v>
      </c>
      <c r="F41">
        <f>SUMPRODUCT(--(Data!$C$2:$C$301&lt;=A41),(Data!$K$2:$K$301-C41)^2)+SUMPRODUCT(--(Data!$C$2:$C$301&gt;A41),(Data!$K$2:$K$301-E41)^2)</f>
        <v>493229.10568974749</v>
      </c>
      <c r="G41">
        <f>IF(B41=0,0,SUMPRODUCT(--(Data!$C$2:$C$301&lt;=A41),SQRT(Data!$K$2:$K$301))/B41)</f>
        <v>8.7678478230846917</v>
      </c>
      <c r="H41">
        <f>IF(D41=0,0,SUMPRODUCT(--(Data!$C$2:$C$301&gt;A41),SQRT(Data!$K$2:$K$301))/D41)</f>
        <v>10.553999751052134</v>
      </c>
      <c r="I41">
        <f>SUMPRODUCT(--(Data!$C$2:$C$301&lt;=A41),(SQRT(Data!$K$2:$K$301)-G41)^2)+SUMPRODUCT(--(Data!$C$2:$C$301&gt;A41),(SQRT(Data!$K$2:$K$301)-H41)^2)</f>
        <v>967.36670303947096</v>
      </c>
      <c r="J41">
        <f t="shared" si="0"/>
        <v>1</v>
      </c>
      <c r="K41">
        <f t="shared" si="1"/>
        <v>493229.10568974749</v>
      </c>
      <c r="L41">
        <f t="shared" si="2"/>
        <v>967.36670303947096</v>
      </c>
    </row>
    <row r="42" spans="1:12" x14ac:dyDescent="0.2">
      <c r="A42">
        <f>Data!C42</f>
        <v>28</v>
      </c>
      <c r="B42">
        <f>COUNTIF(Data!$C$2:$C$301,"&lt;="&amp;A42)</f>
        <v>41</v>
      </c>
      <c r="C42">
        <f>IF(B42=0,0,AVERAGEIF(Data!$C$2:$C$301,"&lt;="&amp;A42,Data!$K$2:$K$301))</f>
        <v>80.607487849937385</v>
      </c>
      <c r="D42">
        <f>COUNTIF(Data!$C$2:$C$301,"&gt;"&amp;A42)</f>
        <v>259</v>
      </c>
      <c r="E42">
        <f>IF(D42=0,0,AVERAGEIF(Data!$C$2:$C$301,"&gt;"&amp;A42,Data!$K$2:$K$301))</f>
        <v>114.93083483972956</v>
      </c>
      <c r="F42">
        <f>SUMPRODUCT(--(Data!$C$2:$C$301&lt;=A42),(Data!$K$2:$K$301-C42)^2)+SUMPRODUCT(--(Data!$C$2:$C$301&gt;A42),(Data!$K$2:$K$301-E42)^2)</f>
        <v>495573.37000518944</v>
      </c>
      <c r="G42">
        <f>IF(B42=0,0,SUMPRODUCT(--(Data!$C$2:$C$301&lt;=A42),SQRT(Data!$K$2:$K$301))/B42)</f>
        <v>8.8573281997448614</v>
      </c>
      <c r="H42">
        <f>IF(D42=0,0,SUMPRODUCT(--(Data!$C$2:$C$301&gt;A42),SQRT(Data!$K$2:$K$301))/D42)</f>
        <v>10.560523922252271</v>
      </c>
      <c r="I42">
        <f>SUMPRODUCT(--(Data!$C$2:$C$301&lt;=A42),(SQRT(Data!$K$2:$K$301)-G42)^2)+SUMPRODUCT(--(Data!$C$2:$C$301&gt;A42),(SQRT(Data!$K$2:$K$301)-H42)^2)</f>
        <v>970.56208125179649</v>
      </c>
      <c r="J42">
        <f t="shared" si="0"/>
        <v>1</v>
      </c>
      <c r="K42">
        <f t="shared" si="1"/>
        <v>495573.37000518944</v>
      </c>
      <c r="L42">
        <f t="shared" si="2"/>
        <v>970.56208125179649</v>
      </c>
    </row>
    <row r="43" spans="1:12" x14ac:dyDescent="0.2">
      <c r="A43">
        <f>Data!C43</f>
        <v>27</v>
      </c>
      <c r="B43">
        <f>COUNTIF(Data!$C$2:$C$301,"&lt;="&amp;A43)</f>
        <v>38</v>
      </c>
      <c r="C43">
        <f>IF(B43=0,0,AVERAGEIF(Data!$C$2:$C$301,"&lt;="&amp;A43,Data!$K$2:$K$301))</f>
        <v>78.423980333724913</v>
      </c>
      <c r="D43">
        <f>COUNTIF(Data!$C$2:$C$301,"&gt;"&amp;A43)</f>
        <v>262</v>
      </c>
      <c r="E43">
        <f>IF(D43=0,0,AVERAGEIF(Data!$C$2:$C$301,"&gt;"&amp;A43,Data!$K$2:$K$301))</f>
        <v>114.85451134601466</v>
      </c>
      <c r="F43">
        <f>SUMPRODUCT(--(Data!$C$2:$C$301&lt;=A43),(Data!$K$2:$K$301-C43)^2)+SUMPRODUCT(--(Data!$C$2:$C$301&gt;A43),(Data!$K$2:$K$301-E43)^2)</f>
        <v>493229.10568974749</v>
      </c>
      <c r="G43">
        <f>IF(B43=0,0,SUMPRODUCT(--(Data!$C$2:$C$301&lt;=A43),SQRT(Data!$K$2:$K$301))/B43)</f>
        <v>8.7678478230846917</v>
      </c>
      <c r="H43">
        <f>IF(D43=0,0,SUMPRODUCT(--(Data!$C$2:$C$301&gt;A43),SQRT(Data!$K$2:$K$301))/D43)</f>
        <v>10.553999751052134</v>
      </c>
      <c r="I43">
        <f>SUMPRODUCT(--(Data!$C$2:$C$301&lt;=A43),(SQRT(Data!$K$2:$K$301)-G43)^2)+SUMPRODUCT(--(Data!$C$2:$C$301&gt;A43),(SQRT(Data!$K$2:$K$301)-H43)^2)</f>
        <v>967.36670303947096</v>
      </c>
      <c r="J43">
        <f t="shared" si="0"/>
        <v>1</v>
      </c>
      <c r="K43">
        <f t="shared" si="1"/>
        <v>493229.10568974749</v>
      </c>
      <c r="L43">
        <f t="shared" si="2"/>
        <v>967.36670303947096</v>
      </c>
    </row>
    <row r="44" spans="1:12" x14ac:dyDescent="0.2">
      <c r="A44">
        <f>Data!C44</f>
        <v>43</v>
      </c>
      <c r="B44">
        <f>COUNTIF(Data!$C$2:$C$301,"&lt;="&amp;A44)</f>
        <v>161</v>
      </c>
      <c r="C44">
        <f>IF(B44=0,0,AVERAGEIF(Data!$C$2:$C$301,"&lt;="&amp;A44,Data!$K$2:$K$301))</f>
        <v>105.8730068010875</v>
      </c>
      <c r="D44">
        <f>COUNTIF(Data!$C$2:$C$301,"&gt;"&amp;A44)</f>
        <v>139</v>
      </c>
      <c r="E44">
        <f>IF(D44=0,0,AVERAGEIF(Data!$C$2:$C$301,"&gt;"&amp;A44,Data!$K$2:$K$301))</f>
        <v>115.29812324001665</v>
      </c>
      <c r="F44">
        <f>SUMPRODUCT(--(Data!$C$2:$C$301&lt;=A44),(Data!$K$2:$K$301-C44)^2)+SUMPRODUCT(--(Data!$C$2:$C$301&gt;A44),(Data!$K$2:$K$301-E44)^2)</f>
        <v>530647.27283695317</v>
      </c>
      <c r="G44">
        <f>IF(B44=0,0,SUMPRODUCT(--(Data!$C$2:$C$301&lt;=A44),SQRT(Data!$K$2:$K$301))/B44)</f>
        <v>10.108069640250404</v>
      </c>
      <c r="H44">
        <f>IF(D44=0,0,SUMPRODUCT(--(Data!$C$2:$C$301&gt;A44),SQRT(Data!$K$2:$K$301))/D44)</f>
        <v>10.582208201241452</v>
      </c>
      <c r="I44">
        <f>SUMPRODUCT(--(Data!$C$2:$C$301&lt;=A44),(SQRT(Data!$K$2:$K$301)-G44)^2)+SUMPRODUCT(--(Data!$C$2:$C$301&gt;A44),(SQRT(Data!$K$2:$K$301)-H44)^2)</f>
        <v>1056.4735295362882</v>
      </c>
      <c r="J44">
        <f t="shared" si="0"/>
        <v>1</v>
      </c>
      <c r="K44">
        <f t="shared" si="1"/>
        <v>530647.27283695317</v>
      </c>
      <c r="L44">
        <f t="shared" si="2"/>
        <v>1056.4735295362882</v>
      </c>
    </row>
    <row r="45" spans="1:12" x14ac:dyDescent="0.2">
      <c r="A45">
        <f>Data!C45</f>
        <v>50</v>
      </c>
      <c r="B45">
        <f>COUNTIF(Data!$C$2:$C$301,"&lt;="&amp;A45)</f>
        <v>219</v>
      </c>
      <c r="C45">
        <f>IF(B45=0,0,AVERAGEIF(Data!$C$2:$C$301,"&lt;="&amp;A45,Data!$K$2:$K$301))</f>
        <v>108.70258125966022</v>
      </c>
      <c r="D45">
        <f>COUNTIF(Data!$C$2:$C$301,"&gt;"&amp;A45)</f>
        <v>81</v>
      </c>
      <c r="E45">
        <f>IF(D45=0,0,AVERAGEIF(Data!$C$2:$C$301,"&gt;"&amp;A45,Data!$K$2:$K$301))</f>
        <v>114.39664110459017</v>
      </c>
      <c r="F45">
        <f>SUMPRODUCT(--(Data!$C$2:$C$301&lt;=A45),(Data!$K$2:$K$301-C45)^2)+SUMPRODUCT(--(Data!$C$2:$C$301&gt;A45),(Data!$K$2:$K$301-E45)^2)</f>
        <v>535356.77345633367</v>
      </c>
      <c r="G45">
        <f>IF(B45=0,0,SUMPRODUCT(--(Data!$C$2:$C$301&lt;=A45),SQRT(Data!$K$2:$K$301))/B45)</f>
        <v>10.254440242387149</v>
      </c>
      <c r="H45">
        <f>IF(D45=0,0,SUMPRODUCT(--(Data!$C$2:$C$301&gt;A45),SQRT(Data!$K$2:$K$301))/D45)</f>
        <v>10.525972086050512</v>
      </c>
      <c r="I45">
        <f>SUMPRODUCT(--(Data!$C$2:$C$301&lt;=A45),(SQRT(Data!$K$2:$K$301)-G45)^2)+SUMPRODUCT(--(Data!$C$2:$C$301&gt;A45),(SQRT(Data!$K$2:$K$301)-H45)^2)</f>
        <v>1068.8837825290173</v>
      </c>
      <c r="J45">
        <f t="shared" si="0"/>
        <v>1</v>
      </c>
      <c r="K45">
        <f t="shared" si="1"/>
        <v>535356.77345633367</v>
      </c>
      <c r="L45">
        <f t="shared" si="2"/>
        <v>1068.8837825290173</v>
      </c>
    </row>
    <row r="46" spans="1:12" x14ac:dyDescent="0.2">
      <c r="A46">
        <f>Data!C46</f>
        <v>39</v>
      </c>
      <c r="B46">
        <f>COUNTIF(Data!$C$2:$C$301,"&lt;="&amp;A46)</f>
        <v>124</v>
      </c>
      <c r="C46">
        <f>IF(B46=0,0,AVERAGEIF(Data!$C$2:$C$301,"&lt;="&amp;A46,Data!$K$2:$K$301))</f>
        <v>102.61244696541844</v>
      </c>
      <c r="D46">
        <f>COUNTIF(Data!$C$2:$C$301,"&gt;"&amp;A46)</f>
        <v>176</v>
      </c>
      <c r="E46">
        <f>IF(D46=0,0,AVERAGEIF(Data!$C$2:$C$301,"&gt;"&amp;A46,Data!$K$2:$K$301))</f>
        <v>115.61391932741766</v>
      </c>
      <c r="F46">
        <f>SUMPRODUCT(--(Data!$C$2:$C$301&lt;=A46),(Data!$K$2:$K$301-C46)^2)+SUMPRODUCT(--(Data!$C$2:$C$301&gt;A46),(Data!$K$2:$K$301-E46)^2)</f>
        <v>524976.93342166441</v>
      </c>
      <c r="G46">
        <f>IF(B46=0,0,SUMPRODUCT(--(Data!$C$2:$C$301&lt;=A46),SQRT(Data!$K$2:$K$301))/B46)</f>
        <v>9.9647092312663439</v>
      </c>
      <c r="H46">
        <f>IF(D46=0,0,SUMPRODUCT(--(Data!$C$2:$C$301&gt;A46),SQRT(Data!$K$2:$K$301))/D46)</f>
        <v>10.583535269180963</v>
      </c>
      <c r="I46">
        <f>SUMPRODUCT(--(Data!$C$2:$C$301&lt;=A46),(SQRT(Data!$K$2:$K$301)-G46)^2)+SUMPRODUCT(--(Data!$C$2:$C$301&gt;A46),(SQRT(Data!$K$2:$K$301)-H46)^2)</f>
        <v>1045.385389696934</v>
      </c>
      <c r="J46">
        <f t="shared" si="0"/>
        <v>1</v>
      </c>
      <c r="K46">
        <f t="shared" si="1"/>
        <v>524976.93342166441</v>
      </c>
      <c r="L46">
        <f t="shared" si="2"/>
        <v>1045.385389696934</v>
      </c>
    </row>
    <row r="47" spans="1:12" x14ac:dyDescent="0.2">
      <c r="A47">
        <f>Data!C47</f>
        <v>52</v>
      </c>
      <c r="B47">
        <f>COUNTIF(Data!$C$2:$C$301,"&lt;="&amp;A47)</f>
        <v>233</v>
      </c>
      <c r="C47">
        <f>IF(B47=0,0,AVERAGEIF(Data!$C$2:$C$301,"&lt;="&amp;A47,Data!$K$2:$K$301))</f>
        <v>108.60725979033396</v>
      </c>
      <c r="D47">
        <f>COUNTIF(Data!$C$2:$C$301,"&gt;"&amp;A47)</f>
        <v>67</v>
      </c>
      <c r="E47">
        <f>IF(D47=0,0,AVERAGEIF(Data!$C$2:$C$301,"&gt;"&amp;A47,Data!$K$2:$K$301))</f>
        <v>115.91793573417284</v>
      </c>
      <c r="F47">
        <f>SUMPRODUCT(--(Data!$C$2:$C$301&lt;=A47),(Data!$K$2:$K$301-C47)^2)+SUMPRODUCT(--(Data!$C$2:$C$301&gt;A47),(Data!$K$2:$K$301-E47)^2)</f>
        <v>534492.75430181436</v>
      </c>
      <c r="G47">
        <f>IF(B47=0,0,SUMPRODUCT(--(Data!$C$2:$C$301&lt;=A47),SQRT(Data!$K$2:$K$301))/B47)</f>
        <v>10.252913653753263</v>
      </c>
      <c r="H47">
        <f>IF(D47=0,0,SUMPRODUCT(--(Data!$C$2:$C$301&gt;A47),SQRT(Data!$K$2:$K$301))/D47)</f>
        <v>10.588018966095051</v>
      </c>
      <c r="I47">
        <f>SUMPRODUCT(--(Data!$C$2:$C$301&lt;=A47),(SQRT(Data!$K$2:$K$301)-G47)^2)+SUMPRODUCT(--(Data!$C$2:$C$301&gt;A47),(SQRT(Data!$K$2:$K$301)-H47)^2)</f>
        <v>1067.3999231918131</v>
      </c>
      <c r="J47">
        <f t="shared" si="0"/>
        <v>1</v>
      </c>
      <c r="K47">
        <f t="shared" si="1"/>
        <v>534492.75430181436</v>
      </c>
      <c r="L47">
        <f t="shared" si="2"/>
        <v>1067.3999231918131</v>
      </c>
    </row>
    <row r="48" spans="1:12" x14ac:dyDescent="0.2">
      <c r="A48">
        <f>Data!C48</f>
        <v>35</v>
      </c>
      <c r="B48">
        <f>COUNTIF(Data!$C$2:$C$301,"&lt;="&amp;A48)</f>
        <v>90</v>
      </c>
      <c r="C48">
        <f>IF(B48=0,0,AVERAGEIF(Data!$C$2:$C$301,"&lt;="&amp;A48,Data!$K$2:$K$301))</f>
        <v>94.577555019098696</v>
      </c>
      <c r="D48">
        <f>COUNTIF(Data!$C$2:$C$301,"&gt;"&amp;A48)</f>
        <v>210</v>
      </c>
      <c r="E48">
        <f>IF(D48=0,0,AVERAGEIF(Data!$C$2:$C$301,"&gt;"&amp;A48,Data!$K$2:$K$301))</f>
        <v>116.95244416008815</v>
      </c>
      <c r="F48">
        <f>SUMPRODUCT(--(Data!$C$2:$C$301&lt;=A48),(Data!$K$2:$K$301-C48)^2)+SUMPRODUCT(--(Data!$C$2:$C$301&gt;A48),(Data!$K$2:$K$301-E48)^2)</f>
        <v>505733.85825464316</v>
      </c>
      <c r="G48">
        <f>IF(B48=0,0,SUMPRODUCT(--(Data!$C$2:$C$301&lt;=A48),SQRT(Data!$K$2:$K$301))/B48)</f>
        <v>9.5793805119208457</v>
      </c>
      <c r="H48">
        <f>IF(D48=0,0,SUMPRODUCT(--(Data!$C$2:$C$301&gt;A48),SQRT(Data!$K$2:$K$301))/D48)</f>
        <v>10.648485266571434</v>
      </c>
      <c r="I48">
        <f>SUMPRODUCT(--(Data!$C$2:$C$301&lt;=A48),(SQRT(Data!$K$2:$K$301)-G48)^2)+SUMPRODUCT(--(Data!$C$2:$C$301&gt;A48),(SQRT(Data!$K$2:$K$301)-H48)^2)</f>
        <v>1001.2353568405237</v>
      </c>
      <c r="J48">
        <f t="shared" si="0"/>
        <v>1</v>
      </c>
      <c r="K48">
        <f t="shared" si="1"/>
        <v>505733.85825464316</v>
      </c>
      <c r="L48">
        <f t="shared" si="2"/>
        <v>1001.2353568405237</v>
      </c>
    </row>
    <row r="49" spans="1:12" x14ac:dyDescent="0.2">
      <c r="A49">
        <f>Data!C49</f>
        <v>57</v>
      </c>
      <c r="B49">
        <f>COUNTIF(Data!$C$2:$C$301,"&lt;="&amp;A49)</f>
        <v>265</v>
      </c>
      <c r="C49">
        <f>IF(B49=0,0,AVERAGEIF(Data!$C$2:$C$301,"&lt;="&amp;A49,Data!$K$2:$K$301))</f>
        <v>109.5479445097443</v>
      </c>
      <c r="D49">
        <f>COUNTIF(Data!$C$2:$C$301,"&gt;"&amp;A49)</f>
        <v>35</v>
      </c>
      <c r="E49">
        <f>IF(D49=0,0,AVERAGEIF(Data!$C$2:$C$301,"&gt;"&amp;A49,Data!$K$2:$K$301))</f>
        <v>115.47965515014717</v>
      </c>
      <c r="F49">
        <f>SUMPRODUCT(--(Data!$C$2:$C$301&lt;=A49),(Data!$K$2:$K$301-C49)^2)+SUMPRODUCT(--(Data!$C$2:$C$301&gt;A49),(Data!$K$2:$K$301-E49)^2)</f>
        <v>536186.09626564709</v>
      </c>
      <c r="G49">
        <f>IF(B49=0,0,SUMPRODUCT(--(Data!$C$2:$C$301&lt;=A49),SQRT(Data!$K$2:$K$301))/B49)</f>
        <v>10.304192105093877</v>
      </c>
      <c r="H49">
        <f>IF(D49=0,0,SUMPRODUCT(--(Data!$C$2:$C$301&gt;A49),SQRT(Data!$K$2:$K$301))/D49)</f>
        <v>10.506149834371465</v>
      </c>
      <c r="I49">
        <f>SUMPRODUCT(--(Data!$C$2:$C$301&lt;=A49),(SQRT(Data!$K$2:$K$301)-G49)^2)+SUMPRODUCT(--(Data!$C$2:$C$301&gt;A49),(SQRT(Data!$K$2:$K$301)-H49)^2)</f>
        <v>1071.9824146082685</v>
      </c>
      <c r="J49">
        <f t="shared" si="0"/>
        <v>1</v>
      </c>
      <c r="K49">
        <f t="shared" si="1"/>
        <v>536186.09626564709</v>
      </c>
      <c r="L49">
        <f t="shared" si="2"/>
        <v>1071.9824146082685</v>
      </c>
    </row>
    <row r="50" spans="1:12" x14ac:dyDescent="0.2">
      <c r="A50">
        <f>Data!C50</f>
        <v>25</v>
      </c>
      <c r="B50">
        <f>COUNTIF(Data!$C$2:$C$301,"&lt;="&amp;A50)</f>
        <v>25</v>
      </c>
      <c r="C50">
        <f>IF(B50=0,0,AVERAGEIF(Data!$C$2:$C$301,"&lt;="&amp;A50,Data!$K$2:$K$301))</f>
        <v>71.145225507852857</v>
      </c>
      <c r="D50">
        <f>COUNTIF(Data!$C$2:$C$301,"&gt;"&amp;A50)</f>
        <v>275</v>
      </c>
      <c r="E50">
        <f>IF(D50=0,0,AVERAGEIF(Data!$C$2:$C$301,"&gt;"&amp;A50,Data!$K$2:$K$301))</f>
        <v>113.79404577324024</v>
      </c>
      <c r="F50">
        <f>SUMPRODUCT(--(Data!$C$2:$C$301&lt;=A50),(Data!$K$2:$K$301-C50)^2)+SUMPRODUCT(--(Data!$C$2:$C$301&gt;A50),(Data!$K$2:$K$301-E50)^2)</f>
        <v>495590.27890297974</v>
      </c>
      <c r="G50">
        <f>IF(B50=0,0,SUMPRODUCT(--(Data!$C$2:$C$301&lt;=A50),SQRT(Data!$K$2:$K$301))/B50)</f>
        <v>8.3640861015010071</v>
      </c>
      <c r="H50">
        <f>IF(D50=0,0,SUMPRODUCT(--(Data!$C$2:$C$301&gt;A50),SQRT(Data!$K$2:$K$301))/D50)</f>
        <v>10.506269089146738</v>
      </c>
      <c r="I50">
        <f>SUMPRODUCT(--(Data!$C$2:$C$301&lt;=A50),(SQRT(Data!$K$2:$K$301)-G50)^2)+SUMPRODUCT(--(Data!$C$2:$C$301&gt;A50),(SQRT(Data!$K$2:$K$301)-H50)^2)</f>
        <v>968.08001977529261</v>
      </c>
      <c r="J50">
        <f t="shared" si="0"/>
        <v>1</v>
      </c>
      <c r="K50">
        <f t="shared" si="1"/>
        <v>495590.27890297974</v>
      </c>
      <c r="L50">
        <f t="shared" si="2"/>
        <v>968.08001977529261</v>
      </c>
    </row>
    <row r="51" spans="1:12" x14ac:dyDescent="0.2">
      <c r="A51">
        <f>Data!C51</f>
        <v>33</v>
      </c>
      <c r="B51">
        <f>COUNTIF(Data!$C$2:$C$301,"&lt;="&amp;A51)</f>
        <v>68</v>
      </c>
      <c r="C51">
        <f>IF(B51=0,0,AVERAGEIF(Data!$C$2:$C$301,"&lt;="&amp;A51,Data!$K$2:$K$301))</f>
        <v>88.550422202336463</v>
      </c>
      <c r="D51">
        <f>COUNTIF(Data!$C$2:$C$301,"&gt;"&amp;A51)</f>
        <v>232</v>
      </c>
      <c r="E51">
        <f>IF(D51=0,0,AVERAGEIF(Data!$C$2:$C$301,"&gt;"&amp;A51,Data!$K$2:$K$301))</f>
        <v>116.59726084301083</v>
      </c>
      <c r="F51">
        <f>SUMPRODUCT(--(Data!$C$2:$C$301&lt;=A51),(Data!$K$2:$K$301-C51)^2)+SUMPRODUCT(--(Data!$C$2:$C$301&gt;A51),(Data!$K$2:$K$301-E51)^2)</f>
        <v>495907.91012967401</v>
      </c>
      <c r="G51">
        <f>IF(B51=0,0,SUMPRODUCT(--(Data!$C$2:$C$301&lt;=A51),SQRT(Data!$K$2:$K$301))/B51)</f>
        <v>9.2953615607760653</v>
      </c>
      <c r="H51">
        <f>IF(D51=0,0,SUMPRODUCT(--(Data!$C$2:$C$301&gt;A51),SQRT(Data!$K$2:$K$301))/D51)</f>
        <v>10.630351577241834</v>
      </c>
      <c r="I51">
        <f>SUMPRODUCT(--(Data!$C$2:$C$301&lt;=A51),(SQRT(Data!$K$2:$K$301)-G51)^2)+SUMPRODUCT(--(Data!$C$2:$C$301&gt;A51),(SQRT(Data!$K$2:$K$301)-H51)^2)</f>
        <v>979.52354010162389</v>
      </c>
      <c r="J51">
        <f t="shared" si="0"/>
        <v>1</v>
      </c>
      <c r="K51">
        <f t="shared" si="1"/>
        <v>495907.91012967401</v>
      </c>
      <c r="L51">
        <f t="shared" si="2"/>
        <v>979.52354010162389</v>
      </c>
    </row>
    <row r="52" spans="1:12" x14ac:dyDescent="0.2">
      <c r="A52">
        <f>Data!C52</f>
        <v>57</v>
      </c>
      <c r="B52">
        <f>COUNTIF(Data!$C$2:$C$301,"&lt;="&amp;A52)</f>
        <v>265</v>
      </c>
      <c r="C52">
        <f>IF(B52=0,0,AVERAGEIF(Data!$C$2:$C$301,"&lt;="&amp;A52,Data!$K$2:$K$301))</f>
        <v>109.5479445097443</v>
      </c>
      <c r="D52">
        <f>COUNTIF(Data!$C$2:$C$301,"&gt;"&amp;A52)</f>
        <v>35</v>
      </c>
      <c r="E52">
        <f>IF(D52=0,0,AVERAGEIF(Data!$C$2:$C$301,"&gt;"&amp;A52,Data!$K$2:$K$301))</f>
        <v>115.47965515014717</v>
      </c>
      <c r="F52">
        <f>SUMPRODUCT(--(Data!$C$2:$C$301&lt;=A52),(Data!$K$2:$K$301-C52)^2)+SUMPRODUCT(--(Data!$C$2:$C$301&gt;A52),(Data!$K$2:$K$301-E52)^2)</f>
        <v>536186.09626564709</v>
      </c>
      <c r="G52">
        <f>IF(B52=0,0,SUMPRODUCT(--(Data!$C$2:$C$301&lt;=A52),SQRT(Data!$K$2:$K$301))/B52)</f>
        <v>10.304192105093877</v>
      </c>
      <c r="H52">
        <f>IF(D52=0,0,SUMPRODUCT(--(Data!$C$2:$C$301&gt;A52),SQRT(Data!$K$2:$K$301))/D52)</f>
        <v>10.506149834371465</v>
      </c>
      <c r="I52">
        <f>SUMPRODUCT(--(Data!$C$2:$C$301&lt;=A52),(SQRT(Data!$K$2:$K$301)-G52)^2)+SUMPRODUCT(--(Data!$C$2:$C$301&gt;A52),(SQRT(Data!$K$2:$K$301)-H52)^2)</f>
        <v>1071.9824146082685</v>
      </c>
      <c r="J52">
        <f t="shared" si="0"/>
        <v>1</v>
      </c>
      <c r="K52">
        <f t="shared" si="1"/>
        <v>536186.09626564709</v>
      </c>
      <c r="L52">
        <f t="shared" si="2"/>
        <v>1071.9824146082685</v>
      </c>
    </row>
    <row r="53" spans="1:12" x14ac:dyDescent="0.2">
      <c r="A53">
        <f>Data!C53</f>
        <v>71</v>
      </c>
      <c r="B53">
        <f>COUNTIF(Data!$C$2:$C$301,"&lt;="&amp;A53)</f>
        <v>297</v>
      </c>
      <c r="C53">
        <f>IF(B53=0,0,AVERAGEIF(Data!$C$2:$C$301,"&lt;="&amp;A53,Data!$K$2:$K$301))</f>
        <v>110.42571686162715</v>
      </c>
      <c r="D53">
        <f>COUNTIF(Data!$C$2:$C$301,"&gt;"&amp;A53)</f>
        <v>3</v>
      </c>
      <c r="E53">
        <f>IF(D53=0,0,AVERAGEIF(Data!$C$2:$C$301,"&gt;"&amp;A53,Data!$K$2:$K$301))</f>
        <v>91.851772478036409</v>
      </c>
      <c r="F53">
        <f>SUMPRODUCT(--(Data!$C$2:$C$301&lt;=A53),(Data!$K$2:$K$301-C53)^2)+SUMPRODUCT(--(Data!$C$2:$C$301&gt;A53),(Data!$K$2:$K$301-E53)^2)</f>
        <v>536249.28060355736</v>
      </c>
      <c r="G53">
        <f>IF(B53=0,0,SUMPRODUCT(--(Data!$C$2:$C$301&lt;=A53),SQRT(Data!$K$2:$K$301))/B53)</f>
        <v>10.335317002418265</v>
      </c>
      <c r="H53">
        <f>IF(D53=0,0,SUMPRODUCT(--(Data!$C$2:$C$301&gt;A53),SQRT(Data!$K$2:$K$301))/D53)</f>
        <v>9.579000778217825</v>
      </c>
      <c r="I53">
        <f>SUMPRODUCT(--(Data!$C$2:$C$301&lt;=A53),(SQRT(Data!$K$2:$K$301)-G53)^2)+SUMPRODUCT(--(Data!$C$2:$C$301&gt;A53),(SQRT(Data!$K$2:$K$301)-H53)^2)</f>
        <v>1071.5445280887282</v>
      </c>
      <c r="J53">
        <f t="shared" si="0"/>
        <v>1</v>
      </c>
      <c r="K53">
        <f t="shared" si="1"/>
        <v>536249.28060355736</v>
      </c>
      <c r="L53">
        <f t="shared" si="2"/>
        <v>1071.5445280887282</v>
      </c>
    </row>
    <row r="54" spans="1:12" x14ac:dyDescent="0.2">
      <c r="A54">
        <f>Data!C54</f>
        <v>43</v>
      </c>
      <c r="B54">
        <f>COUNTIF(Data!$C$2:$C$301,"&lt;="&amp;A54)</f>
        <v>161</v>
      </c>
      <c r="C54">
        <f>IF(B54=0,0,AVERAGEIF(Data!$C$2:$C$301,"&lt;="&amp;A54,Data!$K$2:$K$301))</f>
        <v>105.8730068010875</v>
      </c>
      <c r="D54">
        <f>COUNTIF(Data!$C$2:$C$301,"&gt;"&amp;A54)</f>
        <v>139</v>
      </c>
      <c r="E54">
        <f>IF(D54=0,0,AVERAGEIF(Data!$C$2:$C$301,"&gt;"&amp;A54,Data!$K$2:$K$301))</f>
        <v>115.29812324001665</v>
      </c>
      <c r="F54">
        <f>SUMPRODUCT(--(Data!$C$2:$C$301&lt;=A54),(Data!$K$2:$K$301-C54)^2)+SUMPRODUCT(--(Data!$C$2:$C$301&gt;A54),(Data!$K$2:$K$301-E54)^2)</f>
        <v>530647.27283695317</v>
      </c>
      <c r="G54">
        <f>IF(B54=0,0,SUMPRODUCT(--(Data!$C$2:$C$301&lt;=A54),SQRT(Data!$K$2:$K$301))/B54)</f>
        <v>10.108069640250404</v>
      </c>
      <c r="H54">
        <f>IF(D54=0,0,SUMPRODUCT(--(Data!$C$2:$C$301&gt;A54),SQRT(Data!$K$2:$K$301))/D54)</f>
        <v>10.582208201241452</v>
      </c>
      <c r="I54">
        <f>SUMPRODUCT(--(Data!$C$2:$C$301&lt;=A54),(SQRT(Data!$K$2:$K$301)-G54)^2)+SUMPRODUCT(--(Data!$C$2:$C$301&gt;A54),(SQRT(Data!$K$2:$K$301)-H54)^2)</f>
        <v>1056.4735295362882</v>
      </c>
      <c r="J54">
        <f t="shared" si="0"/>
        <v>1</v>
      </c>
      <c r="K54">
        <f t="shared" si="1"/>
        <v>530647.27283695317</v>
      </c>
      <c r="L54">
        <f t="shared" si="2"/>
        <v>1056.4735295362882</v>
      </c>
    </row>
    <row r="55" spans="1:12" x14ac:dyDescent="0.2">
      <c r="A55">
        <f>Data!C55</f>
        <v>23</v>
      </c>
      <c r="B55">
        <f>COUNTIF(Data!$C$2:$C$301,"&lt;="&amp;A55)</f>
        <v>14</v>
      </c>
      <c r="C55">
        <f>IF(B55=0,0,AVERAGEIF(Data!$C$2:$C$301,"&lt;="&amp;A55,Data!$K$2:$K$301))</f>
        <v>64.595134391187798</v>
      </c>
      <c r="D55">
        <f>COUNTIF(Data!$C$2:$C$301,"&gt;"&amp;A55)</f>
        <v>286</v>
      </c>
      <c r="E55">
        <f>IF(D55=0,0,AVERAGEIF(Data!$C$2:$C$301,"&gt;"&amp;A55,Data!$K$2:$K$301))</f>
        <v>112.47434036314949</v>
      </c>
      <c r="F55">
        <f>SUMPRODUCT(--(Data!$C$2:$C$301&lt;=A55),(Data!$K$2:$K$301-C55)^2)+SUMPRODUCT(--(Data!$C$2:$C$301&gt;A55),(Data!$K$2:$K$301-E55)^2)</f>
        <v>506677.76131955103</v>
      </c>
      <c r="G55">
        <f>IF(B55=0,0,SUMPRODUCT(--(Data!$C$2:$C$301&lt;=A55),SQRT(Data!$K$2:$K$301))/B55)</f>
        <v>7.9640959100838851</v>
      </c>
      <c r="H55">
        <f>IF(D55=0,0,SUMPRODUCT(--(Data!$C$2:$C$301&gt;A55),SQRT(Data!$K$2:$K$301))/D55)</f>
        <v>10.443457375215749</v>
      </c>
      <c r="I55">
        <f>SUMPRODUCT(--(Data!$C$2:$C$301&lt;=A55),(SQRT(Data!$K$2:$K$301)-G55)^2)+SUMPRODUCT(--(Data!$C$2:$C$301&gt;A55),(SQRT(Data!$K$2:$K$301)-H55)^2)</f>
        <v>991.19833691402187</v>
      </c>
      <c r="J55">
        <f t="shared" si="0"/>
        <v>1</v>
      </c>
      <c r="K55">
        <f t="shared" si="1"/>
        <v>506677.76131955103</v>
      </c>
      <c r="L55">
        <f t="shared" si="2"/>
        <v>991.19833691402187</v>
      </c>
    </row>
    <row r="56" spans="1:12" x14ac:dyDescent="0.2">
      <c r="A56">
        <f>Data!C56</f>
        <v>30</v>
      </c>
      <c r="B56">
        <f>COUNTIF(Data!$C$2:$C$301,"&lt;="&amp;A56)</f>
        <v>52</v>
      </c>
      <c r="C56">
        <f>IF(B56=0,0,AVERAGEIF(Data!$C$2:$C$301,"&lt;="&amp;A56,Data!$K$2:$K$301))</f>
        <v>86.222807371193227</v>
      </c>
      <c r="D56">
        <f>COUNTIF(Data!$C$2:$C$301,"&gt;"&amp;A56)</f>
        <v>248</v>
      </c>
      <c r="E56">
        <f>IF(D56=0,0,AVERAGEIF(Data!$C$2:$C$301,"&gt;"&amp;A56,Data!$K$2:$K$301))</f>
        <v>115.27583565336832</v>
      </c>
      <c r="F56">
        <f>SUMPRODUCT(--(Data!$C$2:$C$301&lt;=A56),(Data!$K$2:$K$301-C56)^2)+SUMPRODUCT(--(Data!$C$2:$C$301&gt;A56),(Data!$K$2:$K$301-E56)^2)</f>
        <v>500989.78601882781</v>
      </c>
      <c r="G56">
        <f>IF(B56=0,0,SUMPRODUCT(--(Data!$C$2:$C$301&lt;=A56),SQRT(Data!$K$2:$K$301))/B56)</f>
        <v>9.1609178862411547</v>
      </c>
      <c r="H56">
        <f>IF(D56=0,0,SUMPRODUCT(--(Data!$C$2:$C$301&gt;A56),SQRT(Data!$K$2:$K$301))/D56)</f>
        <v>10.572412991807813</v>
      </c>
      <c r="I56">
        <f>SUMPRODUCT(--(Data!$C$2:$C$301&lt;=A56),(SQRT(Data!$K$2:$K$301)-G56)^2)+SUMPRODUCT(--(Data!$C$2:$C$301&gt;A56),(SQRT(Data!$K$2:$K$301)-H56)^2)</f>
        <v>987.60028197987617</v>
      </c>
      <c r="J56">
        <f t="shared" si="0"/>
        <v>1</v>
      </c>
      <c r="K56">
        <f t="shared" si="1"/>
        <v>500989.78601882781</v>
      </c>
      <c r="L56">
        <f t="shared" si="2"/>
        <v>987.60028197987617</v>
      </c>
    </row>
    <row r="57" spans="1:12" x14ac:dyDescent="0.2">
      <c r="A57">
        <f>Data!C57</f>
        <v>22</v>
      </c>
      <c r="B57">
        <f>COUNTIF(Data!$C$2:$C$301,"&lt;="&amp;A57)</f>
        <v>10</v>
      </c>
      <c r="C57">
        <f>IF(B57=0,0,AVERAGEIF(Data!$C$2:$C$301,"&lt;="&amp;A57,Data!$K$2:$K$301))</f>
        <v>65.30519371621908</v>
      </c>
      <c r="D57">
        <f>COUNTIF(Data!$C$2:$C$301,"&gt;"&amp;A57)</f>
        <v>290</v>
      </c>
      <c r="E57">
        <f>IF(D57=0,0,AVERAGEIF(Data!$C$2:$C$301,"&gt;"&amp;A57,Data!$K$2:$K$301))</f>
        <v>111.78945271784551</v>
      </c>
      <c r="F57">
        <f>SUMPRODUCT(--(Data!$C$2:$C$301&lt;=A57),(Data!$K$2:$K$301-C57)^2)+SUMPRODUCT(--(Data!$C$2:$C$301&gt;A57),(Data!$K$2:$K$301-E57)^2)</f>
        <v>516386.30385349214</v>
      </c>
      <c r="G57">
        <f>IF(B57=0,0,SUMPRODUCT(--(Data!$C$2:$C$301&lt;=A57),SQRT(Data!$K$2:$K$301))/B57)</f>
        <v>8.015119012201783</v>
      </c>
      <c r="H57">
        <f>IF(D57=0,0,SUMPRODUCT(--(Data!$C$2:$C$301&gt;A57),SQRT(Data!$K$2:$K$301))/D57)</f>
        <v>10.407499868727104</v>
      </c>
      <c r="I57">
        <f>SUMPRODUCT(--(Data!$C$2:$C$301&lt;=A57),(SQRT(Data!$K$2:$K$301)-G57)^2)+SUMPRODUCT(--(Data!$C$2:$C$301&gt;A57),(SQRT(Data!$K$2:$K$301)-H57)^2)</f>
        <v>1017.9163774489665</v>
      </c>
      <c r="J57">
        <f t="shared" si="0"/>
        <v>1</v>
      </c>
      <c r="K57">
        <f t="shared" si="1"/>
        <v>516386.30385349214</v>
      </c>
      <c r="L57">
        <f t="shared" si="2"/>
        <v>1017.9163774489665</v>
      </c>
    </row>
    <row r="58" spans="1:12" x14ac:dyDescent="0.2">
      <c r="A58">
        <f>Data!C58</f>
        <v>59</v>
      </c>
      <c r="B58">
        <f>COUNTIF(Data!$C$2:$C$301,"&lt;="&amp;A58)</f>
        <v>275</v>
      </c>
      <c r="C58">
        <f>IF(B58=0,0,AVERAGEIF(Data!$C$2:$C$301,"&lt;="&amp;A58,Data!$K$2:$K$301))</f>
        <v>109.74883200032075</v>
      </c>
      <c r="D58">
        <f>COUNTIF(Data!$C$2:$C$301,"&gt;"&amp;A58)</f>
        <v>25</v>
      </c>
      <c r="E58">
        <f>IF(D58=0,0,AVERAGEIF(Data!$C$2:$C$301,"&gt;"&amp;A58,Data!$K$2:$K$301))</f>
        <v>115.6425770099673</v>
      </c>
      <c r="F58">
        <f>SUMPRODUCT(--(Data!$C$2:$C$301&lt;=A58),(Data!$K$2:$K$301-C58)^2)+SUMPRODUCT(--(Data!$C$2:$C$301&gt;A58),(Data!$K$2:$K$301-E58)^2)</f>
        <v>536477.86648151395</v>
      </c>
      <c r="G58">
        <f>IF(B58=0,0,SUMPRODUCT(--(Data!$C$2:$C$301&lt;=A58),SQRT(Data!$K$2:$K$301))/B58)</f>
        <v>10.313770639659154</v>
      </c>
      <c r="H58">
        <f>IF(D58=0,0,SUMPRODUCT(--(Data!$C$2:$C$301&gt;A58),SQRT(Data!$K$2:$K$301))/D58)</f>
        <v>10.48156904586445</v>
      </c>
      <c r="I58">
        <f>SUMPRODUCT(--(Data!$C$2:$C$301&lt;=A58),(SQRT(Data!$K$2:$K$301)-G58)^2)+SUMPRODUCT(--(Data!$C$2:$C$301&gt;A58),(SQRT(Data!$K$2:$K$301)-H58)^2)</f>
        <v>1072.5981616956467</v>
      </c>
      <c r="J58">
        <f t="shared" si="0"/>
        <v>1</v>
      </c>
      <c r="K58">
        <f t="shared" si="1"/>
        <v>536477.86648151395</v>
      </c>
      <c r="L58">
        <f t="shared" si="2"/>
        <v>1072.5981616956467</v>
      </c>
    </row>
    <row r="59" spans="1:12" x14ac:dyDescent="0.2">
      <c r="A59">
        <f>Data!C59</f>
        <v>28</v>
      </c>
      <c r="B59">
        <f>COUNTIF(Data!$C$2:$C$301,"&lt;="&amp;A59)</f>
        <v>41</v>
      </c>
      <c r="C59">
        <f>IF(B59=0,0,AVERAGEIF(Data!$C$2:$C$301,"&lt;="&amp;A59,Data!$K$2:$K$301))</f>
        <v>80.607487849937385</v>
      </c>
      <c r="D59">
        <f>COUNTIF(Data!$C$2:$C$301,"&gt;"&amp;A59)</f>
        <v>259</v>
      </c>
      <c r="E59">
        <f>IF(D59=0,0,AVERAGEIF(Data!$C$2:$C$301,"&gt;"&amp;A59,Data!$K$2:$K$301))</f>
        <v>114.93083483972956</v>
      </c>
      <c r="F59">
        <f>SUMPRODUCT(--(Data!$C$2:$C$301&lt;=A59),(Data!$K$2:$K$301-C59)^2)+SUMPRODUCT(--(Data!$C$2:$C$301&gt;A59),(Data!$K$2:$K$301-E59)^2)</f>
        <v>495573.37000518944</v>
      </c>
      <c r="G59">
        <f>IF(B59=0,0,SUMPRODUCT(--(Data!$C$2:$C$301&lt;=A59),SQRT(Data!$K$2:$K$301))/B59)</f>
        <v>8.8573281997448614</v>
      </c>
      <c r="H59">
        <f>IF(D59=0,0,SUMPRODUCT(--(Data!$C$2:$C$301&gt;A59),SQRT(Data!$K$2:$K$301))/D59)</f>
        <v>10.560523922252271</v>
      </c>
      <c r="I59">
        <f>SUMPRODUCT(--(Data!$C$2:$C$301&lt;=A59),(SQRT(Data!$K$2:$K$301)-G59)^2)+SUMPRODUCT(--(Data!$C$2:$C$301&gt;A59),(SQRT(Data!$K$2:$K$301)-H59)^2)</f>
        <v>970.56208125179649</v>
      </c>
      <c r="J59">
        <f t="shared" si="0"/>
        <v>1</v>
      </c>
      <c r="K59">
        <f t="shared" si="1"/>
        <v>495573.37000518944</v>
      </c>
      <c r="L59">
        <f t="shared" si="2"/>
        <v>970.56208125179649</v>
      </c>
    </row>
    <row r="60" spans="1:12" x14ac:dyDescent="0.2">
      <c r="A60">
        <f>Data!C60</f>
        <v>61</v>
      </c>
      <c r="B60">
        <f>COUNTIF(Data!$C$2:$C$301,"&lt;="&amp;A60)</f>
        <v>285</v>
      </c>
      <c r="C60">
        <f>IF(B60=0,0,AVERAGEIF(Data!$C$2:$C$301,"&lt;="&amp;A60,Data!$K$2:$K$301))</f>
        <v>110.45760116752029</v>
      </c>
      <c r="D60">
        <f>COUNTIF(Data!$C$2:$C$301,"&gt;"&amp;A60)</f>
        <v>15</v>
      </c>
      <c r="E60">
        <f>IF(D60=0,0,AVERAGEIF(Data!$C$2:$C$301,"&gt;"&amp;A60,Data!$K$2:$K$301))</f>
        <v>106.10512617294009</v>
      </c>
      <c r="F60">
        <f>SUMPRODUCT(--(Data!$C$2:$C$301&lt;=A60),(Data!$K$2:$K$301-C60)^2)+SUMPRODUCT(--(Data!$C$2:$C$301&gt;A60),(Data!$K$2:$K$301-E60)^2)</f>
        <v>537003.95254140918</v>
      </c>
      <c r="G60">
        <f>IF(B60=0,0,SUMPRODUCT(--(Data!$C$2:$C$301&lt;=A60),SQRT(Data!$K$2:$K$301))/B60)</f>
        <v>10.34332736769888</v>
      </c>
      <c r="H60">
        <f>IF(D60=0,0,SUMPRODUCT(--(Data!$C$2:$C$301&gt;A60),SQRT(Data!$K$2:$K$301))/D60)</f>
        <v>10.031856817246561</v>
      </c>
      <c r="I60">
        <f>SUMPRODUCT(--(Data!$C$2:$C$301&lt;=A60),(SQRT(Data!$K$2:$K$301)-G60)^2)+SUMPRODUCT(--(Data!$C$2:$C$301&gt;A60),(SQRT(Data!$K$2:$K$301)-H60)^2)</f>
        <v>1071.8609622256272</v>
      </c>
      <c r="J60">
        <f t="shared" si="0"/>
        <v>1</v>
      </c>
      <c r="K60">
        <f t="shared" si="1"/>
        <v>537003.95254140918</v>
      </c>
      <c r="L60">
        <f t="shared" si="2"/>
        <v>1071.8609622256272</v>
      </c>
    </row>
    <row r="61" spans="1:12" x14ac:dyDescent="0.2">
      <c r="A61">
        <f>Data!C61</f>
        <v>34</v>
      </c>
      <c r="B61">
        <f>COUNTIF(Data!$C$2:$C$301,"&lt;="&amp;A61)</f>
        <v>79</v>
      </c>
      <c r="C61">
        <f>IF(B61=0,0,AVERAGEIF(Data!$C$2:$C$301,"&lt;="&amp;A61,Data!$K$2:$K$301))</f>
        <v>89.239688213542237</v>
      </c>
      <c r="D61">
        <f>COUNTIF(Data!$C$2:$C$301,"&gt;"&amp;A61)</f>
        <v>221</v>
      </c>
      <c r="E61">
        <f>IF(D61=0,0,AVERAGEIF(Data!$C$2:$C$301,"&gt;"&amp;A61,Data!$K$2:$K$301))</f>
        <v>117.74686812881249</v>
      </c>
      <c r="F61">
        <f>SUMPRODUCT(--(Data!$C$2:$C$301&lt;=A61),(Data!$K$2:$K$301-C61)^2)+SUMPRODUCT(--(Data!$C$2:$C$301&gt;A61),(Data!$K$2:$K$301-E61)^2)</f>
        <v>489979.84230431152</v>
      </c>
      <c r="G61">
        <f>IF(B61=0,0,SUMPRODUCT(--(Data!$C$2:$C$301&lt;=A61),SQRT(Data!$K$2:$K$301))/B61)</f>
        <v>9.3403512203320922</v>
      </c>
      <c r="H61">
        <f>IF(D61=0,0,SUMPRODUCT(--(Data!$C$2:$C$301&gt;A61),SQRT(Data!$K$2:$K$301))/D61)</f>
        <v>10.680716767631866</v>
      </c>
      <c r="I61">
        <f>SUMPRODUCT(--(Data!$C$2:$C$301&lt;=A61),(SQRT(Data!$K$2:$K$301)-G61)^2)+SUMPRODUCT(--(Data!$C$2:$C$301&gt;A61),(SQRT(Data!$K$2:$K$301)-H61)^2)</f>
        <v>968.68845457150394</v>
      </c>
      <c r="J61">
        <f t="shared" si="0"/>
        <v>1</v>
      </c>
      <c r="K61">
        <f t="shared" si="1"/>
        <v>489979.84230431152</v>
      </c>
      <c r="L61">
        <f t="shared" si="2"/>
        <v>968.68845457150394</v>
      </c>
    </row>
    <row r="62" spans="1:12" x14ac:dyDescent="0.2">
      <c r="A62">
        <f>Data!C62</f>
        <v>43</v>
      </c>
      <c r="B62">
        <f>COUNTIF(Data!$C$2:$C$301,"&lt;="&amp;A62)</f>
        <v>161</v>
      </c>
      <c r="C62">
        <f>IF(B62=0,0,AVERAGEIF(Data!$C$2:$C$301,"&lt;="&amp;A62,Data!$K$2:$K$301))</f>
        <v>105.8730068010875</v>
      </c>
      <c r="D62">
        <f>COUNTIF(Data!$C$2:$C$301,"&gt;"&amp;A62)</f>
        <v>139</v>
      </c>
      <c r="E62">
        <f>IF(D62=0,0,AVERAGEIF(Data!$C$2:$C$301,"&gt;"&amp;A62,Data!$K$2:$K$301))</f>
        <v>115.29812324001665</v>
      </c>
      <c r="F62">
        <f>SUMPRODUCT(--(Data!$C$2:$C$301&lt;=A62),(Data!$K$2:$K$301-C62)^2)+SUMPRODUCT(--(Data!$C$2:$C$301&gt;A62),(Data!$K$2:$K$301-E62)^2)</f>
        <v>530647.27283695317</v>
      </c>
      <c r="G62">
        <f>IF(B62=0,0,SUMPRODUCT(--(Data!$C$2:$C$301&lt;=A62),SQRT(Data!$K$2:$K$301))/B62)</f>
        <v>10.108069640250404</v>
      </c>
      <c r="H62">
        <f>IF(D62=0,0,SUMPRODUCT(--(Data!$C$2:$C$301&gt;A62),SQRT(Data!$K$2:$K$301))/D62)</f>
        <v>10.582208201241452</v>
      </c>
      <c r="I62">
        <f>SUMPRODUCT(--(Data!$C$2:$C$301&lt;=A62),(SQRT(Data!$K$2:$K$301)-G62)^2)+SUMPRODUCT(--(Data!$C$2:$C$301&gt;A62),(SQRT(Data!$K$2:$K$301)-H62)^2)</f>
        <v>1056.4735295362882</v>
      </c>
      <c r="J62">
        <f t="shared" si="0"/>
        <v>1</v>
      </c>
      <c r="K62">
        <f t="shared" si="1"/>
        <v>530647.27283695317</v>
      </c>
      <c r="L62">
        <f t="shared" si="2"/>
        <v>1056.4735295362882</v>
      </c>
    </row>
    <row r="63" spans="1:12" x14ac:dyDescent="0.2">
      <c r="A63">
        <f>Data!C63</f>
        <v>54</v>
      </c>
      <c r="B63">
        <f>COUNTIF(Data!$C$2:$C$301,"&lt;="&amp;A63)</f>
        <v>245</v>
      </c>
      <c r="C63">
        <f>IF(B63=0,0,AVERAGEIF(Data!$C$2:$C$301,"&lt;="&amp;A63,Data!$K$2:$K$301))</f>
        <v>108.7043715775597</v>
      </c>
      <c r="D63">
        <f>COUNTIF(Data!$C$2:$C$301,"&gt;"&amp;A63)</f>
        <v>55</v>
      </c>
      <c r="E63">
        <f>IF(D63=0,0,AVERAGEIF(Data!$C$2:$C$301,"&gt;"&amp;A63,Data!$K$2:$K$301))</f>
        <v>117.08040343336856</v>
      </c>
      <c r="F63">
        <f>SUMPRODUCT(--(Data!$C$2:$C$301&lt;=A63),(Data!$K$2:$K$301-C63)^2)+SUMPRODUCT(--(Data!$C$2:$C$301&gt;A63),(Data!$K$2:$K$301-E63)^2)</f>
        <v>534122.64564939437</v>
      </c>
      <c r="G63">
        <f>IF(B63=0,0,SUMPRODUCT(--(Data!$C$2:$C$301&lt;=A63),SQRT(Data!$K$2:$K$301))/B63)</f>
        <v>10.262431153987036</v>
      </c>
      <c r="H63">
        <f>IF(D63=0,0,SUMPRODUCT(--(Data!$C$2:$C$301&gt;A63),SQRT(Data!$K$2:$K$301))/D63)</f>
        <v>10.618736715019176</v>
      </c>
      <c r="I63">
        <f>SUMPRODUCT(--(Data!$C$2:$C$301&lt;=A63),(SQRT(Data!$K$2:$K$301)-G63)^2)+SUMPRODUCT(--(Data!$C$2:$C$301&gt;A63),(SQRT(Data!$K$2:$K$301)-H63)^2)</f>
        <v>1067.5410754488223</v>
      </c>
      <c r="J63">
        <f t="shared" si="0"/>
        <v>1</v>
      </c>
      <c r="K63">
        <f t="shared" si="1"/>
        <v>534122.64564939437</v>
      </c>
      <c r="L63">
        <f t="shared" si="2"/>
        <v>1067.5410754488223</v>
      </c>
    </row>
    <row r="64" spans="1:12" x14ac:dyDescent="0.2">
      <c r="A64">
        <f>Data!C64</f>
        <v>69</v>
      </c>
      <c r="B64">
        <f>COUNTIF(Data!$C$2:$C$301,"&lt;="&amp;A64)</f>
        <v>294</v>
      </c>
      <c r="C64">
        <f>IF(B64=0,0,AVERAGEIF(Data!$C$2:$C$301,"&lt;="&amp;A64,Data!$K$2:$K$301))</f>
        <v>110.47187513626825</v>
      </c>
      <c r="D64">
        <f>COUNTIF(Data!$C$2:$C$301,"&gt;"&amp;A64)</f>
        <v>6</v>
      </c>
      <c r="E64">
        <f>IF(D64=0,0,AVERAGEIF(Data!$C$2:$C$301,"&gt;"&amp;A64,Data!$K$2:$K$301))</f>
        <v>98.876989212418763</v>
      </c>
      <c r="F64">
        <f>SUMPRODUCT(--(Data!$C$2:$C$301&lt;=A64),(Data!$K$2:$K$301-C64)^2)+SUMPRODUCT(--(Data!$C$2:$C$301&gt;A64),(Data!$K$2:$K$301-E64)^2)</f>
        <v>536483.38977918134</v>
      </c>
      <c r="G64">
        <f>IF(B64=0,0,SUMPRODUCT(--(Data!$C$2:$C$301&lt;=A64),SQRT(Data!$K$2:$K$301))/B64)</f>
        <v>10.336085650189723</v>
      </c>
      <c r="H64">
        <f>IF(D64=0,0,SUMPRODUCT(--(Data!$C$2:$C$301&gt;A64),SQRT(Data!$K$2:$K$301))/D64)</f>
        <v>9.9194951495165142</v>
      </c>
      <c r="I64">
        <f>SUMPRODUCT(--(Data!$C$2:$C$301&lt;=A64),(SQRT(Data!$K$2:$K$301)-G64)^2)+SUMPRODUCT(--(Data!$C$2:$C$301&gt;A64),(SQRT(Data!$K$2:$K$301)-H64)^2)</f>
        <v>1072.222950200686</v>
      </c>
      <c r="J64">
        <f t="shared" si="0"/>
        <v>1</v>
      </c>
      <c r="K64">
        <f t="shared" si="1"/>
        <v>536483.38977918134</v>
      </c>
      <c r="L64">
        <f t="shared" si="2"/>
        <v>1072.222950200686</v>
      </c>
    </row>
    <row r="65" spans="1:12" x14ac:dyDescent="0.2">
      <c r="A65">
        <f>Data!C65</f>
        <v>41</v>
      </c>
      <c r="B65">
        <f>COUNTIF(Data!$C$2:$C$301,"&lt;="&amp;A65)</f>
        <v>143</v>
      </c>
      <c r="C65">
        <f>IF(B65=0,0,AVERAGEIF(Data!$C$2:$C$301,"&lt;="&amp;A65,Data!$K$2:$K$301))</f>
        <v>103.77382919941138</v>
      </c>
      <c r="D65">
        <f>COUNTIF(Data!$C$2:$C$301,"&gt;"&amp;A65)</f>
        <v>157</v>
      </c>
      <c r="E65">
        <f>IF(D65=0,0,AVERAGEIF(Data!$C$2:$C$301,"&gt;"&amp;A65,Data!$K$2:$K$301))</f>
        <v>116.12952643198452</v>
      </c>
      <c r="F65">
        <f>SUMPRODUCT(--(Data!$C$2:$C$301&lt;=A65),(Data!$K$2:$K$301-C65)^2)+SUMPRODUCT(--(Data!$C$2:$C$301&gt;A65),(Data!$K$2:$K$301-E65)^2)</f>
        <v>525849.09603159584</v>
      </c>
      <c r="G65">
        <f>IF(B65=0,0,SUMPRODUCT(--(Data!$C$2:$C$301&lt;=A65),SQRT(Data!$K$2:$K$301))/B65)</f>
        <v>10.028926081129624</v>
      </c>
      <c r="H65">
        <f>IF(D65=0,0,SUMPRODUCT(--(Data!$C$2:$C$301&gt;A65),SQRT(Data!$K$2:$K$301))/D65)</f>
        <v>10.599934537906627</v>
      </c>
      <c r="I65">
        <f>SUMPRODUCT(--(Data!$C$2:$C$301&lt;=A65),(SQRT(Data!$K$2:$K$301)-G65)^2)+SUMPRODUCT(--(Data!$C$2:$C$301&gt;A65),(SQRT(Data!$K$2:$K$301)-H65)^2)</f>
        <v>1048.8428659672084</v>
      </c>
      <c r="J65">
        <f t="shared" si="0"/>
        <v>1</v>
      </c>
      <c r="K65">
        <f t="shared" si="1"/>
        <v>525849.09603159584</v>
      </c>
      <c r="L65">
        <f t="shared" si="2"/>
        <v>1048.8428659672084</v>
      </c>
    </row>
    <row r="66" spans="1:12" x14ac:dyDescent="0.2">
      <c r="A66">
        <f>Data!C66</f>
        <v>48</v>
      </c>
      <c r="B66">
        <f>COUNTIF(Data!$C$2:$C$301,"&lt;="&amp;A66)</f>
        <v>201</v>
      </c>
      <c r="C66">
        <f>IF(B66=0,0,AVERAGEIF(Data!$C$2:$C$301,"&lt;="&amp;A66,Data!$K$2:$K$301))</f>
        <v>107.52848274057251</v>
      </c>
      <c r="D66">
        <f>COUNTIF(Data!$C$2:$C$301,"&gt;"&amp;A66)</f>
        <v>99</v>
      </c>
      <c r="E66">
        <f>IF(D66=0,0,AVERAGEIF(Data!$C$2:$C$301,"&gt;"&amp;A66,Data!$K$2:$K$301))</f>
        <v>115.74513327759915</v>
      </c>
      <c r="F66">
        <f>SUMPRODUCT(--(Data!$C$2:$C$301&lt;=A66),(Data!$K$2:$K$301-C66)^2)+SUMPRODUCT(--(Data!$C$2:$C$301&gt;A66),(Data!$K$2:$K$301-E66)^2)</f>
        <v>532795.7448478135</v>
      </c>
      <c r="G66">
        <f>IF(B66=0,0,SUMPRODUCT(--(Data!$C$2:$C$301&lt;=A66),SQRT(Data!$K$2:$K$301))/B66)</f>
        <v>10.206713367266193</v>
      </c>
      <c r="H66">
        <f>IF(D66=0,0,SUMPRODUCT(--(Data!$C$2:$C$301&gt;A66),SQRT(Data!$K$2:$K$301))/D66)</f>
        <v>10.573502679114871</v>
      </c>
      <c r="I66">
        <f>SUMPRODUCT(--(Data!$C$2:$C$301&lt;=A66),(SQRT(Data!$K$2:$K$301)-G66)^2)+SUMPRODUCT(--(Data!$C$2:$C$301&gt;A66),(SQRT(Data!$K$2:$K$301)-H66)^2)</f>
        <v>1064.3197436500957</v>
      </c>
      <c r="J66">
        <f t="shared" ref="J66:J129" si="3">IF(AND(B66&gt;0,D66&gt;0),1,0)</f>
        <v>1</v>
      </c>
      <c r="K66">
        <f t="shared" ref="K66:K129" si="4">IF(J66=1,F66,1E+99)</f>
        <v>532795.7448478135</v>
      </c>
      <c r="L66">
        <f t="shared" ref="L66:L129" si="5">IF(J66=1,I66,1E+99)</f>
        <v>1064.3197436500957</v>
      </c>
    </row>
    <row r="67" spans="1:12" x14ac:dyDescent="0.2">
      <c r="A67">
        <f>Data!C67</f>
        <v>49</v>
      </c>
      <c r="B67">
        <f>COUNTIF(Data!$C$2:$C$301,"&lt;="&amp;A67)</f>
        <v>212</v>
      </c>
      <c r="C67">
        <f>IF(B67=0,0,AVERAGEIF(Data!$C$2:$C$301,"&lt;="&amp;A67,Data!$K$2:$K$301))</f>
        <v>108.2928321953428</v>
      </c>
      <c r="D67">
        <f>COUNTIF(Data!$C$2:$C$301,"&gt;"&amp;A67)</f>
        <v>88</v>
      </c>
      <c r="E67">
        <f>IF(D67=0,0,AVERAGEIF(Data!$C$2:$C$301,"&gt;"&amp;A67,Data!$K$2:$K$301))</f>
        <v>114.93082727187185</v>
      </c>
      <c r="F67">
        <f>SUMPRODUCT(--(Data!$C$2:$C$301&lt;=A67),(Data!$K$2:$K$301-C67)^2)+SUMPRODUCT(--(Data!$C$2:$C$301&gt;A67),(Data!$K$2:$K$301-E67)^2)</f>
        <v>534533.77532637282</v>
      </c>
      <c r="G67">
        <f>IF(B67=0,0,SUMPRODUCT(--(Data!$C$2:$C$301&lt;=A67),SQRT(Data!$K$2:$K$301))/B67)</f>
        <v>10.238914021322245</v>
      </c>
      <c r="H67">
        <f>IF(D67=0,0,SUMPRODUCT(--(Data!$C$2:$C$301&gt;A67),SQRT(Data!$K$2:$K$301))/D67)</f>
        <v>10.54177704014274</v>
      </c>
      <c r="I67">
        <f>SUMPRODUCT(--(Data!$C$2:$C$301&lt;=A67),(SQRT(Data!$K$2:$K$301)-G67)^2)+SUMPRODUCT(--(Data!$C$2:$C$301&gt;A67),(SQRT(Data!$K$2:$K$301)-H67)^2)</f>
        <v>1067.5392756600895</v>
      </c>
      <c r="J67">
        <f t="shared" si="3"/>
        <v>1</v>
      </c>
      <c r="K67">
        <f t="shared" si="4"/>
        <v>534533.77532637282</v>
      </c>
      <c r="L67">
        <f t="shared" si="5"/>
        <v>1067.5392756600895</v>
      </c>
    </row>
    <row r="68" spans="1:12" x14ac:dyDescent="0.2">
      <c r="A68">
        <f>Data!C68</f>
        <v>42</v>
      </c>
      <c r="B68">
        <f>COUNTIF(Data!$C$2:$C$301,"&lt;="&amp;A68)</f>
        <v>149</v>
      </c>
      <c r="C68">
        <f>IF(B68=0,0,AVERAGEIF(Data!$C$2:$C$301,"&lt;="&amp;A68,Data!$K$2:$K$301))</f>
        <v>103.31953066485788</v>
      </c>
      <c r="D68">
        <f>COUNTIF(Data!$C$2:$C$301,"&gt;"&amp;A68)</f>
        <v>151</v>
      </c>
      <c r="E68">
        <f>IF(D68=0,0,AVERAGEIF(Data!$C$2:$C$301,"&gt;"&amp;A68,Data!$K$2:$K$301))</f>
        <v>117.06876262432831</v>
      </c>
      <c r="F68">
        <f>SUMPRODUCT(--(Data!$C$2:$C$301&lt;=A68),(Data!$K$2:$K$301-C68)^2)+SUMPRODUCT(--(Data!$C$2:$C$301&gt;A68),(Data!$K$2:$K$301-E68)^2)</f>
        <v>523096.43176843447</v>
      </c>
      <c r="G68">
        <f>IF(B68=0,0,SUMPRODUCT(--(Data!$C$2:$C$301&lt;=A68),SQRT(Data!$K$2:$K$301))/B68)</f>
        <v>10.003721880221478</v>
      </c>
      <c r="H68">
        <f>IF(D68=0,0,SUMPRODUCT(--(Data!$C$2:$C$301&gt;A68),SQRT(Data!$K$2:$K$301))/D68)</f>
        <v>10.647493986091895</v>
      </c>
      <c r="I68">
        <f>SUMPRODUCT(--(Data!$C$2:$C$301&lt;=A68),(SQRT(Data!$K$2:$K$301)-G68)^2)+SUMPRODUCT(--(Data!$C$2:$C$301&gt;A68),(SQRT(Data!$K$2:$K$301)-H68)^2)</f>
        <v>1042.1616025075816</v>
      </c>
      <c r="J68">
        <f t="shared" si="3"/>
        <v>1</v>
      </c>
      <c r="K68">
        <f t="shared" si="4"/>
        <v>523096.43176843447</v>
      </c>
      <c r="L68">
        <f t="shared" si="5"/>
        <v>1042.1616025075816</v>
      </c>
    </row>
    <row r="69" spans="1:12" x14ac:dyDescent="0.2">
      <c r="A69">
        <f>Data!C69</f>
        <v>37</v>
      </c>
      <c r="B69">
        <f>COUNTIF(Data!$C$2:$C$301,"&lt;="&amp;A69)</f>
        <v>106</v>
      </c>
      <c r="C69">
        <f>IF(B69=0,0,AVERAGEIF(Data!$C$2:$C$301,"&lt;="&amp;A69,Data!$K$2:$K$301))</f>
        <v>97.276622779475886</v>
      </c>
      <c r="D69">
        <f>COUNTIF(Data!$C$2:$C$301,"&gt;"&amp;A69)</f>
        <v>194</v>
      </c>
      <c r="E69">
        <f>IF(D69=0,0,AVERAGEIF(Data!$C$2:$C$301,"&gt;"&amp;A69,Data!$K$2:$K$301))</f>
        <v>117.32304747790181</v>
      </c>
      <c r="F69">
        <f>SUMPRODUCT(--(Data!$C$2:$C$301&lt;=A69),(Data!$K$2:$K$301-C69)^2)+SUMPRODUCT(--(Data!$C$2:$C$301&gt;A69),(Data!$K$2:$K$301-E69)^2)</f>
        <v>509727.80035597854</v>
      </c>
      <c r="G69">
        <f>IF(B69=0,0,SUMPRODUCT(--(Data!$C$2:$C$301&lt;=A69),SQRT(Data!$K$2:$K$301))/B69)</f>
        <v>9.717465630869949</v>
      </c>
      <c r="H69">
        <f>IF(D69=0,0,SUMPRODUCT(--(Data!$C$2:$C$301&gt;A69),SQRT(Data!$K$2:$K$301))/D69)</f>
        <v>10.661210284436402</v>
      </c>
      <c r="I69">
        <f>SUMPRODUCT(--(Data!$C$2:$C$301&lt;=A69),(SQRT(Data!$K$2:$K$301)-G69)^2)+SUMPRODUCT(--(Data!$C$2:$C$301&gt;A69),(SQRT(Data!$K$2:$K$301)-H69)^2)</f>
        <v>1012.1920494800115</v>
      </c>
      <c r="J69">
        <f t="shared" si="3"/>
        <v>1</v>
      </c>
      <c r="K69">
        <f t="shared" si="4"/>
        <v>509727.80035597854</v>
      </c>
      <c r="L69">
        <f t="shared" si="5"/>
        <v>1012.1920494800115</v>
      </c>
    </row>
    <row r="70" spans="1:12" x14ac:dyDescent="0.2">
      <c r="A70">
        <f>Data!C70</f>
        <v>55</v>
      </c>
      <c r="B70">
        <f>COUNTIF(Data!$C$2:$C$301,"&lt;="&amp;A70)</f>
        <v>254</v>
      </c>
      <c r="C70">
        <f>IF(B70=0,0,AVERAGEIF(Data!$C$2:$C$301,"&lt;="&amp;A70,Data!$K$2:$K$301))</f>
        <v>109.04767359994145</v>
      </c>
      <c r="D70">
        <f>COUNTIF(Data!$C$2:$C$301,"&gt;"&amp;A70)</f>
        <v>46</v>
      </c>
      <c r="E70">
        <f>IF(D70=0,0,AVERAGEIF(Data!$C$2:$C$301,"&gt;"&amp;A70,Data!$K$2:$K$301))</f>
        <v>116.82356806417974</v>
      </c>
      <c r="F70">
        <f>SUMPRODUCT(--(Data!$C$2:$C$301&lt;=A70),(Data!$K$2:$K$301-C70)^2)+SUMPRODUCT(--(Data!$C$2:$C$301&gt;A70),(Data!$K$2:$K$301-E70)^2)</f>
        <v>534919.01301229745</v>
      </c>
      <c r="G70">
        <f>IF(B70=0,0,SUMPRODUCT(--(Data!$C$2:$C$301&lt;=A70),SQRT(Data!$K$2:$K$301))/B70)</f>
        <v>10.278944478092541</v>
      </c>
      <c r="H70">
        <f>IF(D70=0,0,SUMPRODUCT(--(Data!$C$2:$C$301&gt;A70),SQRT(Data!$K$2:$K$301))/D70)</f>
        <v>10.597266404725501</v>
      </c>
      <c r="I70">
        <f>SUMPRODUCT(--(Data!$C$2:$C$301&lt;=A70),(SQRT(Data!$K$2:$K$301)-G70)^2)+SUMPRODUCT(--(Data!$C$2:$C$301&gt;A70),(SQRT(Data!$K$2:$K$301)-H70)^2)</f>
        <v>1069.2969894500063</v>
      </c>
      <c r="J70">
        <f t="shared" si="3"/>
        <v>1</v>
      </c>
      <c r="K70">
        <f t="shared" si="4"/>
        <v>534919.01301229745</v>
      </c>
      <c r="L70">
        <f t="shared" si="5"/>
        <v>1069.2969894500063</v>
      </c>
    </row>
    <row r="71" spans="1:12" x14ac:dyDescent="0.2">
      <c r="A71">
        <f>Data!C71</f>
        <v>21</v>
      </c>
      <c r="B71">
        <f>COUNTIF(Data!$C$2:$C$301,"&lt;="&amp;A71)</f>
        <v>4</v>
      </c>
      <c r="C71">
        <f>IF(B71=0,0,AVERAGEIF(Data!$C$2:$C$301,"&lt;="&amp;A71,Data!$K$2:$K$301))</f>
        <v>67.940645954933188</v>
      </c>
      <c r="D71">
        <f>COUNTIF(Data!$C$2:$C$301,"&gt;"&amp;A71)</f>
        <v>296</v>
      </c>
      <c r="E71">
        <f>IF(D71=0,0,AVERAGEIF(Data!$C$2:$C$301,"&gt;"&amp;A71,Data!$K$2:$K$301))</f>
        <v>110.8115900051272</v>
      </c>
      <c r="F71">
        <f>SUMPRODUCT(--(Data!$C$2:$C$301&lt;=A71),(Data!$K$2:$K$301-C71)^2)+SUMPRODUCT(--(Data!$C$2:$C$301&gt;A71),(Data!$K$2:$K$301-E71)^2)</f>
        <v>530020.25600113312</v>
      </c>
      <c r="G71">
        <f>IF(B71=0,0,SUMPRODUCT(--(Data!$C$2:$C$301&lt;=A71),SQRT(Data!$K$2:$K$301))/B71)</f>
        <v>8.2301253163935701</v>
      </c>
      <c r="H71">
        <f>IF(D71=0,0,SUMPRODUCT(--(Data!$C$2:$C$301&gt;A71),SQRT(Data!$K$2:$K$301))/D71)</f>
        <v>10.356100171578731</v>
      </c>
      <c r="I71">
        <f>SUMPRODUCT(--(Data!$C$2:$C$301&lt;=A71),(SQRT(Data!$K$2:$K$301)-G71)^2)+SUMPRODUCT(--(Data!$C$2:$C$301&gt;A71),(SQRT(Data!$K$2:$K$301)-H71)^2)</f>
        <v>1055.4053883664399</v>
      </c>
      <c r="J71">
        <f t="shared" si="3"/>
        <v>1</v>
      </c>
      <c r="K71">
        <f t="shared" si="4"/>
        <v>530020.25600113312</v>
      </c>
      <c r="L71">
        <f t="shared" si="5"/>
        <v>1055.4053883664399</v>
      </c>
    </row>
    <row r="72" spans="1:12" x14ac:dyDescent="0.2">
      <c r="A72">
        <f>Data!C72</f>
        <v>58</v>
      </c>
      <c r="B72">
        <f>COUNTIF(Data!$C$2:$C$301,"&lt;="&amp;A72)</f>
        <v>272</v>
      </c>
      <c r="C72">
        <f>IF(B72=0,0,AVERAGEIF(Data!$C$2:$C$301,"&lt;="&amp;A72,Data!$K$2:$K$301))</f>
        <v>109.41135476595819</v>
      </c>
      <c r="D72">
        <f>COUNTIF(Data!$C$2:$C$301,"&gt;"&amp;A72)</f>
        <v>28</v>
      </c>
      <c r="E72">
        <f>IF(D72=0,0,AVERAGEIF(Data!$C$2:$C$301,"&gt;"&amp;A72,Data!$K$2:$K$301))</f>
        <v>118.28945460702718</v>
      </c>
      <c r="F72">
        <f>SUMPRODUCT(--(Data!$C$2:$C$301&lt;=A72),(Data!$K$2:$K$301-C72)^2)+SUMPRODUCT(--(Data!$C$2:$C$301&gt;A72),(Data!$K$2:$K$301-E72)^2)</f>
        <v>535272.91135082708</v>
      </c>
      <c r="G72">
        <f>IF(B72=0,0,SUMPRODUCT(--(Data!$C$2:$C$301&lt;=A72),SQRT(Data!$K$2:$K$301))/B72)</f>
        <v>10.298937442089837</v>
      </c>
      <c r="H72">
        <f>IF(D72=0,0,SUMPRODUCT(--(Data!$C$2:$C$301&gt;A72),SQRT(Data!$K$2:$K$301))/D72)</f>
        <v>10.607684564444401</v>
      </c>
      <c r="I72">
        <f>SUMPRODUCT(--(Data!$C$2:$C$301&lt;=A72),(SQRT(Data!$K$2:$K$301)-G72)^2)+SUMPRODUCT(--(Data!$C$2:$C$301&gt;A72),(SQRT(Data!$K$2:$K$301)-H72)^2)</f>
        <v>1070.8234317986235</v>
      </c>
      <c r="J72">
        <f t="shared" si="3"/>
        <v>1</v>
      </c>
      <c r="K72">
        <f t="shared" si="4"/>
        <v>535272.91135082708</v>
      </c>
      <c r="L72">
        <f t="shared" si="5"/>
        <v>1070.8234317986235</v>
      </c>
    </row>
    <row r="73" spans="1:12" x14ac:dyDescent="0.2">
      <c r="A73">
        <f>Data!C73</f>
        <v>31</v>
      </c>
      <c r="B73">
        <f>COUNTIF(Data!$C$2:$C$301,"&lt;="&amp;A73)</f>
        <v>55</v>
      </c>
      <c r="C73">
        <f>IF(B73=0,0,AVERAGEIF(Data!$C$2:$C$301,"&lt;="&amp;A73,Data!$K$2:$K$301))</f>
        <v>85.503219327454232</v>
      </c>
      <c r="D73">
        <f>COUNTIF(Data!$C$2:$C$301,"&gt;"&amp;A73)</f>
        <v>245</v>
      </c>
      <c r="E73">
        <f>IF(D73=0,0,AVERAGEIF(Data!$C$2:$C$301,"&gt;"&amp;A73,Data!$K$2:$K$301))</f>
        <v>115.79312719317309</v>
      </c>
      <c r="F73">
        <f>SUMPRODUCT(--(Data!$C$2:$C$301&lt;=A73),(Data!$K$2:$K$301-C73)^2)+SUMPRODUCT(--(Data!$C$2:$C$301&gt;A73),(Data!$K$2:$K$301-E73)^2)</f>
        <v>496063.82830124395</v>
      </c>
      <c r="G73">
        <f>IF(B73=0,0,SUMPRODUCT(--(Data!$C$2:$C$301&lt;=A73),SQRT(Data!$K$2:$K$301))/B73)</f>
        <v>9.121742078944763</v>
      </c>
      <c r="H73">
        <f>IF(D73=0,0,SUMPRODUCT(--(Data!$C$2:$C$301&gt;A73),SQRT(Data!$K$2:$K$301))/D73)</f>
        <v>10.598491174330269</v>
      </c>
      <c r="I73">
        <f>SUMPRODUCT(--(Data!$C$2:$C$301&lt;=A73),(SQRT(Data!$K$2:$K$301)-G73)^2)+SUMPRODUCT(--(Data!$C$2:$C$301&gt;A73),(SQRT(Data!$K$2:$K$301)-H73)^2)</f>
        <v>975.28968759650343</v>
      </c>
      <c r="J73">
        <f t="shared" si="3"/>
        <v>1</v>
      </c>
      <c r="K73">
        <f t="shared" si="4"/>
        <v>496063.82830124395</v>
      </c>
      <c r="L73">
        <f t="shared" si="5"/>
        <v>975.28968759650343</v>
      </c>
    </row>
    <row r="74" spans="1:12" x14ac:dyDescent="0.2">
      <c r="A74">
        <f>Data!C74</f>
        <v>25</v>
      </c>
      <c r="B74">
        <f>COUNTIF(Data!$C$2:$C$301,"&lt;="&amp;A74)</f>
        <v>25</v>
      </c>
      <c r="C74">
        <f>IF(B74=0,0,AVERAGEIF(Data!$C$2:$C$301,"&lt;="&amp;A74,Data!$K$2:$K$301))</f>
        <v>71.145225507852857</v>
      </c>
      <c r="D74">
        <f>COUNTIF(Data!$C$2:$C$301,"&gt;"&amp;A74)</f>
        <v>275</v>
      </c>
      <c r="E74">
        <f>IF(D74=0,0,AVERAGEIF(Data!$C$2:$C$301,"&gt;"&amp;A74,Data!$K$2:$K$301))</f>
        <v>113.79404577324024</v>
      </c>
      <c r="F74">
        <f>SUMPRODUCT(--(Data!$C$2:$C$301&lt;=A74),(Data!$K$2:$K$301-C74)^2)+SUMPRODUCT(--(Data!$C$2:$C$301&gt;A74),(Data!$K$2:$K$301-E74)^2)</f>
        <v>495590.27890297974</v>
      </c>
      <c r="G74">
        <f>IF(B74=0,0,SUMPRODUCT(--(Data!$C$2:$C$301&lt;=A74),SQRT(Data!$K$2:$K$301))/B74)</f>
        <v>8.3640861015010071</v>
      </c>
      <c r="H74">
        <f>IF(D74=0,0,SUMPRODUCT(--(Data!$C$2:$C$301&gt;A74),SQRT(Data!$K$2:$K$301))/D74)</f>
        <v>10.506269089146738</v>
      </c>
      <c r="I74">
        <f>SUMPRODUCT(--(Data!$C$2:$C$301&lt;=A74),(SQRT(Data!$K$2:$K$301)-G74)^2)+SUMPRODUCT(--(Data!$C$2:$C$301&gt;A74),(SQRT(Data!$K$2:$K$301)-H74)^2)</f>
        <v>968.08001977529261</v>
      </c>
      <c r="J74">
        <f t="shared" si="3"/>
        <v>1</v>
      </c>
      <c r="K74">
        <f t="shared" si="4"/>
        <v>495590.27890297974</v>
      </c>
      <c r="L74">
        <f t="shared" si="5"/>
        <v>968.08001977529261</v>
      </c>
    </row>
    <row r="75" spans="1:12" x14ac:dyDescent="0.2">
      <c r="A75">
        <f>Data!C75</f>
        <v>32</v>
      </c>
      <c r="B75">
        <f>COUNTIF(Data!$C$2:$C$301,"&lt;="&amp;A75)</f>
        <v>61</v>
      </c>
      <c r="C75">
        <f>IF(B75=0,0,AVERAGEIF(Data!$C$2:$C$301,"&lt;="&amp;A75,Data!$K$2:$K$301))</f>
        <v>87.641509616168676</v>
      </c>
      <c r="D75">
        <f>COUNTIF(Data!$C$2:$C$301,"&gt;"&amp;A75)</f>
        <v>239</v>
      </c>
      <c r="E75">
        <f>IF(D75=0,0,AVERAGEIF(Data!$C$2:$C$301,"&gt;"&amp;A75,Data!$K$2:$K$301))</f>
        <v>116.00778719142721</v>
      </c>
      <c r="F75">
        <f>SUMPRODUCT(--(Data!$C$2:$C$301&lt;=A75),(Data!$K$2:$K$301-C75)^2)+SUMPRODUCT(--(Data!$C$2:$C$301&gt;A75),(Data!$K$2:$K$301-E75)^2)</f>
        <v>498170.80605453369</v>
      </c>
      <c r="G75">
        <f>IF(B75=0,0,SUMPRODUCT(--(Data!$C$2:$C$301&lt;=A75),SQRT(Data!$K$2:$K$301))/B75)</f>
        <v>9.2422152260828607</v>
      </c>
      <c r="H75">
        <f>IF(D75=0,0,SUMPRODUCT(--(Data!$C$2:$C$301&gt;A75),SQRT(Data!$K$2:$K$301))/D75)</f>
        <v>10.604815996911393</v>
      </c>
      <c r="I75">
        <f>SUMPRODUCT(--(Data!$C$2:$C$301&lt;=A75),(SQRT(Data!$K$2:$K$301)-G75)^2)+SUMPRODUCT(--(Data!$C$2:$C$301&gt;A75),(SQRT(Data!$K$2:$K$301)-H75)^2)</f>
        <v>983.01490946276726</v>
      </c>
      <c r="J75">
        <f t="shared" si="3"/>
        <v>1</v>
      </c>
      <c r="K75">
        <f t="shared" si="4"/>
        <v>498170.80605453369</v>
      </c>
      <c r="L75">
        <f t="shared" si="5"/>
        <v>983.01490946276726</v>
      </c>
    </row>
    <row r="76" spans="1:12" x14ac:dyDescent="0.2">
      <c r="A76">
        <f>Data!C76</f>
        <v>40</v>
      </c>
      <c r="B76">
        <f>COUNTIF(Data!$C$2:$C$301,"&lt;="&amp;A76)</f>
        <v>135</v>
      </c>
      <c r="C76">
        <f>IF(B76=0,0,AVERAGEIF(Data!$C$2:$C$301,"&lt;="&amp;A76,Data!$K$2:$K$301))</f>
        <v>103.38613121677049</v>
      </c>
      <c r="D76">
        <f>COUNTIF(Data!$C$2:$C$301,"&gt;"&amp;A76)</f>
        <v>165</v>
      </c>
      <c r="E76">
        <f>IF(D76=0,0,AVERAGEIF(Data!$C$2:$C$301,"&gt;"&amp;A76,Data!$K$2:$K$301))</f>
        <v>115.8476697640811</v>
      </c>
      <c r="F76">
        <f>SUMPRODUCT(--(Data!$C$2:$C$301&lt;=A76),(Data!$K$2:$K$301-C76)^2)+SUMPRODUCT(--(Data!$C$2:$C$301&gt;A76),(Data!$K$2:$K$301-E76)^2)</f>
        <v>525743.62682591786</v>
      </c>
      <c r="G76">
        <f>IF(B76=0,0,SUMPRODUCT(--(Data!$C$2:$C$301&lt;=A76),SQRT(Data!$K$2:$K$301))/B76)</f>
        <v>10.003662056878664</v>
      </c>
      <c r="H76">
        <f>IF(D76=0,0,SUMPRODUCT(--(Data!$C$2:$C$301&gt;A76),SQRT(Data!$K$2:$K$301))/D76)</f>
        <v>10.592919844692464</v>
      </c>
      <c r="I76">
        <f>SUMPRODUCT(--(Data!$C$2:$C$301&lt;=A76),(SQRT(Data!$K$2:$K$301)-G76)^2)+SUMPRODUCT(--(Data!$C$2:$C$301&gt;A76),(SQRT(Data!$K$2:$K$301)-H76)^2)</f>
        <v>1047.4619733726961</v>
      </c>
      <c r="J76">
        <f t="shared" si="3"/>
        <v>1</v>
      </c>
      <c r="K76">
        <f t="shared" si="4"/>
        <v>525743.62682591786</v>
      </c>
      <c r="L76">
        <f t="shared" si="5"/>
        <v>1047.4619733726961</v>
      </c>
    </row>
    <row r="77" spans="1:12" x14ac:dyDescent="0.2">
      <c r="A77">
        <f>Data!C77</f>
        <v>44</v>
      </c>
      <c r="B77">
        <f>COUNTIF(Data!$C$2:$C$301,"&lt;="&amp;A77)</f>
        <v>168</v>
      </c>
      <c r="C77">
        <f>IF(B77=0,0,AVERAGEIF(Data!$C$2:$C$301,"&lt;="&amp;A77,Data!$K$2:$K$301))</f>
        <v>106.42367056440787</v>
      </c>
      <c r="D77">
        <f>COUNTIF(Data!$C$2:$C$301,"&gt;"&amp;A77)</f>
        <v>132</v>
      </c>
      <c r="E77">
        <f>IF(D77=0,0,AVERAGEIF(Data!$C$2:$C$301,"&gt;"&amp;A77,Data!$K$2:$K$301))</f>
        <v>115.09709523118842</v>
      </c>
      <c r="F77">
        <f>SUMPRODUCT(--(Data!$C$2:$C$301&lt;=A77),(Data!$K$2:$K$301-C77)^2)+SUMPRODUCT(--(Data!$C$2:$C$301&gt;A77),(Data!$K$2:$K$301-E77)^2)</f>
        <v>531713.02949146449</v>
      </c>
      <c r="G77">
        <f>IF(B77=0,0,SUMPRODUCT(--(Data!$C$2:$C$301&lt;=A77),SQRT(Data!$K$2:$K$301))/B77)</f>
        <v>10.139424236317097</v>
      </c>
      <c r="H77">
        <f>IF(D77=0,0,SUMPRODUCT(--(Data!$C$2:$C$301&gt;A77),SQRT(Data!$K$2:$K$301))/D77)</f>
        <v>10.567446063269731</v>
      </c>
      <c r="I77">
        <f>SUMPRODUCT(--(Data!$C$2:$C$301&lt;=A77),(SQRT(Data!$K$2:$K$301)-G77)^2)+SUMPRODUCT(--(Data!$C$2:$C$301&gt;A77),(SQRT(Data!$K$2:$K$301)-H77)^2)</f>
        <v>1059.7010679277687</v>
      </c>
      <c r="J77">
        <f t="shared" si="3"/>
        <v>1</v>
      </c>
      <c r="K77">
        <f t="shared" si="4"/>
        <v>531713.02949146449</v>
      </c>
      <c r="L77">
        <f t="shared" si="5"/>
        <v>1059.7010679277687</v>
      </c>
    </row>
    <row r="78" spans="1:12" x14ac:dyDescent="0.2">
      <c r="A78">
        <f>Data!C78</f>
        <v>60</v>
      </c>
      <c r="B78">
        <f>COUNTIF(Data!$C$2:$C$301,"&lt;="&amp;A78)</f>
        <v>280</v>
      </c>
      <c r="C78">
        <f>IF(B78=0,0,AVERAGEIF(Data!$C$2:$C$301,"&lt;="&amp;A78,Data!$K$2:$K$301))</f>
        <v>110.39629765122423</v>
      </c>
      <c r="D78">
        <f>COUNTIF(Data!$C$2:$C$301,"&gt;"&amp;A78)</f>
        <v>20</v>
      </c>
      <c r="E78">
        <f>IF(D78=0,0,AVERAGEIF(Data!$C$2:$C$301,"&gt;"&amp;A78,Data!$K$2:$K$301))</f>
        <v>108.0514941497302</v>
      </c>
      <c r="F78">
        <f>SUMPRODUCT(--(Data!$C$2:$C$301&lt;=A78),(Data!$K$2:$K$301-C78)^2)+SUMPRODUCT(--(Data!$C$2:$C$301&gt;A78),(Data!$K$2:$K$301-E78)^2)</f>
        <v>537171.27382655372</v>
      </c>
      <c r="G78">
        <f>IF(B78=0,0,SUMPRODUCT(--(Data!$C$2:$C$301&lt;=A78),SQRT(Data!$K$2:$K$301))/B78)</f>
        <v>10.339263092427972</v>
      </c>
      <c r="H78">
        <f>IF(D78=0,0,SUMPRODUCT(--(Data!$C$2:$C$301&gt;A78),SQRT(Data!$K$2:$K$301))/D78)</f>
        <v>10.166624308652338</v>
      </c>
      <c r="I78">
        <f>SUMPRODUCT(--(Data!$C$2:$C$301&lt;=A78),(SQRT(Data!$K$2:$K$301)-G78)^2)+SUMPRODUCT(--(Data!$C$2:$C$301&gt;A78),(SQRT(Data!$K$2:$K$301)-H78)^2)</f>
        <v>1072.6870662277106</v>
      </c>
      <c r="J78">
        <f t="shared" si="3"/>
        <v>1</v>
      </c>
      <c r="K78">
        <f t="shared" si="4"/>
        <v>537171.27382655372</v>
      </c>
      <c r="L78">
        <f t="shared" si="5"/>
        <v>1072.6870662277106</v>
      </c>
    </row>
    <row r="79" spans="1:12" x14ac:dyDescent="0.2">
      <c r="A79">
        <f>Data!C79</f>
        <v>23</v>
      </c>
      <c r="B79">
        <f>COUNTIF(Data!$C$2:$C$301,"&lt;="&amp;A79)</f>
        <v>14</v>
      </c>
      <c r="C79">
        <f>IF(B79=0,0,AVERAGEIF(Data!$C$2:$C$301,"&lt;="&amp;A79,Data!$K$2:$K$301))</f>
        <v>64.595134391187798</v>
      </c>
      <c r="D79">
        <f>COUNTIF(Data!$C$2:$C$301,"&gt;"&amp;A79)</f>
        <v>286</v>
      </c>
      <c r="E79">
        <f>IF(D79=0,0,AVERAGEIF(Data!$C$2:$C$301,"&gt;"&amp;A79,Data!$K$2:$K$301))</f>
        <v>112.47434036314949</v>
      </c>
      <c r="F79">
        <f>SUMPRODUCT(--(Data!$C$2:$C$301&lt;=A79),(Data!$K$2:$K$301-C79)^2)+SUMPRODUCT(--(Data!$C$2:$C$301&gt;A79),(Data!$K$2:$K$301-E79)^2)</f>
        <v>506677.76131955103</v>
      </c>
      <c r="G79">
        <f>IF(B79=0,0,SUMPRODUCT(--(Data!$C$2:$C$301&lt;=A79),SQRT(Data!$K$2:$K$301))/B79)</f>
        <v>7.9640959100838851</v>
      </c>
      <c r="H79">
        <f>IF(D79=0,0,SUMPRODUCT(--(Data!$C$2:$C$301&gt;A79),SQRT(Data!$K$2:$K$301))/D79)</f>
        <v>10.443457375215749</v>
      </c>
      <c r="I79">
        <f>SUMPRODUCT(--(Data!$C$2:$C$301&lt;=A79),(SQRT(Data!$K$2:$K$301)-G79)^2)+SUMPRODUCT(--(Data!$C$2:$C$301&gt;A79),(SQRT(Data!$K$2:$K$301)-H79)^2)</f>
        <v>991.19833691402187</v>
      </c>
      <c r="J79">
        <f t="shared" si="3"/>
        <v>1</v>
      </c>
      <c r="K79">
        <f t="shared" si="4"/>
        <v>506677.76131955103</v>
      </c>
      <c r="L79">
        <f t="shared" si="5"/>
        <v>991.19833691402187</v>
      </c>
    </row>
    <row r="80" spans="1:12" x14ac:dyDescent="0.2">
      <c r="A80">
        <f>Data!C80</f>
        <v>63</v>
      </c>
      <c r="B80">
        <f>COUNTIF(Data!$C$2:$C$301,"&lt;="&amp;A80)</f>
        <v>291</v>
      </c>
      <c r="C80">
        <f>IF(B80=0,0,AVERAGEIF(Data!$C$2:$C$301,"&lt;="&amp;A80,Data!$K$2:$K$301))</f>
        <v>110.89400376410005</v>
      </c>
      <c r="D80">
        <f>COUNTIF(Data!$C$2:$C$301,"&gt;"&amp;A80)</f>
        <v>9</v>
      </c>
      <c r="E80">
        <f>IF(D80=0,0,AVERAGEIF(Data!$C$2:$C$301,"&gt;"&amp;A80,Data!$K$2:$K$301))</f>
        <v>89.09312555380734</v>
      </c>
      <c r="F80">
        <f>SUMPRODUCT(--(Data!$C$2:$C$301&lt;=A80),(Data!$K$2:$K$301-C80)^2)+SUMPRODUCT(--(Data!$C$2:$C$301&gt;A80),(Data!$K$2:$K$301-E80)^2)</f>
        <v>533124.72561299102</v>
      </c>
      <c r="G80">
        <f>IF(B80=0,0,SUMPRODUCT(--(Data!$C$2:$C$301&lt;=A80),SQRT(Data!$K$2:$K$301))/B80)</f>
        <v>10.357171856636104</v>
      </c>
      <c r="H80">
        <f>IF(D80=0,0,SUMPRODUCT(--(Data!$C$2:$C$301&gt;A80),SQRT(Data!$K$2:$K$301))/D80)</f>
        <v>9.3765713079746789</v>
      </c>
      <c r="I80">
        <f>SUMPRODUCT(--(Data!$C$2:$C$301&lt;=A80),(SQRT(Data!$K$2:$K$301)-G80)^2)+SUMPRODUCT(--(Data!$C$2:$C$301&gt;A80),(SQRT(Data!$K$2:$K$301)-H80)^2)</f>
        <v>1064.8488393381779</v>
      </c>
      <c r="J80">
        <f t="shared" si="3"/>
        <v>1</v>
      </c>
      <c r="K80">
        <f t="shared" si="4"/>
        <v>533124.72561299102</v>
      </c>
      <c r="L80">
        <f t="shared" si="5"/>
        <v>1064.8488393381779</v>
      </c>
    </row>
    <row r="81" spans="1:12" x14ac:dyDescent="0.2">
      <c r="A81">
        <f>Data!C81</f>
        <v>44</v>
      </c>
      <c r="B81">
        <f>COUNTIF(Data!$C$2:$C$301,"&lt;="&amp;A81)</f>
        <v>168</v>
      </c>
      <c r="C81">
        <f>IF(B81=0,0,AVERAGEIF(Data!$C$2:$C$301,"&lt;="&amp;A81,Data!$K$2:$K$301))</f>
        <v>106.42367056440787</v>
      </c>
      <c r="D81">
        <f>COUNTIF(Data!$C$2:$C$301,"&gt;"&amp;A81)</f>
        <v>132</v>
      </c>
      <c r="E81">
        <f>IF(D81=0,0,AVERAGEIF(Data!$C$2:$C$301,"&gt;"&amp;A81,Data!$K$2:$K$301))</f>
        <v>115.09709523118842</v>
      </c>
      <c r="F81">
        <f>SUMPRODUCT(--(Data!$C$2:$C$301&lt;=A81),(Data!$K$2:$K$301-C81)^2)+SUMPRODUCT(--(Data!$C$2:$C$301&gt;A81),(Data!$K$2:$K$301-E81)^2)</f>
        <v>531713.02949146449</v>
      </c>
      <c r="G81">
        <f>IF(B81=0,0,SUMPRODUCT(--(Data!$C$2:$C$301&lt;=A81),SQRT(Data!$K$2:$K$301))/B81)</f>
        <v>10.139424236317097</v>
      </c>
      <c r="H81">
        <f>IF(D81=0,0,SUMPRODUCT(--(Data!$C$2:$C$301&gt;A81),SQRT(Data!$K$2:$K$301))/D81)</f>
        <v>10.567446063269731</v>
      </c>
      <c r="I81">
        <f>SUMPRODUCT(--(Data!$C$2:$C$301&lt;=A81),(SQRT(Data!$K$2:$K$301)-G81)^2)+SUMPRODUCT(--(Data!$C$2:$C$301&gt;A81),(SQRT(Data!$K$2:$K$301)-H81)^2)</f>
        <v>1059.7010679277687</v>
      </c>
      <c r="J81">
        <f t="shared" si="3"/>
        <v>1</v>
      </c>
      <c r="K81">
        <f t="shared" si="4"/>
        <v>531713.02949146449</v>
      </c>
      <c r="L81">
        <f t="shared" si="5"/>
        <v>1059.7010679277687</v>
      </c>
    </row>
    <row r="82" spans="1:12" x14ac:dyDescent="0.2">
      <c r="A82">
        <f>Data!C82</f>
        <v>47</v>
      </c>
      <c r="B82">
        <f>COUNTIF(Data!$C$2:$C$301,"&lt;="&amp;A82)</f>
        <v>192</v>
      </c>
      <c r="C82">
        <f>IF(B82=0,0,AVERAGEIF(Data!$C$2:$C$301,"&lt;="&amp;A82,Data!$K$2:$K$301))</f>
        <v>106.89555183915331</v>
      </c>
      <c r="D82">
        <f>COUNTIF(Data!$C$2:$C$301,"&gt;"&amp;A82)</f>
        <v>108</v>
      </c>
      <c r="E82">
        <f>IF(D82=0,0,AVERAGEIF(Data!$C$2:$C$301,"&gt;"&amp;A82,Data!$K$2:$K$301))</f>
        <v>116.18562289092554</v>
      </c>
      <c r="F82">
        <f>SUMPRODUCT(--(Data!$C$2:$C$301&lt;=A82),(Data!$K$2:$K$301-C82)^2)+SUMPRODUCT(--(Data!$C$2:$C$301&gt;A82),(Data!$K$2:$K$301-E82)^2)</f>
        <v>531308.47445059323</v>
      </c>
      <c r="G82">
        <f>IF(B82=0,0,SUMPRODUCT(--(Data!$C$2:$C$301&lt;=A82),SQRT(Data!$K$2:$K$301))/B82)</f>
        <v>10.171333435224357</v>
      </c>
      <c r="H82">
        <f>IF(D82=0,0,SUMPRODUCT(--(Data!$C$2:$C$301&gt;A82),SQRT(Data!$K$2:$K$301))/D82)</f>
        <v>10.60583456009074</v>
      </c>
      <c r="I82">
        <f>SUMPRODUCT(--(Data!$C$2:$C$301&lt;=A82),(SQRT(Data!$K$2:$K$301)-G82)^2)+SUMPRODUCT(--(Data!$C$2:$C$301&gt;A82),(SQRT(Data!$K$2:$K$301)-H82)^2)</f>
        <v>1060.1941607092617</v>
      </c>
      <c r="J82">
        <f t="shared" si="3"/>
        <v>1</v>
      </c>
      <c r="K82">
        <f t="shared" si="4"/>
        <v>531308.47445059323</v>
      </c>
      <c r="L82">
        <f t="shared" si="5"/>
        <v>1060.1941607092617</v>
      </c>
    </row>
    <row r="83" spans="1:12" x14ac:dyDescent="0.2">
      <c r="A83">
        <f>Data!C83</f>
        <v>61</v>
      </c>
      <c r="B83">
        <f>COUNTIF(Data!$C$2:$C$301,"&lt;="&amp;A83)</f>
        <v>285</v>
      </c>
      <c r="C83">
        <f>IF(B83=0,0,AVERAGEIF(Data!$C$2:$C$301,"&lt;="&amp;A83,Data!$K$2:$K$301))</f>
        <v>110.45760116752029</v>
      </c>
      <c r="D83">
        <f>COUNTIF(Data!$C$2:$C$301,"&gt;"&amp;A83)</f>
        <v>15</v>
      </c>
      <c r="E83">
        <f>IF(D83=0,0,AVERAGEIF(Data!$C$2:$C$301,"&gt;"&amp;A83,Data!$K$2:$K$301))</f>
        <v>106.10512617294009</v>
      </c>
      <c r="F83">
        <f>SUMPRODUCT(--(Data!$C$2:$C$301&lt;=A83),(Data!$K$2:$K$301-C83)^2)+SUMPRODUCT(--(Data!$C$2:$C$301&gt;A83),(Data!$K$2:$K$301-E83)^2)</f>
        <v>537003.95254140918</v>
      </c>
      <c r="G83">
        <f>IF(B83=0,0,SUMPRODUCT(--(Data!$C$2:$C$301&lt;=A83),SQRT(Data!$K$2:$K$301))/B83)</f>
        <v>10.34332736769888</v>
      </c>
      <c r="H83">
        <f>IF(D83=0,0,SUMPRODUCT(--(Data!$C$2:$C$301&gt;A83),SQRT(Data!$K$2:$K$301))/D83)</f>
        <v>10.031856817246561</v>
      </c>
      <c r="I83">
        <f>SUMPRODUCT(--(Data!$C$2:$C$301&lt;=A83),(SQRT(Data!$K$2:$K$301)-G83)^2)+SUMPRODUCT(--(Data!$C$2:$C$301&gt;A83),(SQRT(Data!$K$2:$K$301)-H83)^2)</f>
        <v>1071.8609622256272</v>
      </c>
      <c r="J83">
        <f t="shared" si="3"/>
        <v>1</v>
      </c>
      <c r="K83">
        <f t="shared" si="4"/>
        <v>537003.95254140918</v>
      </c>
      <c r="L83">
        <f t="shared" si="5"/>
        <v>1071.8609622256272</v>
      </c>
    </row>
    <row r="84" spans="1:12" x14ac:dyDescent="0.2">
      <c r="A84">
        <f>Data!C84</f>
        <v>55</v>
      </c>
      <c r="B84">
        <f>COUNTIF(Data!$C$2:$C$301,"&lt;="&amp;A84)</f>
        <v>254</v>
      </c>
      <c r="C84">
        <f>IF(B84=0,0,AVERAGEIF(Data!$C$2:$C$301,"&lt;="&amp;A84,Data!$K$2:$K$301))</f>
        <v>109.04767359994145</v>
      </c>
      <c r="D84">
        <f>COUNTIF(Data!$C$2:$C$301,"&gt;"&amp;A84)</f>
        <v>46</v>
      </c>
      <c r="E84">
        <f>IF(D84=0,0,AVERAGEIF(Data!$C$2:$C$301,"&gt;"&amp;A84,Data!$K$2:$K$301))</f>
        <v>116.82356806417974</v>
      </c>
      <c r="F84">
        <f>SUMPRODUCT(--(Data!$C$2:$C$301&lt;=A84),(Data!$K$2:$K$301-C84)^2)+SUMPRODUCT(--(Data!$C$2:$C$301&gt;A84),(Data!$K$2:$K$301-E84)^2)</f>
        <v>534919.01301229745</v>
      </c>
      <c r="G84">
        <f>IF(B84=0,0,SUMPRODUCT(--(Data!$C$2:$C$301&lt;=A84),SQRT(Data!$K$2:$K$301))/B84)</f>
        <v>10.278944478092541</v>
      </c>
      <c r="H84">
        <f>IF(D84=0,0,SUMPRODUCT(--(Data!$C$2:$C$301&gt;A84),SQRT(Data!$K$2:$K$301))/D84)</f>
        <v>10.597266404725501</v>
      </c>
      <c r="I84">
        <f>SUMPRODUCT(--(Data!$C$2:$C$301&lt;=A84),(SQRT(Data!$K$2:$K$301)-G84)^2)+SUMPRODUCT(--(Data!$C$2:$C$301&gt;A84),(SQRT(Data!$K$2:$K$301)-H84)^2)</f>
        <v>1069.2969894500063</v>
      </c>
      <c r="J84">
        <f t="shared" si="3"/>
        <v>1</v>
      </c>
      <c r="K84">
        <f t="shared" si="4"/>
        <v>534919.01301229745</v>
      </c>
      <c r="L84">
        <f t="shared" si="5"/>
        <v>1069.2969894500063</v>
      </c>
    </row>
    <row r="85" spans="1:12" x14ac:dyDescent="0.2">
      <c r="A85">
        <f>Data!C85</f>
        <v>24</v>
      </c>
      <c r="B85">
        <f>COUNTIF(Data!$C$2:$C$301,"&lt;="&amp;A85)</f>
        <v>16</v>
      </c>
      <c r="C85">
        <f>IF(B85=0,0,AVERAGEIF(Data!$C$2:$C$301,"&lt;="&amp;A85,Data!$K$2:$K$301))</f>
        <v>64.14561608989311</v>
      </c>
      <c r="D85">
        <f>COUNTIF(Data!$C$2:$C$301,"&gt;"&amp;A85)</f>
        <v>284</v>
      </c>
      <c r="E85">
        <f>IF(D85=0,0,AVERAGEIF(Data!$C$2:$C$301,"&gt;"&amp;A85,Data!$K$2:$K$301))</f>
        <v>112.83684284471512</v>
      </c>
      <c r="F85">
        <f>SUMPRODUCT(--(Data!$C$2:$C$301&lt;=A85),(Data!$K$2:$K$301-C85)^2)+SUMPRODUCT(--(Data!$C$2:$C$301&gt;A85),(Data!$K$2:$K$301-E85)^2)</f>
        <v>501363.64909858513</v>
      </c>
      <c r="G85">
        <f>IF(B85=0,0,SUMPRODUCT(--(Data!$C$2:$C$301&lt;=A85),SQRT(Data!$K$2:$K$301))/B85)</f>
        <v>7.9418888797170792</v>
      </c>
      <c r="H85">
        <f>IF(D85=0,0,SUMPRODUCT(--(Data!$C$2:$C$301&gt;A85),SQRT(Data!$K$2:$K$301))/D85)</f>
        <v>10.462168767526075</v>
      </c>
      <c r="I85">
        <f>SUMPRODUCT(--(Data!$C$2:$C$301&lt;=A85),(SQRT(Data!$K$2:$K$301)-G85)^2)+SUMPRODUCT(--(Data!$C$2:$C$301&gt;A85),(SQRT(Data!$K$2:$K$301)-H85)^2)</f>
        <v>977.03465075678764</v>
      </c>
      <c r="J85">
        <f t="shared" si="3"/>
        <v>1</v>
      </c>
      <c r="K85">
        <f t="shared" si="4"/>
        <v>501363.64909858513</v>
      </c>
      <c r="L85">
        <f t="shared" si="5"/>
        <v>977.03465075678764</v>
      </c>
    </row>
    <row r="86" spans="1:12" x14ac:dyDescent="0.2">
      <c r="A86">
        <f>Data!C86</f>
        <v>42</v>
      </c>
      <c r="B86">
        <f>COUNTIF(Data!$C$2:$C$301,"&lt;="&amp;A86)</f>
        <v>149</v>
      </c>
      <c r="C86">
        <f>IF(B86=0,0,AVERAGEIF(Data!$C$2:$C$301,"&lt;="&amp;A86,Data!$K$2:$K$301))</f>
        <v>103.31953066485788</v>
      </c>
      <c r="D86">
        <f>COUNTIF(Data!$C$2:$C$301,"&gt;"&amp;A86)</f>
        <v>151</v>
      </c>
      <c r="E86">
        <f>IF(D86=0,0,AVERAGEIF(Data!$C$2:$C$301,"&gt;"&amp;A86,Data!$K$2:$K$301))</f>
        <v>117.06876262432831</v>
      </c>
      <c r="F86">
        <f>SUMPRODUCT(--(Data!$C$2:$C$301&lt;=A86),(Data!$K$2:$K$301-C86)^2)+SUMPRODUCT(--(Data!$C$2:$C$301&gt;A86),(Data!$K$2:$K$301-E86)^2)</f>
        <v>523096.43176843447</v>
      </c>
      <c r="G86">
        <f>IF(B86=0,0,SUMPRODUCT(--(Data!$C$2:$C$301&lt;=A86),SQRT(Data!$K$2:$K$301))/B86)</f>
        <v>10.003721880221478</v>
      </c>
      <c r="H86">
        <f>IF(D86=0,0,SUMPRODUCT(--(Data!$C$2:$C$301&gt;A86),SQRT(Data!$K$2:$K$301))/D86)</f>
        <v>10.647493986091895</v>
      </c>
      <c r="I86">
        <f>SUMPRODUCT(--(Data!$C$2:$C$301&lt;=A86),(SQRT(Data!$K$2:$K$301)-G86)^2)+SUMPRODUCT(--(Data!$C$2:$C$301&gt;A86),(SQRT(Data!$K$2:$K$301)-H86)^2)</f>
        <v>1042.1616025075816</v>
      </c>
      <c r="J86">
        <f t="shared" si="3"/>
        <v>1</v>
      </c>
      <c r="K86">
        <f t="shared" si="4"/>
        <v>523096.43176843447</v>
      </c>
      <c r="L86">
        <f t="shared" si="5"/>
        <v>1042.1616025075816</v>
      </c>
    </row>
    <row r="87" spans="1:12" x14ac:dyDescent="0.2">
      <c r="A87">
        <f>Data!C87</f>
        <v>25</v>
      </c>
      <c r="B87">
        <f>COUNTIF(Data!$C$2:$C$301,"&lt;="&amp;A87)</f>
        <v>25</v>
      </c>
      <c r="C87">
        <f>IF(B87=0,0,AVERAGEIF(Data!$C$2:$C$301,"&lt;="&amp;A87,Data!$K$2:$K$301))</f>
        <v>71.145225507852857</v>
      </c>
      <c r="D87">
        <f>COUNTIF(Data!$C$2:$C$301,"&gt;"&amp;A87)</f>
        <v>275</v>
      </c>
      <c r="E87">
        <f>IF(D87=0,0,AVERAGEIF(Data!$C$2:$C$301,"&gt;"&amp;A87,Data!$K$2:$K$301))</f>
        <v>113.79404577324024</v>
      </c>
      <c r="F87">
        <f>SUMPRODUCT(--(Data!$C$2:$C$301&lt;=A87),(Data!$K$2:$K$301-C87)^2)+SUMPRODUCT(--(Data!$C$2:$C$301&gt;A87),(Data!$K$2:$K$301-E87)^2)</f>
        <v>495590.27890297974</v>
      </c>
      <c r="G87">
        <f>IF(B87=0,0,SUMPRODUCT(--(Data!$C$2:$C$301&lt;=A87),SQRT(Data!$K$2:$K$301))/B87)</f>
        <v>8.3640861015010071</v>
      </c>
      <c r="H87">
        <f>IF(D87=0,0,SUMPRODUCT(--(Data!$C$2:$C$301&gt;A87),SQRT(Data!$K$2:$K$301))/D87)</f>
        <v>10.506269089146738</v>
      </c>
      <c r="I87">
        <f>SUMPRODUCT(--(Data!$C$2:$C$301&lt;=A87),(SQRT(Data!$K$2:$K$301)-G87)^2)+SUMPRODUCT(--(Data!$C$2:$C$301&gt;A87),(SQRT(Data!$K$2:$K$301)-H87)^2)</f>
        <v>968.08001977529261</v>
      </c>
      <c r="J87">
        <f t="shared" si="3"/>
        <v>1</v>
      </c>
      <c r="K87">
        <f t="shared" si="4"/>
        <v>495590.27890297974</v>
      </c>
      <c r="L87">
        <f t="shared" si="5"/>
        <v>968.08001977529261</v>
      </c>
    </row>
    <row r="88" spans="1:12" x14ac:dyDescent="0.2">
      <c r="A88">
        <f>Data!C88</f>
        <v>34</v>
      </c>
      <c r="B88">
        <f>COUNTIF(Data!$C$2:$C$301,"&lt;="&amp;A88)</f>
        <v>79</v>
      </c>
      <c r="C88">
        <f>IF(B88=0,0,AVERAGEIF(Data!$C$2:$C$301,"&lt;="&amp;A88,Data!$K$2:$K$301))</f>
        <v>89.239688213542237</v>
      </c>
      <c r="D88">
        <f>COUNTIF(Data!$C$2:$C$301,"&gt;"&amp;A88)</f>
        <v>221</v>
      </c>
      <c r="E88">
        <f>IF(D88=0,0,AVERAGEIF(Data!$C$2:$C$301,"&gt;"&amp;A88,Data!$K$2:$K$301))</f>
        <v>117.74686812881249</v>
      </c>
      <c r="F88">
        <f>SUMPRODUCT(--(Data!$C$2:$C$301&lt;=A88),(Data!$K$2:$K$301-C88)^2)+SUMPRODUCT(--(Data!$C$2:$C$301&gt;A88),(Data!$K$2:$K$301-E88)^2)</f>
        <v>489979.84230431152</v>
      </c>
      <c r="G88">
        <f>IF(B88=0,0,SUMPRODUCT(--(Data!$C$2:$C$301&lt;=A88),SQRT(Data!$K$2:$K$301))/B88)</f>
        <v>9.3403512203320922</v>
      </c>
      <c r="H88">
        <f>IF(D88=0,0,SUMPRODUCT(--(Data!$C$2:$C$301&gt;A88),SQRT(Data!$K$2:$K$301))/D88)</f>
        <v>10.680716767631866</v>
      </c>
      <c r="I88">
        <f>SUMPRODUCT(--(Data!$C$2:$C$301&lt;=A88),(SQRT(Data!$K$2:$K$301)-G88)^2)+SUMPRODUCT(--(Data!$C$2:$C$301&gt;A88),(SQRT(Data!$K$2:$K$301)-H88)^2)</f>
        <v>968.68845457150394</v>
      </c>
      <c r="J88">
        <f t="shared" si="3"/>
        <v>1</v>
      </c>
      <c r="K88">
        <f t="shared" si="4"/>
        <v>489979.84230431152</v>
      </c>
      <c r="L88">
        <f t="shared" si="5"/>
        <v>968.68845457150394</v>
      </c>
    </row>
    <row r="89" spans="1:12" x14ac:dyDescent="0.2">
      <c r="A89">
        <f>Data!C89</f>
        <v>53</v>
      </c>
      <c r="B89">
        <f>COUNTIF(Data!$C$2:$C$301,"&lt;="&amp;A89)</f>
        <v>239</v>
      </c>
      <c r="C89">
        <f>IF(B89=0,0,AVERAGEIF(Data!$C$2:$C$301,"&lt;="&amp;A89,Data!$K$2:$K$301))</f>
        <v>108.63614069535083</v>
      </c>
      <c r="D89">
        <f>COUNTIF(Data!$C$2:$C$301,"&gt;"&amp;A89)</f>
        <v>61</v>
      </c>
      <c r="E89">
        <f>IF(D89=0,0,AVERAGEIF(Data!$C$2:$C$301,"&gt;"&amp;A89,Data!$K$2:$K$301))</f>
        <v>116.52386228112373</v>
      </c>
      <c r="F89">
        <f>SUMPRODUCT(--(Data!$C$2:$C$301&lt;=A89),(Data!$K$2:$K$301-C89)^2)+SUMPRODUCT(--(Data!$C$2:$C$301&gt;A89),(Data!$K$2:$K$301-E89)^2)</f>
        <v>534250.40750013164</v>
      </c>
      <c r="G89">
        <f>IF(B89=0,0,SUMPRODUCT(--(Data!$C$2:$C$301&lt;=A89),SQRT(Data!$K$2:$K$301))/B89)</f>
        <v>10.256052543296615</v>
      </c>
      <c r="H89">
        <f>IF(D89=0,0,SUMPRODUCT(--(Data!$C$2:$C$301&gt;A89),SQRT(Data!$K$2:$K$301))/D89)</f>
        <v>10.608681872212918</v>
      </c>
      <c r="I89">
        <f>SUMPRODUCT(--(Data!$C$2:$C$301&lt;=A89),(SQRT(Data!$K$2:$K$301)-G89)^2)+SUMPRODUCT(--(Data!$C$2:$C$301&gt;A89),(SQRT(Data!$K$2:$K$301)-H89)^2)</f>
        <v>1067.2005390867</v>
      </c>
      <c r="J89">
        <f t="shared" si="3"/>
        <v>1</v>
      </c>
      <c r="K89">
        <f t="shared" si="4"/>
        <v>534250.40750013164</v>
      </c>
      <c r="L89">
        <f t="shared" si="5"/>
        <v>1067.2005390867</v>
      </c>
    </row>
    <row r="90" spans="1:12" x14ac:dyDescent="0.2">
      <c r="A90">
        <f>Data!C90</f>
        <v>53</v>
      </c>
      <c r="B90">
        <f>COUNTIF(Data!$C$2:$C$301,"&lt;="&amp;A90)</f>
        <v>239</v>
      </c>
      <c r="C90">
        <f>IF(B90=0,0,AVERAGEIF(Data!$C$2:$C$301,"&lt;="&amp;A90,Data!$K$2:$K$301))</f>
        <v>108.63614069535083</v>
      </c>
      <c r="D90">
        <f>COUNTIF(Data!$C$2:$C$301,"&gt;"&amp;A90)</f>
        <v>61</v>
      </c>
      <c r="E90">
        <f>IF(D90=0,0,AVERAGEIF(Data!$C$2:$C$301,"&gt;"&amp;A90,Data!$K$2:$K$301))</f>
        <v>116.52386228112373</v>
      </c>
      <c r="F90">
        <f>SUMPRODUCT(--(Data!$C$2:$C$301&lt;=A90),(Data!$K$2:$K$301-C90)^2)+SUMPRODUCT(--(Data!$C$2:$C$301&gt;A90),(Data!$K$2:$K$301-E90)^2)</f>
        <v>534250.40750013164</v>
      </c>
      <c r="G90">
        <f>IF(B90=0,0,SUMPRODUCT(--(Data!$C$2:$C$301&lt;=A90),SQRT(Data!$K$2:$K$301))/B90)</f>
        <v>10.256052543296615</v>
      </c>
      <c r="H90">
        <f>IF(D90=0,0,SUMPRODUCT(--(Data!$C$2:$C$301&gt;A90),SQRT(Data!$K$2:$K$301))/D90)</f>
        <v>10.608681872212918</v>
      </c>
      <c r="I90">
        <f>SUMPRODUCT(--(Data!$C$2:$C$301&lt;=A90),(SQRT(Data!$K$2:$K$301)-G90)^2)+SUMPRODUCT(--(Data!$C$2:$C$301&gt;A90),(SQRT(Data!$K$2:$K$301)-H90)^2)</f>
        <v>1067.2005390867</v>
      </c>
      <c r="J90">
        <f t="shared" si="3"/>
        <v>1</v>
      </c>
      <c r="K90">
        <f t="shared" si="4"/>
        <v>534250.40750013164</v>
      </c>
      <c r="L90">
        <f t="shared" si="5"/>
        <v>1067.2005390867</v>
      </c>
    </row>
    <row r="91" spans="1:12" x14ac:dyDescent="0.2">
      <c r="A91">
        <f>Data!C91</f>
        <v>70</v>
      </c>
      <c r="B91">
        <f>COUNTIF(Data!$C$2:$C$301,"&lt;="&amp;A91)</f>
        <v>296</v>
      </c>
      <c r="C91">
        <f>IF(B91=0,0,AVERAGEIF(Data!$C$2:$C$301,"&lt;="&amp;A91,Data!$K$2:$K$301))</f>
        <v>110.45477552644456</v>
      </c>
      <c r="D91">
        <f>COUNTIF(Data!$C$2:$C$301,"&gt;"&amp;A91)</f>
        <v>4</v>
      </c>
      <c r="E91">
        <f>IF(D91=0,0,AVERAGEIF(Data!$C$2:$C$301,"&gt;"&amp;A91,Data!$K$2:$K$301))</f>
        <v>94.344917377447302</v>
      </c>
      <c r="F91">
        <f>SUMPRODUCT(--(Data!$C$2:$C$301&lt;=A91),(Data!$K$2:$K$301-C91)^2)+SUMPRODUCT(--(Data!$C$2:$C$301&gt;A91),(Data!$K$2:$K$301-E91)^2)</f>
        <v>536249.63644107315</v>
      </c>
      <c r="G91">
        <f>IF(B91=0,0,SUMPRODUCT(--(Data!$C$2:$C$301&lt;=A91),SQRT(Data!$K$2:$K$301))/B91)</f>
        <v>10.336143055387767</v>
      </c>
      <c r="H91">
        <f>IF(D91=0,0,SUMPRODUCT(--(Data!$C$2:$C$301&gt;A91),SQRT(Data!$K$2:$K$301))/D91)</f>
        <v>9.706951914524792</v>
      </c>
      <c r="I91">
        <f>SUMPRODUCT(--(Data!$C$2:$C$301&lt;=A91),(SQRT(Data!$K$2:$K$301)-G91)^2)+SUMPRODUCT(--(Data!$C$2:$C$301&gt;A91),(SQRT(Data!$K$2:$K$301)-H91)^2)</f>
        <v>1071.6809980673615</v>
      </c>
      <c r="J91">
        <f t="shared" si="3"/>
        <v>1</v>
      </c>
      <c r="K91">
        <f t="shared" si="4"/>
        <v>536249.63644107315</v>
      </c>
      <c r="L91">
        <f t="shared" si="5"/>
        <v>1071.6809980673615</v>
      </c>
    </row>
    <row r="92" spans="1:12" x14ac:dyDescent="0.2">
      <c r="A92">
        <f>Data!C92</f>
        <v>47</v>
      </c>
      <c r="B92">
        <f>COUNTIF(Data!$C$2:$C$301,"&lt;="&amp;A92)</f>
        <v>192</v>
      </c>
      <c r="C92">
        <f>IF(B92=0,0,AVERAGEIF(Data!$C$2:$C$301,"&lt;="&amp;A92,Data!$K$2:$K$301))</f>
        <v>106.89555183915331</v>
      </c>
      <c r="D92">
        <f>COUNTIF(Data!$C$2:$C$301,"&gt;"&amp;A92)</f>
        <v>108</v>
      </c>
      <c r="E92">
        <f>IF(D92=0,0,AVERAGEIF(Data!$C$2:$C$301,"&gt;"&amp;A92,Data!$K$2:$K$301))</f>
        <v>116.18562289092554</v>
      </c>
      <c r="F92">
        <f>SUMPRODUCT(--(Data!$C$2:$C$301&lt;=A92),(Data!$K$2:$K$301-C92)^2)+SUMPRODUCT(--(Data!$C$2:$C$301&gt;A92),(Data!$K$2:$K$301-E92)^2)</f>
        <v>531308.47445059323</v>
      </c>
      <c r="G92">
        <f>IF(B92=0,0,SUMPRODUCT(--(Data!$C$2:$C$301&lt;=A92),SQRT(Data!$K$2:$K$301))/B92)</f>
        <v>10.171333435224357</v>
      </c>
      <c r="H92">
        <f>IF(D92=0,0,SUMPRODUCT(--(Data!$C$2:$C$301&gt;A92),SQRT(Data!$K$2:$K$301))/D92)</f>
        <v>10.60583456009074</v>
      </c>
      <c r="I92">
        <f>SUMPRODUCT(--(Data!$C$2:$C$301&lt;=A92),(SQRT(Data!$K$2:$K$301)-G92)^2)+SUMPRODUCT(--(Data!$C$2:$C$301&gt;A92),(SQRT(Data!$K$2:$K$301)-H92)^2)</f>
        <v>1060.1941607092617</v>
      </c>
      <c r="J92">
        <f t="shared" si="3"/>
        <v>1</v>
      </c>
      <c r="K92">
        <f t="shared" si="4"/>
        <v>531308.47445059323</v>
      </c>
      <c r="L92">
        <f t="shared" si="5"/>
        <v>1060.1941607092617</v>
      </c>
    </row>
    <row r="93" spans="1:12" x14ac:dyDescent="0.2">
      <c r="A93">
        <f>Data!C93</f>
        <v>46</v>
      </c>
      <c r="B93">
        <f>COUNTIF(Data!$C$2:$C$301,"&lt;="&amp;A93)</f>
        <v>185</v>
      </c>
      <c r="C93">
        <f>IF(B93=0,0,AVERAGEIF(Data!$C$2:$C$301,"&lt;="&amp;A93,Data!$K$2:$K$301))</f>
        <v>106.69663835771891</v>
      </c>
      <c r="D93">
        <f>COUNTIF(Data!$C$2:$C$301,"&gt;"&amp;A93)</f>
        <v>115</v>
      </c>
      <c r="E93">
        <f>IF(D93=0,0,AVERAGEIF(Data!$C$2:$C$301,"&gt;"&amp;A93,Data!$K$2:$K$301))</f>
        <v>115.94013155790782</v>
      </c>
      <c r="F93">
        <f>SUMPRODUCT(--(Data!$C$2:$C$301&lt;=A93),(Data!$K$2:$K$301-C93)^2)+SUMPRODUCT(--(Data!$C$2:$C$301&gt;A93),(Data!$K$2:$K$301-E93)^2)</f>
        <v>531214.63144721917</v>
      </c>
      <c r="G93">
        <f>IF(B93=0,0,SUMPRODUCT(--(Data!$C$2:$C$301&lt;=A93),SQRT(Data!$K$2:$K$301))/B93)</f>
        <v>10.160082556497867</v>
      </c>
      <c r="H93">
        <f>IF(D93=0,0,SUMPRODUCT(--(Data!$C$2:$C$301&gt;A93),SQRT(Data!$K$2:$K$301))/D93)</f>
        <v>10.597485905224096</v>
      </c>
      <c r="I93">
        <f>SUMPRODUCT(--(Data!$C$2:$C$301&lt;=A93),(SQRT(Data!$K$2:$K$301)-G93)^2)+SUMPRODUCT(--(Data!$C$2:$C$301&gt;A93),(SQRT(Data!$K$2:$K$301)-H93)^2)</f>
        <v>1059.675513876025</v>
      </c>
      <c r="J93">
        <f t="shared" si="3"/>
        <v>1</v>
      </c>
      <c r="K93">
        <f t="shared" si="4"/>
        <v>531214.63144721917</v>
      </c>
      <c r="L93">
        <f t="shared" si="5"/>
        <v>1059.675513876025</v>
      </c>
    </row>
    <row r="94" spans="1:12" x14ac:dyDescent="0.2">
      <c r="A94">
        <f>Data!C94</f>
        <v>33</v>
      </c>
      <c r="B94">
        <f>COUNTIF(Data!$C$2:$C$301,"&lt;="&amp;A94)</f>
        <v>68</v>
      </c>
      <c r="C94">
        <f>IF(B94=0,0,AVERAGEIF(Data!$C$2:$C$301,"&lt;="&amp;A94,Data!$K$2:$K$301))</f>
        <v>88.550422202336463</v>
      </c>
      <c r="D94">
        <f>COUNTIF(Data!$C$2:$C$301,"&gt;"&amp;A94)</f>
        <v>232</v>
      </c>
      <c r="E94">
        <f>IF(D94=0,0,AVERAGEIF(Data!$C$2:$C$301,"&gt;"&amp;A94,Data!$K$2:$K$301))</f>
        <v>116.59726084301083</v>
      </c>
      <c r="F94">
        <f>SUMPRODUCT(--(Data!$C$2:$C$301&lt;=A94),(Data!$K$2:$K$301-C94)^2)+SUMPRODUCT(--(Data!$C$2:$C$301&gt;A94),(Data!$K$2:$K$301-E94)^2)</f>
        <v>495907.91012967401</v>
      </c>
      <c r="G94">
        <f>IF(B94=0,0,SUMPRODUCT(--(Data!$C$2:$C$301&lt;=A94),SQRT(Data!$K$2:$K$301))/B94)</f>
        <v>9.2953615607760653</v>
      </c>
      <c r="H94">
        <f>IF(D94=0,0,SUMPRODUCT(--(Data!$C$2:$C$301&gt;A94),SQRT(Data!$K$2:$K$301))/D94)</f>
        <v>10.630351577241834</v>
      </c>
      <c r="I94">
        <f>SUMPRODUCT(--(Data!$C$2:$C$301&lt;=A94),(SQRT(Data!$K$2:$K$301)-G94)^2)+SUMPRODUCT(--(Data!$C$2:$C$301&gt;A94),(SQRT(Data!$K$2:$K$301)-H94)^2)</f>
        <v>979.52354010162389</v>
      </c>
      <c r="J94">
        <f t="shared" si="3"/>
        <v>1</v>
      </c>
      <c r="K94">
        <f t="shared" si="4"/>
        <v>495907.91012967401</v>
      </c>
      <c r="L94">
        <f t="shared" si="5"/>
        <v>979.52354010162389</v>
      </c>
    </row>
    <row r="95" spans="1:12" x14ac:dyDescent="0.2">
      <c r="A95">
        <f>Data!C95</f>
        <v>34</v>
      </c>
      <c r="B95">
        <f>COUNTIF(Data!$C$2:$C$301,"&lt;="&amp;A95)</f>
        <v>79</v>
      </c>
      <c r="C95">
        <f>IF(B95=0,0,AVERAGEIF(Data!$C$2:$C$301,"&lt;="&amp;A95,Data!$K$2:$K$301))</f>
        <v>89.239688213542237</v>
      </c>
      <c r="D95">
        <f>COUNTIF(Data!$C$2:$C$301,"&gt;"&amp;A95)</f>
        <v>221</v>
      </c>
      <c r="E95">
        <f>IF(D95=0,0,AVERAGEIF(Data!$C$2:$C$301,"&gt;"&amp;A95,Data!$K$2:$K$301))</f>
        <v>117.74686812881249</v>
      </c>
      <c r="F95">
        <f>SUMPRODUCT(--(Data!$C$2:$C$301&lt;=A95),(Data!$K$2:$K$301-C95)^2)+SUMPRODUCT(--(Data!$C$2:$C$301&gt;A95),(Data!$K$2:$K$301-E95)^2)</f>
        <v>489979.84230431152</v>
      </c>
      <c r="G95">
        <f>IF(B95=0,0,SUMPRODUCT(--(Data!$C$2:$C$301&lt;=A95),SQRT(Data!$K$2:$K$301))/B95)</f>
        <v>9.3403512203320922</v>
      </c>
      <c r="H95">
        <f>IF(D95=0,0,SUMPRODUCT(--(Data!$C$2:$C$301&gt;A95),SQRT(Data!$K$2:$K$301))/D95)</f>
        <v>10.680716767631866</v>
      </c>
      <c r="I95">
        <f>SUMPRODUCT(--(Data!$C$2:$C$301&lt;=A95),(SQRT(Data!$K$2:$K$301)-G95)^2)+SUMPRODUCT(--(Data!$C$2:$C$301&gt;A95),(SQRT(Data!$K$2:$K$301)-H95)^2)</f>
        <v>968.68845457150394</v>
      </c>
      <c r="J95">
        <f t="shared" si="3"/>
        <v>1</v>
      </c>
      <c r="K95">
        <f t="shared" si="4"/>
        <v>489979.84230431152</v>
      </c>
      <c r="L95">
        <f t="shared" si="5"/>
        <v>968.68845457150394</v>
      </c>
    </row>
    <row r="96" spans="1:12" x14ac:dyDescent="0.2">
      <c r="A96">
        <f>Data!C96</f>
        <v>22</v>
      </c>
      <c r="B96">
        <f>COUNTIF(Data!$C$2:$C$301,"&lt;="&amp;A96)</f>
        <v>10</v>
      </c>
      <c r="C96">
        <f>IF(B96=0,0,AVERAGEIF(Data!$C$2:$C$301,"&lt;="&amp;A96,Data!$K$2:$K$301))</f>
        <v>65.30519371621908</v>
      </c>
      <c r="D96">
        <f>COUNTIF(Data!$C$2:$C$301,"&gt;"&amp;A96)</f>
        <v>290</v>
      </c>
      <c r="E96">
        <f>IF(D96=0,0,AVERAGEIF(Data!$C$2:$C$301,"&gt;"&amp;A96,Data!$K$2:$K$301))</f>
        <v>111.78945271784551</v>
      </c>
      <c r="F96">
        <f>SUMPRODUCT(--(Data!$C$2:$C$301&lt;=A96),(Data!$K$2:$K$301-C96)^2)+SUMPRODUCT(--(Data!$C$2:$C$301&gt;A96),(Data!$K$2:$K$301-E96)^2)</f>
        <v>516386.30385349214</v>
      </c>
      <c r="G96">
        <f>IF(B96=0,0,SUMPRODUCT(--(Data!$C$2:$C$301&lt;=A96),SQRT(Data!$K$2:$K$301))/B96)</f>
        <v>8.015119012201783</v>
      </c>
      <c r="H96">
        <f>IF(D96=0,0,SUMPRODUCT(--(Data!$C$2:$C$301&gt;A96),SQRT(Data!$K$2:$K$301))/D96)</f>
        <v>10.407499868727104</v>
      </c>
      <c r="I96">
        <f>SUMPRODUCT(--(Data!$C$2:$C$301&lt;=A96),(SQRT(Data!$K$2:$K$301)-G96)^2)+SUMPRODUCT(--(Data!$C$2:$C$301&gt;A96),(SQRT(Data!$K$2:$K$301)-H96)^2)</f>
        <v>1017.9163774489665</v>
      </c>
      <c r="J96">
        <f t="shared" si="3"/>
        <v>1</v>
      </c>
      <c r="K96">
        <f t="shared" si="4"/>
        <v>516386.30385349214</v>
      </c>
      <c r="L96">
        <f t="shared" si="5"/>
        <v>1017.9163774489665</v>
      </c>
    </row>
    <row r="97" spans="1:12" x14ac:dyDescent="0.2">
      <c r="A97">
        <f>Data!C97</f>
        <v>74</v>
      </c>
      <c r="B97">
        <f>COUNTIF(Data!$C$2:$C$301,"&lt;="&amp;A97)</f>
        <v>299</v>
      </c>
      <c r="C97">
        <f>IF(B97=0,0,AVERAGEIF(Data!$C$2:$C$301,"&lt;="&amp;A97,Data!$K$2:$K$301))</f>
        <v>110.32310797644948</v>
      </c>
      <c r="D97">
        <f>COUNTIF(Data!$C$2:$C$301,"&gt;"&amp;A97)</f>
        <v>1</v>
      </c>
      <c r="E97">
        <f>IF(D97=0,0,AVERAGEIF(Data!$C$2:$C$301,"&gt;"&amp;A97,Data!$K$2:$K$301))</f>
        <v>85.3839403789827</v>
      </c>
      <c r="F97">
        <f>SUMPRODUCT(--(Data!$C$2:$C$301&lt;=A97),(Data!$K$2:$K$301-C97)^2)+SUMPRODUCT(--(Data!$C$2:$C$301&gt;A97),(Data!$K$2:$K$301-E97)^2)</f>
        <v>536654.01621763187</v>
      </c>
      <c r="G97">
        <f>IF(B97=0,0,SUMPRODUCT(--(Data!$C$2:$C$301&lt;=A97),SQRT(Data!$K$2:$K$301))/B97)</f>
        <v>10.331390665435274</v>
      </c>
      <c r="H97">
        <f>IF(D97=0,0,SUMPRODUCT(--(Data!$C$2:$C$301&gt;A97),SQRT(Data!$K$2:$K$301))/D97)</f>
        <v>9.2403430877312509</v>
      </c>
      <c r="I97">
        <f>SUMPRODUCT(--(Data!$C$2:$C$301&lt;=A97),(SQRT(Data!$K$2:$K$301)-G97)^2)+SUMPRODUCT(--(Data!$C$2:$C$301&gt;A97),(SQRT(Data!$K$2:$K$301)-H97)^2)</f>
        <v>1072.0569934873383</v>
      </c>
      <c r="J97">
        <f t="shared" si="3"/>
        <v>1</v>
      </c>
      <c r="K97">
        <f t="shared" si="4"/>
        <v>536654.01621763187</v>
      </c>
      <c r="L97">
        <f t="shared" si="5"/>
        <v>1072.0569934873383</v>
      </c>
    </row>
    <row r="98" spans="1:12" x14ac:dyDescent="0.2">
      <c r="A98">
        <f>Data!C98</f>
        <v>40</v>
      </c>
      <c r="B98">
        <f>COUNTIF(Data!$C$2:$C$301,"&lt;="&amp;A98)</f>
        <v>135</v>
      </c>
      <c r="C98">
        <f>IF(B98=0,0,AVERAGEIF(Data!$C$2:$C$301,"&lt;="&amp;A98,Data!$K$2:$K$301))</f>
        <v>103.38613121677049</v>
      </c>
      <c r="D98">
        <f>COUNTIF(Data!$C$2:$C$301,"&gt;"&amp;A98)</f>
        <v>165</v>
      </c>
      <c r="E98">
        <f>IF(D98=0,0,AVERAGEIF(Data!$C$2:$C$301,"&gt;"&amp;A98,Data!$K$2:$K$301))</f>
        <v>115.8476697640811</v>
      </c>
      <c r="F98">
        <f>SUMPRODUCT(--(Data!$C$2:$C$301&lt;=A98),(Data!$K$2:$K$301-C98)^2)+SUMPRODUCT(--(Data!$C$2:$C$301&gt;A98),(Data!$K$2:$K$301-E98)^2)</f>
        <v>525743.62682591786</v>
      </c>
      <c r="G98">
        <f>IF(B98=0,0,SUMPRODUCT(--(Data!$C$2:$C$301&lt;=A98),SQRT(Data!$K$2:$K$301))/B98)</f>
        <v>10.003662056878664</v>
      </c>
      <c r="H98">
        <f>IF(D98=0,0,SUMPRODUCT(--(Data!$C$2:$C$301&gt;A98),SQRT(Data!$K$2:$K$301))/D98)</f>
        <v>10.592919844692464</v>
      </c>
      <c r="I98">
        <f>SUMPRODUCT(--(Data!$C$2:$C$301&lt;=A98),(SQRT(Data!$K$2:$K$301)-G98)^2)+SUMPRODUCT(--(Data!$C$2:$C$301&gt;A98),(SQRT(Data!$K$2:$K$301)-H98)^2)</f>
        <v>1047.4619733726961</v>
      </c>
      <c r="J98">
        <f t="shared" si="3"/>
        <v>1</v>
      </c>
      <c r="K98">
        <f t="shared" si="4"/>
        <v>525743.62682591786</v>
      </c>
      <c r="L98">
        <f t="shared" si="5"/>
        <v>1047.4619733726961</v>
      </c>
    </row>
    <row r="99" spans="1:12" x14ac:dyDescent="0.2">
      <c r="A99">
        <f>Data!C99</f>
        <v>45</v>
      </c>
      <c r="B99">
        <f>COUNTIF(Data!$C$2:$C$301,"&lt;="&amp;A99)</f>
        <v>176</v>
      </c>
      <c r="C99">
        <f>IF(B99=0,0,AVERAGEIF(Data!$C$2:$C$301,"&lt;="&amp;A99,Data!$K$2:$K$301))</f>
        <v>107.19122936601325</v>
      </c>
      <c r="D99">
        <f>COUNTIF(Data!$C$2:$C$301,"&gt;"&amp;A99)</f>
        <v>124</v>
      </c>
      <c r="E99">
        <f>IF(D99=0,0,AVERAGEIF(Data!$C$2:$C$301,"&gt;"&amp;A99,Data!$K$2:$K$301))</f>
        <v>114.56723271708925</v>
      </c>
      <c r="F99">
        <f>SUMPRODUCT(--(Data!$C$2:$C$301&lt;=A99),(Data!$K$2:$K$301-C99)^2)+SUMPRODUCT(--(Data!$C$2:$C$301&gt;A99),(Data!$K$2:$K$301-E99)^2)</f>
        <v>533316.09174216771</v>
      </c>
      <c r="G99">
        <f>IF(B99=0,0,SUMPRODUCT(--(Data!$C$2:$C$301&lt;=A99),SQRT(Data!$K$2:$K$301))/B99)</f>
        <v>10.178829622446425</v>
      </c>
      <c r="H99">
        <f>IF(D99=0,0,SUMPRODUCT(--(Data!$C$2:$C$301&gt;A99),SQRT(Data!$K$2:$K$301))/D99)</f>
        <v>10.539130149212143</v>
      </c>
      <c r="I99">
        <f>SUMPRODUCT(--(Data!$C$2:$C$301&lt;=A99),(SQRT(Data!$K$2:$K$301)-G99)^2)+SUMPRODUCT(--(Data!$C$2:$C$301&gt;A99),(SQRT(Data!$K$2:$K$301)-H99)^2)</f>
        <v>1063.7996949138264</v>
      </c>
      <c r="J99">
        <f t="shared" si="3"/>
        <v>1</v>
      </c>
      <c r="K99">
        <f t="shared" si="4"/>
        <v>533316.09174216771</v>
      </c>
      <c r="L99">
        <f t="shared" si="5"/>
        <v>1063.7996949138264</v>
      </c>
    </row>
    <row r="100" spans="1:12" x14ac:dyDescent="0.2">
      <c r="A100">
        <f>Data!C100</f>
        <v>43</v>
      </c>
      <c r="B100">
        <f>COUNTIF(Data!$C$2:$C$301,"&lt;="&amp;A100)</f>
        <v>161</v>
      </c>
      <c r="C100">
        <f>IF(B100=0,0,AVERAGEIF(Data!$C$2:$C$301,"&lt;="&amp;A100,Data!$K$2:$K$301))</f>
        <v>105.8730068010875</v>
      </c>
      <c r="D100">
        <f>COUNTIF(Data!$C$2:$C$301,"&gt;"&amp;A100)</f>
        <v>139</v>
      </c>
      <c r="E100">
        <f>IF(D100=0,0,AVERAGEIF(Data!$C$2:$C$301,"&gt;"&amp;A100,Data!$K$2:$K$301))</f>
        <v>115.29812324001665</v>
      </c>
      <c r="F100">
        <f>SUMPRODUCT(--(Data!$C$2:$C$301&lt;=A100),(Data!$K$2:$K$301-C100)^2)+SUMPRODUCT(--(Data!$C$2:$C$301&gt;A100),(Data!$K$2:$K$301-E100)^2)</f>
        <v>530647.27283695317</v>
      </c>
      <c r="G100">
        <f>IF(B100=0,0,SUMPRODUCT(--(Data!$C$2:$C$301&lt;=A100),SQRT(Data!$K$2:$K$301))/B100)</f>
        <v>10.108069640250404</v>
      </c>
      <c r="H100">
        <f>IF(D100=0,0,SUMPRODUCT(--(Data!$C$2:$C$301&gt;A100),SQRT(Data!$K$2:$K$301))/D100)</f>
        <v>10.582208201241452</v>
      </c>
      <c r="I100">
        <f>SUMPRODUCT(--(Data!$C$2:$C$301&lt;=A100),(SQRT(Data!$K$2:$K$301)-G100)^2)+SUMPRODUCT(--(Data!$C$2:$C$301&gt;A100),(SQRT(Data!$K$2:$K$301)-H100)^2)</f>
        <v>1056.4735295362882</v>
      </c>
      <c r="J100">
        <f t="shared" si="3"/>
        <v>1</v>
      </c>
      <c r="K100">
        <f t="shared" si="4"/>
        <v>530647.27283695317</v>
      </c>
      <c r="L100">
        <f t="shared" si="5"/>
        <v>1056.4735295362882</v>
      </c>
    </row>
    <row r="101" spans="1:12" x14ac:dyDescent="0.2">
      <c r="A101">
        <f>Data!C101</f>
        <v>33</v>
      </c>
      <c r="B101">
        <f>COUNTIF(Data!$C$2:$C$301,"&lt;="&amp;A101)</f>
        <v>68</v>
      </c>
      <c r="C101">
        <f>IF(B101=0,0,AVERAGEIF(Data!$C$2:$C$301,"&lt;="&amp;A101,Data!$K$2:$K$301))</f>
        <v>88.550422202336463</v>
      </c>
      <c r="D101">
        <f>COUNTIF(Data!$C$2:$C$301,"&gt;"&amp;A101)</f>
        <v>232</v>
      </c>
      <c r="E101">
        <f>IF(D101=0,0,AVERAGEIF(Data!$C$2:$C$301,"&gt;"&amp;A101,Data!$K$2:$K$301))</f>
        <v>116.59726084301083</v>
      </c>
      <c r="F101">
        <f>SUMPRODUCT(--(Data!$C$2:$C$301&lt;=A101),(Data!$K$2:$K$301-C101)^2)+SUMPRODUCT(--(Data!$C$2:$C$301&gt;A101),(Data!$K$2:$K$301-E101)^2)</f>
        <v>495907.91012967401</v>
      </c>
      <c r="G101">
        <f>IF(B101=0,0,SUMPRODUCT(--(Data!$C$2:$C$301&lt;=A101),SQRT(Data!$K$2:$K$301))/B101)</f>
        <v>9.2953615607760653</v>
      </c>
      <c r="H101">
        <f>IF(D101=0,0,SUMPRODUCT(--(Data!$C$2:$C$301&gt;A101),SQRT(Data!$K$2:$K$301))/D101)</f>
        <v>10.630351577241834</v>
      </c>
      <c r="I101">
        <f>SUMPRODUCT(--(Data!$C$2:$C$301&lt;=A101),(SQRT(Data!$K$2:$K$301)-G101)^2)+SUMPRODUCT(--(Data!$C$2:$C$301&gt;A101),(SQRT(Data!$K$2:$K$301)-H101)^2)</f>
        <v>979.52354010162389</v>
      </c>
      <c r="J101">
        <f t="shared" si="3"/>
        <v>1</v>
      </c>
      <c r="K101">
        <f t="shared" si="4"/>
        <v>495907.91012967401</v>
      </c>
      <c r="L101">
        <f t="shared" si="5"/>
        <v>979.52354010162389</v>
      </c>
    </row>
    <row r="102" spans="1:12" x14ac:dyDescent="0.2">
      <c r="A102">
        <f>Data!C102</f>
        <v>62</v>
      </c>
      <c r="B102">
        <f>COUNTIF(Data!$C$2:$C$301,"&lt;="&amp;A102)</f>
        <v>288</v>
      </c>
      <c r="C102">
        <f>IF(B102=0,0,AVERAGEIF(Data!$C$2:$C$301,"&lt;="&amp;A102,Data!$K$2:$K$301))</f>
        <v>110.32628881425765</v>
      </c>
      <c r="D102">
        <f>COUNTIF(Data!$C$2:$C$301,"&gt;"&amp;A102)</f>
        <v>12</v>
      </c>
      <c r="E102">
        <f>IF(D102=0,0,AVERAGEIF(Data!$C$2:$C$301,"&gt;"&amp;A102,Data!$K$2:$K$301))</f>
        <v>108.16850390259823</v>
      </c>
      <c r="F102">
        <f>SUMPRODUCT(--(Data!$C$2:$C$301&lt;=A102),(Data!$K$2:$K$301-C102)^2)+SUMPRODUCT(--(Data!$C$2:$C$301&gt;A102),(Data!$K$2:$K$301-E102)^2)</f>
        <v>537220.26755960041</v>
      </c>
      <c r="G102">
        <f>IF(B102=0,0,SUMPRODUCT(--(Data!$C$2:$C$301&lt;=A102),SQRT(Data!$K$2:$K$301))/B102)</f>
        <v>10.338267151174586</v>
      </c>
      <c r="H102">
        <f>IF(D102=0,0,SUMPRODUCT(--(Data!$C$2:$C$301&gt;A102),SQRT(Data!$K$2:$K$301))/D102)</f>
        <v>10.075434376216521</v>
      </c>
      <c r="I102">
        <f>SUMPRODUCT(--(Data!$C$2:$C$301&lt;=A102),(SQRT(Data!$K$2:$K$301)-G102)^2)+SUMPRODUCT(--(Data!$C$2:$C$301&gt;A102),(SQRT(Data!$K$2:$K$301)-H102)^2)</f>
        <v>1072.4475964561018</v>
      </c>
      <c r="J102">
        <f t="shared" si="3"/>
        <v>1</v>
      </c>
      <c r="K102">
        <f t="shared" si="4"/>
        <v>537220.26755960041</v>
      </c>
      <c r="L102">
        <f t="shared" si="5"/>
        <v>1072.4475964561018</v>
      </c>
    </row>
    <row r="103" spans="1:12" x14ac:dyDescent="0.2">
      <c r="A103">
        <f>Data!C103</f>
        <v>37</v>
      </c>
      <c r="B103">
        <f>COUNTIF(Data!$C$2:$C$301,"&lt;="&amp;A103)</f>
        <v>106</v>
      </c>
      <c r="C103">
        <f>IF(B103=0,0,AVERAGEIF(Data!$C$2:$C$301,"&lt;="&amp;A103,Data!$K$2:$K$301))</f>
        <v>97.276622779475886</v>
      </c>
      <c r="D103">
        <f>COUNTIF(Data!$C$2:$C$301,"&gt;"&amp;A103)</f>
        <v>194</v>
      </c>
      <c r="E103">
        <f>IF(D103=0,0,AVERAGEIF(Data!$C$2:$C$301,"&gt;"&amp;A103,Data!$K$2:$K$301))</f>
        <v>117.32304747790181</v>
      </c>
      <c r="F103">
        <f>SUMPRODUCT(--(Data!$C$2:$C$301&lt;=A103),(Data!$K$2:$K$301-C103)^2)+SUMPRODUCT(--(Data!$C$2:$C$301&gt;A103),(Data!$K$2:$K$301-E103)^2)</f>
        <v>509727.80035597854</v>
      </c>
      <c r="G103">
        <f>IF(B103=0,0,SUMPRODUCT(--(Data!$C$2:$C$301&lt;=A103),SQRT(Data!$K$2:$K$301))/B103)</f>
        <v>9.717465630869949</v>
      </c>
      <c r="H103">
        <f>IF(D103=0,0,SUMPRODUCT(--(Data!$C$2:$C$301&gt;A103),SQRT(Data!$K$2:$K$301))/D103)</f>
        <v>10.661210284436402</v>
      </c>
      <c r="I103">
        <f>SUMPRODUCT(--(Data!$C$2:$C$301&lt;=A103),(SQRT(Data!$K$2:$K$301)-G103)^2)+SUMPRODUCT(--(Data!$C$2:$C$301&gt;A103),(SQRT(Data!$K$2:$K$301)-H103)^2)</f>
        <v>1012.1920494800115</v>
      </c>
      <c r="J103">
        <f t="shared" si="3"/>
        <v>1</v>
      </c>
      <c r="K103">
        <f t="shared" si="4"/>
        <v>509727.80035597854</v>
      </c>
      <c r="L103">
        <f t="shared" si="5"/>
        <v>1012.1920494800115</v>
      </c>
    </row>
    <row r="104" spans="1:12" x14ac:dyDescent="0.2">
      <c r="A104">
        <f>Data!C104</f>
        <v>54</v>
      </c>
      <c r="B104">
        <f>COUNTIF(Data!$C$2:$C$301,"&lt;="&amp;A104)</f>
        <v>245</v>
      </c>
      <c r="C104">
        <f>IF(B104=0,0,AVERAGEIF(Data!$C$2:$C$301,"&lt;="&amp;A104,Data!$K$2:$K$301))</f>
        <v>108.7043715775597</v>
      </c>
      <c r="D104">
        <f>COUNTIF(Data!$C$2:$C$301,"&gt;"&amp;A104)</f>
        <v>55</v>
      </c>
      <c r="E104">
        <f>IF(D104=0,0,AVERAGEIF(Data!$C$2:$C$301,"&gt;"&amp;A104,Data!$K$2:$K$301))</f>
        <v>117.08040343336856</v>
      </c>
      <c r="F104">
        <f>SUMPRODUCT(--(Data!$C$2:$C$301&lt;=A104),(Data!$K$2:$K$301-C104)^2)+SUMPRODUCT(--(Data!$C$2:$C$301&gt;A104),(Data!$K$2:$K$301-E104)^2)</f>
        <v>534122.64564939437</v>
      </c>
      <c r="G104">
        <f>IF(B104=0,0,SUMPRODUCT(--(Data!$C$2:$C$301&lt;=A104),SQRT(Data!$K$2:$K$301))/B104)</f>
        <v>10.262431153987036</v>
      </c>
      <c r="H104">
        <f>IF(D104=0,0,SUMPRODUCT(--(Data!$C$2:$C$301&gt;A104),SQRT(Data!$K$2:$K$301))/D104)</f>
        <v>10.618736715019176</v>
      </c>
      <c r="I104">
        <f>SUMPRODUCT(--(Data!$C$2:$C$301&lt;=A104),(SQRT(Data!$K$2:$K$301)-G104)^2)+SUMPRODUCT(--(Data!$C$2:$C$301&gt;A104),(SQRT(Data!$K$2:$K$301)-H104)^2)</f>
        <v>1067.5410754488223</v>
      </c>
      <c r="J104">
        <f t="shared" si="3"/>
        <v>1</v>
      </c>
      <c r="K104">
        <f t="shared" si="4"/>
        <v>534122.64564939437</v>
      </c>
      <c r="L104">
        <f t="shared" si="5"/>
        <v>1067.5410754488223</v>
      </c>
    </row>
    <row r="105" spans="1:12" x14ac:dyDescent="0.2">
      <c r="A105">
        <f>Data!C105</f>
        <v>34</v>
      </c>
      <c r="B105">
        <f>COUNTIF(Data!$C$2:$C$301,"&lt;="&amp;A105)</f>
        <v>79</v>
      </c>
      <c r="C105">
        <f>IF(B105=0,0,AVERAGEIF(Data!$C$2:$C$301,"&lt;="&amp;A105,Data!$K$2:$K$301))</f>
        <v>89.239688213542237</v>
      </c>
      <c r="D105">
        <f>COUNTIF(Data!$C$2:$C$301,"&gt;"&amp;A105)</f>
        <v>221</v>
      </c>
      <c r="E105">
        <f>IF(D105=0,0,AVERAGEIF(Data!$C$2:$C$301,"&gt;"&amp;A105,Data!$K$2:$K$301))</f>
        <v>117.74686812881249</v>
      </c>
      <c r="F105">
        <f>SUMPRODUCT(--(Data!$C$2:$C$301&lt;=A105),(Data!$K$2:$K$301-C105)^2)+SUMPRODUCT(--(Data!$C$2:$C$301&gt;A105),(Data!$K$2:$K$301-E105)^2)</f>
        <v>489979.84230431152</v>
      </c>
      <c r="G105">
        <f>IF(B105=0,0,SUMPRODUCT(--(Data!$C$2:$C$301&lt;=A105),SQRT(Data!$K$2:$K$301))/B105)</f>
        <v>9.3403512203320922</v>
      </c>
      <c r="H105">
        <f>IF(D105=0,0,SUMPRODUCT(--(Data!$C$2:$C$301&gt;A105),SQRT(Data!$K$2:$K$301))/D105)</f>
        <v>10.680716767631866</v>
      </c>
      <c r="I105">
        <f>SUMPRODUCT(--(Data!$C$2:$C$301&lt;=A105),(SQRT(Data!$K$2:$K$301)-G105)^2)+SUMPRODUCT(--(Data!$C$2:$C$301&gt;A105),(SQRT(Data!$K$2:$K$301)-H105)^2)</f>
        <v>968.68845457150394</v>
      </c>
      <c r="J105">
        <f t="shared" si="3"/>
        <v>1</v>
      </c>
      <c r="K105">
        <f t="shared" si="4"/>
        <v>489979.84230431152</v>
      </c>
      <c r="L105">
        <f t="shared" si="5"/>
        <v>968.68845457150394</v>
      </c>
    </row>
    <row r="106" spans="1:12" x14ac:dyDescent="0.2">
      <c r="A106">
        <f>Data!C106</f>
        <v>50</v>
      </c>
      <c r="B106">
        <f>COUNTIF(Data!$C$2:$C$301,"&lt;="&amp;A106)</f>
        <v>219</v>
      </c>
      <c r="C106">
        <f>IF(B106=0,0,AVERAGEIF(Data!$C$2:$C$301,"&lt;="&amp;A106,Data!$K$2:$K$301))</f>
        <v>108.70258125966022</v>
      </c>
      <c r="D106">
        <f>COUNTIF(Data!$C$2:$C$301,"&gt;"&amp;A106)</f>
        <v>81</v>
      </c>
      <c r="E106">
        <f>IF(D106=0,0,AVERAGEIF(Data!$C$2:$C$301,"&gt;"&amp;A106,Data!$K$2:$K$301))</f>
        <v>114.39664110459017</v>
      </c>
      <c r="F106">
        <f>SUMPRODUCT(--(Data!$C$2:$C$301&lt;=A106),(Data!$K$2:$K$301-C106)^2)+SUMPRODUCT(--(Data!$C$2:$C$301&gt;A106),(Data!$K$2:$K$301-E106)^2)</f>
        <v>535356.77345633367</v>
      </c>
      <c r="G106">
        <f>IF(B106=0,0,SUMPRODUCT(--(Data!$C$2:$C$301&lt;=A106),SQRT(Data!$K$2:$K$301))/B106)</f>
        <v>10.254440242387149</v>
      </c>
      <c r="H106">
        <f>IF(D106=0,0,SUMPRODUCT(--(Data!$C$2:$C$301&gt;A106),SQRT(Data!$K$2:$K$301))/D106)</f>
        <v>10.525972086050512</v>
      </c>
      <c r="I106">
        <f>SUMPRODUCT(--(Data!$C$2:$C$301&lt;=A106),(SQRT(Data!$K$2:$K$301)-G106)^2)+SUMPRODUCT(--(Data!$C$2:$C$301&gt;A106),(SQRT(Data!$K$2:$K$301)-H106)^2)</f>
        <v>1068.8837825290173</v>
      </c>
      <c r="J106">
        <f t="shared" si="3"/>
        <v>1</v>
      </c>
      <c r="K106">
        <f t="shared" si="4"/>
        <v>535356.77345633367</v>
      </c>
      <c r="L106">
        <f t="shared" si="5"/>
        <v>1068.8837825290173</v>
      </c>
    </row>
    <row r="107" spans="1:12" x14ac:dyDescent="0.2">
      <c r="A107">
        <f>Data!C107</f>
        <v>46</v>
      </c>
      <c r="B107">
        <f>COUNTIF(Data!$C$2:$C$301,"&lt;="&amp;A107)</f>
        <v>185</v>
      </c>
      <c r="C107">
        <f>IF(B107=0,0,AVERAGEIF(Data!$C$2:$C$301,"&lt;="&amp;A107,Data!$K$2:$K$301))</f>
        <v>106.69663835771891</v>
      </c>
      <c r="D107">
        <f>COUNTIF(Data!$C$2:$C$301,"&gt;"&amp;A107)</f>
        <v>115</v>
      </c>
      <c r="E107">
        <f>IF(D107=0,0,AVERAGEIF(Data!$C$2:$C$301,"&gt;"&amp;A107,Data!$K$2:$K$301))</f>
        <v>115.94013155790782</v>
      </c>
      <c r="F107">
        <f>SUMPRODUCT(--(Data!$C$2:$C$301&lt;=A107),(Data!$K$2:$K$301-C107)^2)+SUMPRODUCT(--(Data!$C$2:$C$301&gt;A107),(Data!$K$2:$K$301-E107)^2)</f>
        <v>531214.63144721917</v>
      </c>
      <c r="G107">
        <f>IF(B107=0,0,SUMPRODUCT(--(Data!$C$2:$C$301&lt;=A107),SQRT(Data!$K$2:$K$301))/B107)</f>
        <v>10.160082556497867</v>
      </c>
      <c r="H107">
        <f>IF(D107=0,0,SUMPRODUCT(--(Data!$C$2:$C$301&gt;A107),SQRT(Data!$K$2:$K$301))/D107)</f>
        <v>10.597485905224096</v>
      </c>
      <c r="I107">
        <f>SUMPRODUCT(--(Data!$C$2:$C$301&lt;=A107),(SQRT(Data!$K$2:$K$301)-G107)^2)+SUMPRODUCT(--(Data!$C$2:$C$301&gt;A107),(SQRT(Data!$K$2:$K$301)-H107)^2)</f>
        <v>1059.675513876025</v>
      </c>
      <c r="J107">
        <f t="shared" si="3"/>
        <v>1</v>
      </c>
      <c r="K107">
        <f t="shared" si="4"/>
        <v>531214.63144721917</v>
      </c>
      <c r="L107">
        <f t="shared" si="5"/>
        <v>1059.675513876025</v>
      </c>
    </row>
    <row r="108" spans="1:12" x14ac:dyDescent="0.2">
      <c r="A108">
        <f>Data!C108</f>
        <v>41</v>
      </c>
      <c r="B108">
        <f>COUNTIF(Data!$C$2:$C$301,"&lt;="&amp;A108)</f>
        <v>143</v>
      </c>
      <c r="C108">
        <f>IF(B108=0,0,AVERAGEIF(Data!$C$2:$C$301,"&lt;="&amp;A108,Data!$K$2:$K$301))</f>
        <v>103.77382919941138</v>
      </c>
      <c r="D108">
        <f>COUNTIF(Data!$C$2:$C$301,"&gt;"&amp;A108)</f>
        <v>157</v>
      </c>
      <c r="E108">
        <f>IF(D108=0,0,AVERAGEIF(Data!$C$2:$C$301,"&gt;"&amp;A108,Data!$K$2:$K$301))</f>
        <v>116.12952643198452</v>
      </c>
      <c r="F108">
        <f>SUMPRODUCT(--(Data!$C$2:$C$301&lt;=A108),(Data!$K$2:$K$301-C108)^2)+SUMPRODUCT(--(Data!$C$2:$C$301&gt;A108),(Data!$K$2:$K$301-E108)^2)</f>
        <v>525849.09603159584</v>
      </c>
      <c r="G108">
        <f>IF(B108=0,0,SUMPRODUCT(--(Data!$C$2:$C$301&lt;=A108),SQRT(Data!$K$2:$K$301))/B108)</f>
        <v>10.028926081129624</v>
      </c>
      <c r="H108">
        <f>IF(D108=0,0,SUMPRODUCT(--(Data!$C$2:$C$301&gt;A108),SQRT(Data!$K$2:$K$301))/D108)</f>
        <v>10.599934537906627</v>
      </c>
      <c r="I108">
        <f>SUMPRODUCT(--(Data!$C$2:$C$301&lt;=A108),(SQRT(Data!$K$2:$K$301)-G108)^2)+SUMPRODUCT(--(Data!$C$2:$C$301&gt;A108),(SQRT(Data!$K$2:$K$301)-H108)^2)</f>
        <v>1048.8428659672084</v>
      </c>
      <c r="J108">
        <f t="shared" si="3"/>
        <v>1</v>
      </c>
      <c r="K108">
        <f t="shared" si="4"/>
        <v>525849.09603159584</v>
      </c>
      <c r="L108">
        <f t="shared" si="5"/>
        <v>1048.8428659672084</v>
      </c>
    </row>
    <row r="109" spans="1:12" x14ac:dyDescent="0.2">
      <c r="A109">
        <f>Data!C109</f>
        <v>63</v>
      </c>
      <c r="B109">
        <f>COUNTIF(Data!$C$2:$C$301,"&lt;="&amp;A109)</f>
        <v>291</v>
      </c>
      <c r="C109">
        <f>IF(B109=0,0,AVERAGEIF(Data!$C$2:$C$301,"&lt;="&amp;A109,Data!$K$2:$K$301))</f>
        <v>110.89400376410005</v>
      </c>
      <c r="D109">
        <f>COUNTIF(Data!$C$2:$C$301,"&gt;"&amp;A109)</f>
        <v>9</v>
      </c>
      <c r="E109">
        <f>IF(D109=0,0,AVERAGEIF(Data!$C$2:$C$301,"&gt;"&amp;A109,Data!$K$2:$K$301))</f>
        <v>89.09312555380734</v>
      </c>
      <c r="F109">
        <f>SUMPRODUCT(--(Data!$C$2:$C$301&lt;=A109),(Data!$K$2:$K$301-C109)^2)+SUMPRODUCT(--(Data!$C$2:$C$301&gt;A109),(Data!$K$2:$K$301-E109)^2)</f>
        <v>533124.72561299102</v>
      </c>
      <c r="G109">
        <f>IF(B109=0,0,SUMPRODUCT(--(Data!$C$2:$C$301&lt;=A109),SQRT(Data!$K$2:$K$301))/B109)</f>
        <v>10.357171856636104</v>
      </c>
      <c r="H109">
        <f>IF(D109=0,0,SUMPRODUCT(--(Data!$C$2:$C$301&gt;A109),SQRT(Data!$K$2:$K$301))/D109)</f>
        <v>9.3765713079746789</v>
      </c>
      <c r="I109">
        <f>SUMPRODUCT(--(Data!$C$2:$C$301&lt;=A109),(SQRT(Data!$K$2:$K$301)-G109)^2)+SUMPRODUCT(--(Data!$C$2:$C$301&gt;A109),(SQRT(Data!$K$2:$K$301)-H109)^2)</f>
        <v>1064.8488393381779</v>
      </c>
      <c r="J109">
        <f t="shared" si="3"/>
        <v>1</v>
      </c>
      <c r="K109">
        <f t="shared" si="4"/>
        <v>533124.72561299102</v>
      </c>
      <c r="L109">
        <f t="shared" si="5"/>
        <v>1064.8488393381779</v>
      </c>
    </row>
    <row r="110" spans="1:12" x14ac:dyDescent="0.2">
      <c r="A110">
        <f>Data!C110</f>
        <v>38</v>
      </c>
      <c r="B110">
        <f>COUNTIF(Data!$C$2:$C$301,"&lt;="&amp;A110)</f>
        <v>115</v>
      </c>
      <c r="C110">
        <f>IF(B110=0,0,AVERAGEIF(Data!$C$2:$C$301,"&lt;="&amp;A110,Data!$K$2:$K$301))</f>
        <v>101.18701694547781</v>
      </c>
      <c r="D110">
        <f>COUNTIF(Data!$C$2:$C$301,"&gt;"&amp;A110)</f>
        <v>185</v>
      </c>
      <c r="E110">
        <f>IF(D110=0,0,AVERAGEIF(Data!$C$2:$C$301,"&gt;"&amp;A110,Data!$K$2:$K$301))</f>
        <v>115.86749338706728</v>
      </c>
      <c r="F110">
        <f>SUMPRODUCT(--(Data!$C$2:$C$301&lt;=A110),(Data!$K$2:$K$301-C110)^2)+SUMPRODUCT(--(Data!$C$2:$C$301&gt;A110),(Data!$K$2:$K$301-E110)^2)</f>
        <v>521990.20120300131</v>
      </c>
      <c r="G110">
        <f>IF(B110=0,0,SUMPRODUCT(--(Data!$C$2:$C$301&lt;=A110),SQRT(Data!$K$2:$K$301))/B110)</f>
        <v>9.8881543625854409</v>
      </c>
      <c r="H110">
        <f>IF(D110=0,0,SUMPRODUCT(--(Data!$C$2:$C$301&gt;A110),SQRT(Data!$K$2:$K$301))/D110)</f>
        <v>10.601018380300271</v>
      </c>
      <c r="I110">
        <f>SUMPRODUCT(--(Data!$C$2:$C$301&lt;=A110),(SQRT(Data!$K$2:$K$301)-G110)^2)+SUMPRODUCT(--(Data!$C$2:$C$301&gt;A110),(SQRT(Data!$K$2:$K$301)-H110)^2)</f>
        <v>1037.2053256299796</v>
      </c>
      <c r="J110">
        <f t="shared" si="3"/>
        <v>1</v>
      </c>
      <c r="K110">
        <f t="shared" si="4"/>
        <v>521990.20120300131</v>
      </c>
      <c r="L110">
        <f t="shared" si="5"/>
        <v>1037.2053256299796</v>
      </c>
    </row>
    <row r="111" spans="1:12" x14ac:dyDescent="0.2">
      <c r="A111">
        <f>Data!C111</f>
        <v>35</v>
      </c>
      <c r="B111">
        <f>COUNTIF(Data!$C$2:$C$301,"&lt;="&amp;A111)</f>
        <v>90</v>
      </c>
      <c r="C111">
        <f>IF(B111=0,0,AVERAGEIF(Data!$C$2:$C$301,"&lt;="&amp;A111,Data!$K$2:$K$301))</f>
        <v>94.577555019098696</v>
      </c>
      <c r="D111">
        <f>COUNTIF(Data!$C$2:$C$301,"&gt;"&amp;A111)</f>
        <v>210</v>
      </c>
      <c r="E111">
        <f>IF(D111=0,0,AVERAGEIF(Data!$C$2:$C$301,"&gt;"&amp;A111,Data!$K$2:$K$301))</f>
        <v>116.95244416008815</v>
      </c>
      <c r="F111">
        <f>SUMPRODUCT(--(Data!$C$2:$C$301&lt;=A111),(Data!$K$2:$K$301-C111)^2)+SUMPRODUCT(--(Data!$C$2:$C$301&gt;A111),(Data!$K$2:$K$301-E111)^2)</f>
        <v>505733.85825464316</v>
      </c>
      <c r="G111">
        <f>IF(B111=0,0,SUMPRODUCT(--(Data!$C$2:$C$301&lt;=A111),SQRT(Data!$K$2:$K$301))/B111)</f>
        <v>9.5793805119208457</v>
      </c>
      <c r="H111">
        <f>IF(D111=0,0,SUMPRODUCT(--(Data!$C$2:$C$301&gt;A111),SQRT(Data!$K$2:$K$301))/D111)</f>
        <v>10.648485266571434</v>
      </c>
      <c r="I111">
        <f>SUMPRODUCT(--(Data!$C$2:$C$301&lt;=A111),(SQRT(Data!$K$2:$K$301)-G111)^2)+SUMPRODUCT(--(Data!$C$2:$C$301&gt;A111),(SQRT(Data!$K$2:$K$301)-H111)^2)</f>
        <v>1001.2353568405237</v>
      </c>
      <c r="J111">
        <f t="shared" si="3"/>
        <v>1</v>
      </c>
      <c r="K111">
        <f t="shared" si="4"/>
        <v>505733.85825464316</v>
      </c>
      <c r="L111">
        <f t="shared" si="5"/>
        <v>1001.2353568405237</v>
      </c>
    </row>
    <row r="112" spans="1:12" x14ac:dyDescent="0.2">
      <c r="A112">
        <f>Data!C112</f>
        <v>29</v>
      </c>
      <c r="B112">
        <f>COUNTIF(Data!$C$2:$C$301,"&lt;="&amp;A112)</f>
        <v>48</v>
      </c>
      <c r="C112">
        <f>IF(B112=0,0,AVERAGEIF(Data!$C$2:$C$301,"&lt;="&amp;A112,Data!$K$2:$K$301))</f>
        <v>84.22154017655933</v>
      </c>
      <c r="D112">
        <f>COUNTIF(Data!$C$2:$C$301,"&gt;"&amp;A112)</f>
        <v>252</v>
      </c>
      <c r="E112">
        <f>IF(D112=0,0,AVERAGEIF(Data!$C$2:$C$301,"&gt;"&amp;A112,Data!$K$2:$K$301))</f>
        <v>115.19587022564501</v>
      </c>
      <c r="F112">
        <f>SUMPRODUCT(--(Data!$C$2:$C$301&lt;=A112),(Data!$K$2:$K$301-C112)^2)+SUMPRODUCT(--(Data!$C$2:$C$301&gt;A112),(Data!$K$2:$K$301-E112)^2)</f>
        <v>498590.52929252753</v>
      </c>
      <c r="G112">
        <f>IF(B112=0,0,SUMPRODUCT(--(Data!$C$2:$C$301&lt;=A112),SQRT(Data!$K$2:$K$301))/B112)</f>
        <v>9.0494853810478695</v>
      </c>
      <c r="H112">
        <f>IF(D112=0,0,SUMPRODUCT(--(Data!$C$2:$C$301&gt;A112),SQRT(Data!$K$2:$K$301))/D112)</f>
        <v>10.571233546676904</v>
      </c>
      <c r="I112">
        <f>SUMPRODUCT(--(Data!$C$2:$C$301&lt;=A112),(SQRT(Data!$K$2:$K$301)-G112)^2)+SUMPRODUCT(--(Data!$C$2:$C$301&gt;A112),(SQRT(Data!$K$2:$K$301)-H112)^2)</f>
        <v>979.87368157747937</v>
      </c>
      <c r="J112">
        <f t="shared" si="3"/>
        <v>1</v>
      </c>
      <c r="K112">
        <f t="shared" si="4"/>
        <v>498590.52929252753</v>
      </c>
      <c r="L112">
        <f t="shared" si="5"/>
        <v>979.87368157747937</v>
      </c>
    </row>
    <row r="113" spans="1:12" x14ac:dyDescent="0.2">
      <c r="A113">
        <f>Data!C113</f>
        <v>66</v>
      </c>
      <c r="B113">
        <f>COUNTIF(Data!$C$2:$C$301,"&lt;="&amp;A113)</f>
        <v>293</v>
      </c>
      <c r="C113">
        <f>IF(B113=0,0,AVERAGEIF(Data!$C$2:$C$301,"&lt;="&amp;A113,Data!$K$2:$K$301))</f>
        <v>110.58359620054229</v>
      </c>
      <c r="D113">
        <f>COUNTIF(Data!$C$2:$C$301,"&gt;"&amp;A113)</f>
        <v>7</v>
      </c>
      <c r="E113">
        <f>IF(D113=0,0,AVERAGEIF(Data!$C$2:$C$301,"&gt;"&amp;A113,Data!$K$2:$K$301))</f>
        <v>95.857076939784392</v>
      </c>
      <c r="F113">
        <f>SUMPRODUCT(--(Data!$C$2:$C$301&lt;=A113),(Data!$K$2:$K$301-C113)^2)+SUMPRODUCT(--(Data!$C$2:$C$301&gt;A113),(Data!$K$2:$K$301-E113)^2)</f>
        <v>535791.23466474714</v>
      </c>
      <c r="G113">
        <f>IF(B113=0,0,SUMPRODUCT(--(Data!$C$2:$C$301&lt;=A113),SQRT(Data!$K$2:$K$301))/B113)</f>
        <v>10.341270607821391</v>
      </c>
      <c r="H113">
        <f>IF(D113=0,0,SUMPRODUCT(--(Data!$C$2:$C$301&gt;A113),SQRT(Data!$K$2:$K$301))/D113)</f>
        <v>9.7619805658872316</v>
      </c>
      <c r="I113">
        <f>SUMPRODUCT(--(Data!$C$2:$C$301&lt;=A113),(SQRT(Data!$K$2:$K$301)-G113)^2)+SUMPRODUCT(--(Data!$C$2:$C$301&gt;A113),(SQRT(Data!$K$2:$K$301)-H113)^2)</f>
        <v>1070.9491825882458</v>
      </c>
      <c r="J113">
        <f t="shared" si="3"/>
        <v>1</v>
      </c>
      <c r="K113">
        <f t="shared" si="4"/>
        <v>535791.23466474714</v>
      </c>
      <c r="L113">
        <f t="shared" si="5"/>
        <v>1070.9491825882458</v>
      </c>
    </row>
    <row r="114" spans="1:12" x14ac:dyDescent="0.2">
      <c r="A114">
        <f>Data!C114</f>
        <v>37</v>
      </c>
      <c r="B114">
        <f>COUNTIF(Data!$C$2:$C$301,"&lt;="&amp;A114)</f>
        <v>106</v>
      </c>
      <c r="C114">
        <f>IF(B114=0,0,AVERAGEIF(Data!$C$2:$C$301,"&lt;="&amp;A114,Data!$K$2:$K$301))</f>
        <v>97.276622779475886</v>
      </c>
      <c r="D114">
        <f>COUNTIF(Data!$C$2:$C$301,"&gt;"&amp;A114)</f>
        <v>194</v>
      </c>
      <c r="E114">
        <f>IF(D114=0,0,AVERAGEIF(Data!$C$2:$C$301,"&gt;"&amp;A114,Data!$K$2:$K$301))</f>
        <v>117.32304747790181</v>
      </c>
      <c r="F114">
        <f>SUMPRODUCT(--(Data!$C$2:$C$301&lt;=A114),(Data!$K$2:$K$301-C114)^2)+SUMPRODUCT(--(Data!$C$2:$C$301&gt;A114),(Data!$K$2:$K$301-E114)^2)</f>
        <v>509727.80035597854</v>
      </c>
      <c r="G114">
        <f>IF(B114=0,0,SUMPRODUCT(--(Data!$C$2:$C$301&lt;=A114),SQRT(Data!$K$2:$K$301))/B114)</f>
        <v>9.717465630869949</v>
      </c>
      <c r="H114">
        <f>IF(D114=0,0,SUMPRODUCT(--(Data!$C$2:$C$301&gt;A114),SQRT(Data!$K$2:$K$301))/D114)</f>
        <v>10.661210284436402</v>
      </c>
      <c r="I114">
        <f>SUMPRODUCT(--(Data!$C$2:$C$301&lt;=A114),(SQRT(Data!$K$2:$K$301)-G114)^2)+SUMPRODUCT(--(Data!$C$2:$C$301&gt;A114),(SQRT(Data!$K$2:$K$301)-H114)^2)</f>
        <v>1012.1920494800115</v>
      </c>
      <c r="J114">
        <f t="shared" si="3"/>
        <v>1</v>
      </c>
      <c r="K114">
        <f t="shared" si="4"/>
        <v>509727.80035597854</v>
      </c>
      <c r="L114">
        <f t="shared" si="5"/>
        <v>1012.1920494800115</v>
      </c>
    </row>
    <row r="115" spans="1:12" x14ac:dyDescent="0.2">
      <c r="A115">
        <f>Data!C115</f>
        <v>39</v>
      </c>
      <c r="B115">
        <f>COUNTIF(Data!$C$2:$C$301,"&lt;="&amp;A115)</f>
        <v>124</v>
      </c>
      <c r="C115">
        <f>IF(B115=0,0,AVERAGEIF(Data!$C$2:$C$301,"&lt;="&amp;A115,Data!$K$2:$K$301))</f>
        <v>102.61244696541844</v>
      </c>
      <c r="D115">
        <f>COUNTIF(Data!$C$2:$C$301,"&gt;"&amp;A115)</f>
        <v>176</v>
      </c>
      <c r="E115">
        <f>IF(D115=0,0,AVERAGEIF(Data!$C$2:$C$301,"&gt;"&amp;A115,Data!$K$2:$K$301))</f>
        <v>115.61391932741766</v>
      </c>
      <c r="F115">
        <f>SUMPRODUCT(--(Data!$C$2:$C$301&lt;=A115),(Data!$K$2:$K$301-C115)^2)+SUMPRODUCT(--(Data!$C$2:$C$301&gt;A115),(Data!$K$2:$K$301-E115)^2)</f>
        <v>524976.93342166441</v>
      </c>
      <c r="G115">
        <f>IF(B115=0,0,SUMPRODUCT(--(Data!$C$2:$C$301&lt;=A115),SQRT(Data!$K$2:$K$301))/B115)</f>
        <v>9.9647092312663439</v>
      </c>
      <c r="H115">
        <f>IF(D115=0,0,SUMPRODUCT(--(Data!$C$2:$C$301&gt;A115),SQRT(Data!$K$2:$K$301))/D115)</f>
        <v>10.583535269180963</v>
      </c>
      <c r="I115">
        <f>SUMPRODUCT(--(Data!$C$2:$C$301&lt;=A115),(SQRT(Data!$K$2:$K$301)-G115)^2)+SUMPRODUCT(--(Data!$C$2:$C$301&gt;A115),(SQRT(Data!$K$2:$K$301)-H115)^2)</f>
        <v>1045.385389696934</v>
      </c>
      <c r="J115">
        <f t="shared" si="3"/>
        <v>1</v>
      </c>
      <c r="K115">
        <f t="shared" si="4"/>
        <v>524976.93342166441</v>
      </c>
      <c r="L115">
        <f t="shared" si="5"/>
        <v>1045.385389696934</v>
      </c>
    </row>
    <row r="116" spans="1:12" x14ac:dyDescent="0.2">
      <c r="A116">
        <f>Data!C116</f>
        <v>42</v>
      </c>
      <c r="B116">
        <f>COUNTIF(Data!$C$2:$C$301,"&lt;="&amp;A116)</f>
        <v>149</v>
      </c>
      <c r="C116">
        <f>IF(B116=0,0,AVERAGEIF(Data!$C$2:$C$301,"&lt;="&amp;A116,Data!$K$2:$K$301))</f>
        <v>103.31953066485788</v>
      </c>
      <c r="D116">
        <f>COUNTIF(Data!$C$2:$C$301,"&gt;"&amp;A116)</f>
        <v>151</v>
      </c>
      <c r="E116">
        <f>IF(D116=0,0,AVERAGEIF(Data!$C$2:$C$301,"&gt;"&amp;A116,Data!$K$2:$K$301))</f>
        <v>117.06876262432831</v>
      </c>
      <c r="F116">
        <f>SUMPRODUCT(--(Data!$C$2:$C$301&lt;=A116),(Data!$K$2:$K$301-C116)^2)+SUMPRODUCT(--(Data!$C$2:$C$301&gt;A116),(Data!$K$2:$K$301-E116)^2)</f>
        <v>523096.43176843447</v>
      </c>
      <c r="G116">
        <f>IF(B116=0,0,SUMPRODUCT(--(Data!$C$2:$C$301&lt;=A116),SQRT(Data!$K$2:$K$301))/B116)</f>
        <v>10.003721880221478</v>
      </c>
      <c r="H116">
        <f>IF(D116=0,0,SUMPRODUCT(--(Data!$C$2:$C$301&gt;A116),SQRT(Data!$K$2:$K$301))/D116)</f>
        <v>10.647493986091895</v>
      </c>
      <c r="I116">
        <f>SUMPRODUCT(--(Data!$C$2:$C$301&lt;=A116),(SQRT(Data!$K$2:$K$301)-G116)^2)+SUMPRODUCT(--(Data!$C$2:$C$301&gt;A116),(SQRT(Data!$K$2:$K$301)-H116)^2)</f>
        <v>1042.1616025075816</v>
      </c>
      <c r="J116">
        <f t="shared" si="3"/>
        <v>1</v>
      </c>
      <c r="K116">
        <f t="shared" si="4"/>
        <v>523096.43176843447</v>
      </c>
      <c r="L116">
        <f t="shared" si="5"/>
        <v>1042.1616025075816</v>
      </c>
    </row>
    <row r="117" spans="1:12" x14ac:dyDescent="0.2">
      <c r="A117">
        <f>Data!C117</f>
        <v>51</v>
      </c>
      <c r="B117">
        <f>COUNTIF(Data!$C$2:$C$301,"&lt;="&amp;A117)</f>
        <v>225</v>
      </c>
      <c r="C117">
        <f>IF(B117=0,0,AVERAGEIF(Data!$C$2:$C$301,"&lt;="&amp;A117,Data!$K$2:$K$301))</f>
        <v>108.72267986087451</v>
      </c>
      <c r="D117">
        <f>COUNTIF(Data!$C$2:$C$301,"&gt;"&amp;A117)</f>
        <v>75</v>
      </c>
      <c r="E117">
        <f>IF(D117=0,0,AVERAGEIF(Data!$C$2:$C$301,"&gt;"&amp;A117,Data!$K$2:$K$301))</f>
        <v>114.79187008854169</v>
      </c>
      <c r="F117">
        <f>SUMPRODUCT(--(Data!$C$2:$C$301&lt;=A117),(Data!$K$2:$K$301-C117)^2)+SUMPRODUCT(--(Data!$C$2:$C$301&gt;A117),(Data!$K$2:$K$301-E117)^2)</f>
        <v>535201.93240254861</v>
      </c>
      <c r="G117">
        <f>IF(B117=0,0,SUMPRODUCT(--(Data!$C$2:$C$301&lt;=A117),SQRT(Data!$K$2:$K$301))/B117)</f>
        <v>10.256534206419111</v>
      </c>
      <c r="H117">
        <f>IF(D117=0,0,SUMPRODUCT(--(Data!$C$2:$C$301&gt;A117),SQRT(Data!$K$2:$K$301))/D117)</f>
        <v>10.541412741447704</v>
      </c>
      <c r="I117">
        <f>SUMPRODUCT(--(Data!$C$2:$C$301&lt;=A117),(SQRT(Data!$K$2:$K$301)-G117)^2)+SUMPRODUCT(--(Data!$C$2:$C$301&gt;A117),(SQRT(Data!$K$2:$K$301)-H117)^2)</f>
        <v>1068.6783977455111</v>
      </c>
      <c r="J117">
        <f t="shared" si="3"/>
        <v>1</v>
      </c>
      <c r="K117">
        <f t="shared" si="4"/>
        <v>535201.93240254861</v>
      </c>
      <c r="L117">
        <f t="shared" si="5"/>
        <v>1068.6783977455111</v>
      </c>
    </row>
    <row r="118" spans="1:12" x14ac:dyDescent="0.2">
      <c r="A118">
        <f>Data!C118</f>
        <v>55</v>
      </c>
      <c r="B118">
        <f>COUNTIF(Data!$C$2:$C$301,"&lt;="&amp;A118)</f>
        <v>254</v>
      </c>
      <c r="C118">
        <f>IF(B118=0,0,AVERAGEIF(Data!$C$2:$C$301,"&lt;="&amp;A118,Data!$K$2:$K$301))</f>
        <v>109.04767359994145</v>
      </c>
      <c r="D118">
        <f>COUNTIF(Data!$C$2:$C$301,"&gt;"&amp;A118)</f>
        <v>46</v>
      </c>
      <c r="E118">
        <f>IF(D118=0,0,AVERAGEIF(Data!$C$2:$C$301,"&gt;"&amp;A118,Data!$K$2:$K$301))</f>
        <v>116.82356806417974</v>
      </c>
      <c r="F118">
        <f>SUMPRODUCT(--(Data!$C$2:$C$301&lt;=A118),(Data!$K$2:$K$301-C118)^2)+SUMPRODUCT(--(Data!$C$2:$C$301&gt;A118),(Data!$K$2:$K$301-E118)^2)</f>
        <v>534919.01301229745</v>
      </c>
      <c r="G118">
        <f>IF(B118=0,0,SUMPRODUCT(--(Data!$C$2:$C$301&lt;=A118),SQRT(Data!$K$2:$K$301))/B118)</f>
        <v>10.278944478092541</v>
      </c>
      <c r="H118">
        <f>IF(D118=0,0,SUMPRODUCT(--(Data!$C$2:$C$301&gt;A118),SQRT(Data!$K$2:$K$301))/D118)</f>
        <v>10.597266404725501</v>
      </c>
      <c r="I118">
        <f>SUMPRODUCT(--(Data!$C$2:$C$301&lt;=A118),(SQRT(Data!$K$2:$K$301)-G118)^2)+SUMPRODUCT(--(Data!$C$2:$C$301&gt;A118),(SQRT(Data!$K$2:$K$301)-H118)^2)</f>
        <v>1069.2969894500063</v>
      </c>
      <c r="J118">
        <f t="shared" si="3"/>
        <v>1</v>
      </c>
      <c r="K118">
        <f t="shared" si="4"/>
        <v>534919.01301229745</v>
      </c>
      <c r="L118">
        <f t="shared" si="5"/>
        <v>1069.2969894500063</v>
      </c>
    </row>
    <row r="119" spans="1:12" x14ac:dyDescent="0.2">
      <c r="A119">
        <f>Data!C119</f>
        <v>51</v>
      </c>
      <c r="B119">
        <f>COUNTIF(Data!$C$2:$C$301,"&lt;="&amp;A119)</f>
        <v>225</v>
      </c>
      <c r="C119">
        <f>IF(B119=0,0,AVERAGEIF(Data!$C$2:$C$301,"&lt;="&amp;A119,Data!$K$2:$K$301))</f>
        <v>108.72267986087451</v>
      </c>
      <c r="D119">
        <f>COUNTIF(Data!$C$2:$C$301,"&gt;"&amp;A119)</f>
        <v>75</v>
      </c>
      <c r="E119">
        <f>IF(D119=0,0,AVERAGEIF(Data!$C$2:$C$301,"&gt;"&amp;A119,Data!$K$2:$K$301))</f>
        <v>114.79187008854169</v>
      </c>
      <c r="F119">
        <f>SUMPRODUCT(--(Data!$C$2:$C$301&lt;=A119),(Data!$K$2:$K$301-C119)^2)+SUMPRODUCT(--(Data!$C$2:$C$301&gt;A119),(Data!$K$2:$K$301-E119)^2)</f>
        <v>535201.93240254861</v>
      </c>
      <c r="G119">
        <f>IF(B119=0,0,SUMPRODUCT(--(Data!$C$2:$C$301&lt;=A119),SQRT(Data!$K$2:$K$301))/B119)</f>
        <v>10.256534206419111</v>
      </c>
      <c r="H119">
        <f>IF(D119=0,0,SUMPRODUCT(--(Data!$C$2:$C$301&gt;A119),SQRT(Data!$K$2:$K$301))/D119)</f>
        <v>10.541412741447704</v>
      </c>
      <c r="I119">
        <f>SUMPRODUCT(--(Data!$C$2:$C$301&lt;=A119),(SQRT(Data!$K$2:$K$301)-G119)^2)+SUMPRODUCT(--(Data!$C$2:$C$301&gt;A119),(SQRT(Data!$K$2:$K$301)-H119)^2)</f>
        <v>1068.6783977455111</v>
      </c>
      <c r="J119">
        <f t="shared" si="3"/>
        <v>1</v>
      </c>
      <c r="K119">
        <f t="shared" si="4"/>
        <v>535201.93240254861</v>
      </c>
      <c r="L119">
        <f t="shared" si="5"/>
        <v>1068.6783977455111</v>
      </c>
    </row>
    <row r="120" spans="1:12" x14ac:dyDescent="0.2">
      <c r="A120">
        <f>Data!C120</f>
        <v>38</v>
      </c>
      <c r="B120">
        <f>COUNTIF(Data!$C$2:$C$301,"&lt;="&amp;A120)</f>
        <v>115</v>
      </c>
      <c r="C120">
        <f>IF(B120=0,0,AVERAGEIF(Data!$C$2:$C$301,"&lt;="&amp;A120,Data!$K$2:$K$301))</f>
        <v>101.18701694547781</v>
      </c>
      <c r="D120">
        <f>COUNTIF(Data!$C$2:$C$301,"&gt;"&amp;A120)</f>
        <v>185</v>
      </c>
      <c r="E120">
        <f>IF(D120=0,0,AVERAGEIF(Data!$C$2:$C$301,"&gt;"&amp;A120,Data!$K$2:$K$301))</f>
        <v>115.86749338706728</v>
      </c>
      <c r="F120">
        <f>SUMPRODUCT(--(Data!$C$2:$C$301&lt;=A120),(Data!$K$2:$K$301-C120)^2)+SUMPRODUCT(--(Data!$C$2:$C$301&gt;A120),(Data!$K$2:$K$301-E120)^2)</f>
        <v>521990.20120300131</v>
      </c>
      <c r="G120">
        <f>IF(B120=0,0,SUMPRODUCT(--(Data!$C$2:$C$301&lt;=A120),SQRT(Data!$K$2:$K$301))/B120)</f>
        <v>9.8881543625854409</v>
      </c>
      <c r="H120">
        <f>IF(D120=0,0,SUMPRODUCT(--(Data!$C$2:$C$301&gt;A120),SQRT(Data!$K$2:$K$301))/D120)</f>
        <v>10.601018380300271</v>
      </c>
      <c r="I120">
        <f>SUMPRODUCT(--(Data!$C$2:$C$301&lt;=A120),(SQRT(Data!$K$2:$K$301)-G120)^2)+SUMPRODUCT(--(Data!$C$2:$C$301&gt;A120),(SQRT(Data!$K$2:$K$301)-H120)^2)</f>
        <v>1037.2053256299796</v>
      </c>
      <c r="J120">
        <f t="shared" si="3"/>
        <v>1</v>
      </c>
      <c r="K120">
        <f t="shared" si="4"/>
        <v>521990.20120300131</v>
      </c>
      <c r="L120">
        <f t="shared" si="5"/>
        <v>1037.2053256299796</v>
      </c>
    </row>
    <row r="121" spans="1:12" x14ac:dyDescent="0.2">
      <c r="A121">
        <f>Data!C121</f>
        <v>49</v>
      </c>
      <c r="B121">
        <f>COUNTIF(Data!$C$2:$C$301,"&lt;="&amp;A121)</f>
        <v>212</v>
      </c>
      <c r="C121">
        <f>IF(B121=0,0,AVERAGEIF(Data!$C$2:$C$301,"&lt;="&amp;A121,Data!$K$2:$K$301))</f>
        <v>108.2928321953428</v>
      </c>
      <c r="D121">
        <f>COUNTIF(Data!$C$2:$C$301,"&gt;"&amp;A121)</f>
        <v>88</v>
      </c>
      <c r="E121">
        <f>IF(D121=0,0,AVERAGEIF(Data!$C$2:$C$301,"&gt;"&amp;A121,Data!$K$2:$K$301))</f>
        <v>114.93082727187185</v>
      </c>
      <c r="F121">
        <f>SUMPRODUCT(--(Data!$C$2:$C$301&lt;=A121),(Data!$K$2:$K$301-C121)^2)+SUMPRODUCT(--(Data!$C$2:$C$301&gt;A121),(Data!$K$2:$K$301-E121)^2)</f>
        <v>534533.77532637282</v>
      </c>
      <c r="G121">
        <f>IF(B121=0,0,SUMPRODUCT(--(Data!$C$2:$C$301&lt;=A121),SQRT(Data!$K$2:$K$301))/B121)</f>
        <v>10.238914021322245</v>
      </c>
      <c r="H121">
        <f>IF(D121=0,0,SUMPRODUCT(--(Data!$C$2:$C$301&gt;A121),SQRT(Data!$K$2:$K$301))/D121)</f>
        <v>10.54177704014274</v>
      </c>
      <c r="I121">
        <f>SUMPRODUCT(--(Data!$C$2:$C$301&lt;=A121),(SQRT(Data!$K$2:$K$301)-G121)^2)+SUMPRODUCT(--(Data!$C$2:$C$301&gt;A121),(SQRT(Data!$K$2:$K$301)-H121)^2)</f>
        <v>1067.5392756600895</v>
      </c>
      <c r="J121">
        <f t="shared" si="3"/>
        <v>1</v>
      </c>
      <c r="K121">
        <f t="shared" si="4"/>
        <v>534533.77532637282</v>
      </c>
      <c r="L121">
        <f t="shared" si="5"/>
        <v>1067.5392756600895</v>
      </c>
    </row>
    <row r="122" spans="1:12" x14ac:dyDescent="0.2">
      <c r="A122">
        <f>Data!C122</f>
        <v>42</v>
      </c>
      <c r="B122">
        <f>COUNTIF(Data!$C$2:$C$301,"&lt;="&amp;A122)</f>
        <v>149</v>
      </c>
      <c r="C122">
        <f>IF(B122=0,0,AVERAGEIF(Data!$C$2:$C$301,"&lt;="&amp;A122,Data!$K$2:$K$301))</f>
        <v>103.31953066485788</v>
      </c>
      <c r="D122">
        <f>COUNTIF(Data!$C$2:$C$301,"&gt;"&amp;A122)</f>
        <v>151</v>
      </c>
      <c r="E122">
        <f>IF(D122=0,0,AVERAGEIF(Data!$C$2:$C$301,"&gt;"&amp;A122,Data!$K$2:$K$301))</f>
        <v>117.06876262432831</v>
      </c>
      <c r="F122">
        <f>SUMPRODUCT(--(Data!$C$2:$C$301&lt;=A122),(Data!$K$2:$K$301-C122)^2)+SUMPRODUCT(--(Data!$C$2:$C$301&gt;A122),(Data!$K$2:$K$301-E122)^2)</f>
        <v>523096.43176843447</v>
      </c>
      <c r="G122">
        <f>IF(B122=0,0,SUMPRODUCT(--(Data!$C$2:$C$301&lt;=A122),SQRT(Data!$K$2:$K$301))/B122)</f>
        <v>10.003721880221478</v>
      </c>
      <c r="H122">
        <f>IF(D122=0,0,SUMPRODUCT(--(Data!$C$2:$C$301&gt;A122),SQRT(Data!$K$2:$K$301))/D122)</f>
        <v>10.647493986091895</v>
      </c>
      <c r="I122">
        <f>SUMPRODUCT(--(Data!$C$2:$C$301&lt;=A122),(SQRT(Data!$K$2:$K$301)-G122)^2)+SUMPRODUCT(--(Data!$C$2:$C$301&gt;A122),(SQRT(Data!$K$2:$K$301)-H122)^2)</f>
        <v>1042.1616025075816</v>
      </c>
      <c r="J122">
        <f t="shared" si="3"/>
        <v>1</v>
      </c>
      <c r="K122">
        <f t="shared" si="4"/>
        <v>523096.43176843447</v>
      </c>
      <c r="L122">
        <f t="shared" si="5"/>
        <v>1042.1616025075816</v>
      </c>
    </row>
    <row r="123" spans="1:12" x14ac:dyDescent="0.2">
      <c r="A123">
        <f>Data!C123</f>
        <v>43</v>
      </c>
      <c r="B123">
        <f>COUNTIF(Data!$C$2:$C$301,"&lt;="&amp;A123)</f>
        <v>161</v>
      </c>
      <c r="C123">
        <f>IF(B123=0,0,AVERAGEIF(Data!$C$2:$C$301,"&lt;="&amp;A123,Data!$K$2:$K$301))</f>
        <v>105.8730068010875</v>
      </c>
      <c r="D123">
        <f>COUNTIF(Data!$C$2:$C$301,"&gt;"&amp;A123)</f>
        <v>139</v>
      </c>
      <c r="E123">
        <f>IF(D123=0,0,AVERAGEIF(Data!$C$2:$C$301,"&gt;"&amp;A123,Data!$K$2:$K$301))</f>
        <v>115.29812324001665</v>
      </c>
      <c r="F123">
        <f>SUMPRODUCT(--(Data!$C$2:$C$301&lt;=A123),(Data!$K$2:$K$301-C123)^2)+SUMPRODUCT(--(Data!$C$2:$C$301&gt;A123),(Data!$K$2:$K$301-E123)^2)</f>
        <v>530647.27283695317</v>
      </c>
      <c r="G123">
        <f>IF(B123=0,0,SUMPRODUCT(--(Data!$C$2:$C$301&lt;=A123),SQRT(Data!$K$2:$K$301))/B123)</f>
        <v>10.108069640250404</v>
      </c>
      <c r="H123">
        <f>IF(D123=0,0,SUMPRODUCT(--(Data!$C$2:$C$301&gt;A123),SQRT(Data!$K$2:$K$301))/D123)</f>
        <v>10.582208201241452</v>
      </c>
      <c r="I123">
        <f>SUMPRODUCT(--(Data!$C$2:$C$301&lt;=A123),(SQRT(Data!$K$2:$K$301)-G123)^2)+SUMPRODUCT(--(Data!$C$2:$C$301&gt;A123),(SQRT(Data!$K$2:$K$301)-H123)^2)</f>
        <v>1056.4735295362882</v>
      </c>
      <c r="J123">
        <f t="shared" si="3"/>
        <v>1</v>
      </c>
      <c r="K123">
        <f t="shared" si="4"/>
        <v>530647.27283695317</v>
      </c>
      <c r="L123">
        <f t="shared" si="5"/>
        <v>1056.4735295362882</v>
      </c>
    </row>
    <row r="124" spans="1:12" x14ac:dyDescent="0.2">
      <c r="A124">
        <f>Data!C124</f>
        <v>38</v>
      </c>
      <c r="B124">
        <f>COUNTIF(Data!$C$2:$C$301,"&lt;="&amp;A124)</f>
        <v>115</v>
      </c>
      <c r="C124">
        <f>IF(B124=0,0,AVERAGEIF(Data!$C$2:$C$301,"&lt;="&amp;A124,Data!$K$2:$K$301))</f>
        <v>101.18701694547781</v>
      </c>
      <c r="D124">
        <f>COUNTIF(Data!$C$2:$C$301,"&gt;"&amp;A124)</f>
        <v>185</v>
      </c>
      <c r="E124">
        <f>IF(D124=0,0,AVERAGEIF(Data!$C$2:$C$301,"&gt;"&amp;A124,Data!$K$2:$K$301))</f>
        <v>115.86749338706728</v>
      </c>
      <c r="F124">
        <f>SUMPRODUCT(--(Data!$C$2:$C$301&lt;=A124),(Data!$K$2:$K$301-C124)^2)+SUMPRODUCT(--(Data!$C$2:$C$301&gt;A124),(Data!$K$2:$K$301-E124)^2)</f>
        <v>521990.20120300131</v>
      </c>
      <c r="G124">
        <f>IF(B124=0,0,SUMPRODUCT(--(Data!$C$2:$C$301&lt;=A124),SQRT(Data!$K$2:$K$301))/B124)</f>
        <v>9.8881543625854409</v>
      </c>
      <c r="H124">
        <f>IF(D124=0,0,SUMPRODUCT(--(Data!$C$2:$C$301&gt;A124),SQRT(Data!$K$2:$K$301))/D124)</f>
        <v>10.601018380300271</v>
      </c>
      <c r="I124">
        <f>SUMPRODUCT(--(Data!$C$2:$C$301&lt;=A124),(SQRT(Data!$K$2:$K$301)-G124)^2)+SUMPRODUCT(--(Data!$C$2:$C$301&gt;A124),(SQRT(Data!$K$2:$K$301)-H124)^2)</f>
        <v>1037.2053256299796</v>
      </c>
      <c r="J124">
        <f t="shared" si="3"/>
        <v>1</v>
      </c>
      <c r="K124">
        <f t="shared" si="4"/>
        <v>521990.20120300131</v>
      </c>
      <c r="L124">
        <f t="shared" si="5"/>
        <v>1037.2053256299796</v>
      </c>
    </row>
    <row r="125" spans="1:12" x14ac:dyDescent="0.2">
      <c r="A125">
        <f>Data!C125</f>
        <v>59</v>
      </c>
      <c r="B125">
        <f>COUNTIF(Data!$C$2:$C$301,"&lt;="&amp;A125)</f>
        <v>275</v>
      </c>
      <c r="C125">
        <f>IF(B125=0,0,AVERAGEIF(Data!$C$2:$C$301,"&lt;="&amp;A125,Data!$K$2:$K$301))</f>
        <v>109.74883200032075</v>
      </c>
      <c r="D125">
        <f>COUNTIF(Data!$C$2:$C$301,"&gt;"&amp;A125)</f>
        <v>25</v>
      </c>
      <c r="E125">
        <f>IF(D125=0,0,AVERAGEIF(Data!$C$2:$C$301,"&gt;"&amp;A125,Data!$K$2:$K$301))</f>
        <v>115.6425770099673</v>
      </c>
      <c r="F125">
        <f>SUMPRODUCT(--(Data!$C$2:$C$301&lt;=A125),(Data!$K$2:$K$301-C125)^2)+SUMPRODUCT(--(Data!$C$2:$C$301&gt;A125),(Data!$K$2:$K$301-E125)^2)</f>
        <v>536477.86648151395</v>
      </c>
      <c r="G125">
        <f>IF(B125=0,0,SUMPRODUCT(--(Data!$C$2:$C$301&lt;=A125),SQRT(Data!$K$2:$K$301))/B125)</f>
        <v>10.313770639659154</v>
      </c>
      <c r="H125">
        <f>IF(D125=0,0,SUMPRODUCT(--(Data!$C$2:$C$301&gt;A125),SQRT(Data!$K$2:$K$301))/D125)</f>
        <v>10.48156904586445</v>
      </c>
      <c r="I125">
        <f>SUMPRODUCT(--(Data!$C$2:$C$301&lt;=A125),(SQRT(Data!$K$2:$K$301)-G125)^2)+SUMPRODUCT(--(Data!$C$2:$C$301&gt;A125),(SQRT(Data!$K$2:$K$301)-H125)^2)</f>
        <v>1072.5981616956467</v>
      </c>
      <c r="J125">
        <f t="shared" si="3"/>
        <v>1</v>
      </c>
      <c r="K125">
        <f t="shared" si="4"/>
        <v>536477.86648151395</v>
      </c>
      <c r="L125">
        <f t="shared" si="5"/>
        <v>1072.5981616956467</v>
      </c>
    </row>
    <row r="126" spans="1:12" x14ac:dyDescent="0.2">
      <c r="A126">
        <f>Data!C126</f>
        <v>57</v>
      </c>
      <c r="B126">
        <f>COUNTIF(Data!$C$2:$C$301,"&lt;="&amp;A126)</f>
        <v>265</v>
      </c>
      <c r="C126">
        <f>IF(B126=0,0,AVERAGEIF(Data!$C$2:$C$301,"&lt;="&amp;A126,Data!$K$2:$K$301))</f>
        <v>109.5479445097443</v>
      </c>
      <c r="D126">
        <f>COUNTIF(Data!$C$2:$C$301,"&gt;"&amp;A126)</f>
        <v>35</v>
      </c>
      <c r="E126">
        <f>IF(D126=0,0,AVERAGEIF(Data!$C$2:$C$301,"&gt;"&amp;A126,Data!$K$2:$K$301))</f>
        <v>115.47965515014717</v>
      </c>
      <c r="F126">
        <f>SUMPRODUCT(--(Data!$C$2:$C$301&lt;=A126),(Data!$K$2:$K$301-C126)^2)+SUMPRODUCT(--(Data!$C$2:$C$301&gt;A126),(Data!$K$2:$K$301-E126)^2)</f>
        <v>536186.09626564709</v>
      </c>
      <c r="G126">
        <f>IF(B126=0,0,SUMPRODUCT(--(Data!$C$2:$C$301&lt;=A126),SQRT(Data!$K$2:$K$301))/B126)</f>
        <v>10.304192105093877</v>
      </c>
      <c r="H126">
        <f>IF(D126=0,0,SUMPRODUCT(--(Data!$C$2:$C$301&gt;A126),SQRT(Data!$K$2:$K$301))/D126)</f>
        <v>10.506149834371465</v>
      </c>
      <c r="I126">
        <f>SUMPRODUCT(--(Data!$C$2:$C$301&lt;=A126),(SQRT(Data!$K$2:$K$301)-G126)^2)+SUMPRODUCT(--(Data!$C$2:$C$301&gt;A126),(SQRT(Data!$K$2:$K$301)-H126)^2)</f>
        <v>1071.9824146082685</v>
      </c>
      <c r="J126">
        <f t="shared" si="3"/>
        <v>1</v>
      </c>
      <c r="K126">
        <f t="shared" si="4"/>
        <v>536186.09626564709</v>
      </c>
      <c r="L126">
        <f t="shared" si="5"/>
        <v>1071.9824146082685</v>
      </c>
    </row>
    <row r="127" spans="1:12" x14ac:dyDescent="0.2">
      <c r="A127">
        <f>Data!C127</f>
        <v>25</v>
      </c>
      <c r="B127">
        <f>COUNTIF(Data!$C$2:$C$301,"&lt;="&amp;A127)</f>
        <v>25</v>
      </c>
      <c r="C127">
        <f>IF(B127=0,0,AVERAGEIF(Data!$C$2:$C$301,"&lt;="&amp;A127,Data!$K$2:$K$301))</f>
        <v>71.145225507852857</v>
      </c>
      <c r="D127">
        <f>COUNTIF(Data!$C$2:$C$301,"&gt;"&amp;A127)</f>
        <v>275</v>
      </c>
      <c r="E127">
        <f>IF(D127=0,0,AVERAGEIF(Data!$C$2:$C$301,"&gt;"&amp;A127,Data!$K$2:$K$301))</f>
        <v>113.79404577324024</v>
      </c>
      <c r="F127">
        <f>SUMPRODUCT(--(Data!$C$2:$C$301&lt;=A127),(Data!$K$2:$K$301-C127)^2)+SUMPRODUCT(--(Data!$C$2:$C$301&gt;A127),(Data!$K$2:$K$301-E127)^2)</f>
        <v>495590.27890297974</v>
      </c>
      <c r="G127">
        <f>IF(B127=0,0,SUMPRODUCT(--(Data!$C$2:$C$301&lt;=A127),SQRT(Data!$K$2:$K$301))/B127)</f>
        <v>8.3640861015010071</v>
      </c>
      <c r="H127">
        <f>IF(D127=0,0,SUMPRODUCT(--(Data!$C$2:$C$301&gt;A127),SQRT(Data!$K$2:$K$301))/D127)</f>
        <v>10.506269089146738</v>
      </c>
      <c r="I127">
        <f>SUMPRODUCT(--(Data!$C$2:$C$301&lt;=A127),(SQRT(Data!$K$2:$K$301)-G127)^2)+SUMPRODUCT(--(Data!$C$2:$C$301&gt;A127),(SQRT(Data!$K$2:$K$301)-H127)^2)</f>
        <v>968.08001977529261</v>
      </c>
      <c r="J127">
        <f t="shared" si="3"/>
        <v>1</v>
      </c>
      <c r="K127">
        <f t="shared" si="4"/>
        <v>495590.27890297974</v>
      </c>
      <c r="L127">
        <f t="shared" si="5"/>
        <v>968.08001977529261</v>
      </c>
    </row>
    <row r="128" spans="1:12" x14ac:dyDescent="0.2">
      <c r="A128">
        <f>Data!C128</f>
        <v>49</v>
      </c>
      <c r="B128">
        <f>COUNTIF(Data!$C$2:$C$301,"&lt;="&amp;A128)</f>
        <v>212</v>
      </c>
      <c r="C128">
        <f>IF(B128=0,0,AVERAGEIF(Data!$C$2:$C$301,"&lt;="&amp;A128,Data!$K$2:$K$301))</f>
        <v>108.2928321953428</v>
      </c>
      <c r="D128">
        <f>COUNTIF(Data!$C$2:$C$301,"&gt;"&amp;A128)</f>
        <v>88</v>
      </c>
      <c r="E128">
        <f>IF(D128=0,0,AVERAGEIF(Data!$C$2:$C$301,"&gt;"&amp;A128,Data!$K$2:$K$301))</f>
        <v>114.93082727187185</v>
      </c>
      <c r="F128">
        <f>SUMPRODUCT(--(Data!$C$2:$C$301&lt;=A128),(Data!$K$2:$K$301-C128)^2)+SUMPRODUCT(--(Data!$C$2:$C$301&gt;A128),(Data!$K$2:$K$301-E128)^2)</f>
        <v>534533.77532637282</v>
      </c>
      <c r="G128">
        <f>IF(B128=0,0,SUMPRODUCT(--(Data!$C$2:$C$301&lt;=A128),SQRT(Data!$K$2:$K$301))/B128)</f>
        <v>10.238914021322245</v>
      </c>
      <c r="H128">
        <f>IF(D128=0,0,SUMPRODUCT(--(Data!$C$2:$C$301&gt;A128),SQRT(Data!$K$2:$K$301))/D128)</f>
        <v>10.54177704014274</v>
      </c>
      <c r="I128">
        <f>SUMPRODUCT(--(Data!$C$2:$C$301&lt;=A128),(SQRT(Data!$K$2:$K$301)-G128)^2)+SUMPRODUCT(--(Data!$C$2:$C$301&gt;A128),(SQRT(Data!$K$2:$K$301)-H128)^2)</f>
        <v>1067.5392756600895</v>
      </c>
      <c r="J128">
        <f t="shared" si="3"/>
        <v>1</v>
      </c>
      <c r="K128">
        <f t="shared" si="4"/>
        <v>534533.77532637282</v>
      </c>
      <c r="L128">
        <f t="shared" si="5"/>
        <v>1067.5392756600895</v>
      </c>
    </row>
    <row r="129" spans="1:12" x14ac:dyDescent="0.2">
      <c r="A129">
        <f>Data!C129</f>
        <v>41</v>
      </c>
      <c r="B129">
        <f>COUNTIF(Data!$C$2:$C$301,"&lt;="&amp;A129)</f>
        <v>143</v>
      </c>
      <c r="C129">
        <f>IF(B129=0,0,AVERAGEIF(Data!$C$2:$C$301,"&lt;="&amp;A129,Data!$K$2:$K$301))</f>
        <v>103.77382919941138</v>
      </c>
      <c r="D129">
        <f>COUNTIF(Data!$C$2:$C$301,"&gt;"&amp;A129)</f>
        <v>157</v>
      </c>
      <c r="E129">
        <f>IF(D129=0,0,AVERAGEIF(Data!$C$2:$C$301,"&gt;"&amp;A129,Data!$K$2:$K$301))</f>
        <v>116.12952643198452</v>
      </c>
      <c r="F129">
        <f>SUMPRODUCT(--(Data!$C$2:$C$301&lt;=A129),(Data!$K$2:$K$301-C129)^2)+SUMPRODUCT(--(Data!$C$2:$C$301&gt;A129),(Data!$K$2:$K$301-E129)^2)</f>
        <v>525849.09603159584</v>
      </c>
      <c r="G129">
        <f>IF(B129=0,0,SUMPRODUCT(--(Data!$C$2:$C$301&lt;=A129),SQRT(Data!$K$2:$K$301))/B129)</f>
        <v>10.028926081129624</v>
      </c>
      <c r="H129">
        <f>IF(D129=0,0,SUMPRODUCT(--(Data!$C$2:$C$301&gt;A129),SQRT(Data!$K$2:$K$301))/D129)</f>
        <v>10.599934537906627</v>
      </c>
      <c r="I129">
        <f>SUMPRODUCT(--(Data!$C$2:$C$301&lt;=A129),(SQRT(Data!$K$2:$K$301)-G129)^2)+SUMPRODUCT(--(Data!$C$2:$C$301&gt;A129),(SQRT(Data!$K$2:$K$301)-H129)^2)</f>
        <v>1048.8428659672084</v>
      </c>
      <c r="J129">
        <f t="shared" si="3"/>
        <v>1</v>
      </c>
      <c r="K129">
        <f t="shared" si="4"/>
        <v>525849.09603159584</v>
      </c>
      <c r="L129">
        <f t="shared" si="5"/>
        <v>1048.8428659672084</v>
      </c>
    </row>
    <row r="130" spans="1:12" x14ac:dyDescent="0.2">
      <c r="A130">
        <f>Data!C130</f>
        <v>38</v>
      </c>
      <c r="B130">
        <f>COUNTIF(Data!$C$2:$C$301,"&lt;="&amp;A130)</f>
        <v>115</v>
      </c>
      <c r="C130">
        <f>IF(B130=0,0,AVERAGEIF(Data!$C$2:$C$301,"&lt;="&amp;A130,Data!$K$2:$K$301))</f>
        <v>101.18701694547781</v>
      </c>
      <c r="D130">
        <f>COUNTIF(Data!$C$2:$C$301,"&gt;"&amp;A130)</f>
        <v>185</v>
      </c>
      <c r="E130">
        <f>IF(D130=0,0,AVERAGEIF(Data!$C$2:$C$301,"&gt;"&amp;A130,Data!$K$2:$K$301))</f>
        <v>115.86749338706728</v>
      </c>
      <c r="F130">
        <f>SUMPRODUCT(--(Data!$C$2:$C$301&lt;=A130),(Data!$K$2:$K$301-C130)^2)+SUMPRODUCT(--(Data!$C$2:$C$301&gt;A130),(Data!$K$2:$K$301-E130)^2)</f>
        <v>521990.20120300131</v>
      </c>
      <c r="G130">
        <f>IF(B130=0,0,SUMPRODUCT(--(Data!$C$2:$C$301&lt;=A130),SQRT(Data!$K$2:$K$301))/B130)</f>
        <v>9.8881543625854409</v>
      </c>
      <c r="H130">
        <f>IF(D130=0,0,SUMPRODUCT(--(Data!$C$2:$C$301&gt;A130),SQRT(Data!$K$2:$K$301))/D130)</f>
        <v>10.601018380300271</v>
      </c>
      <c r="I130">
        <f>SUMPRODUCT(--(Data!$C$2:$C$301&lt;=A130),(SQRT(Data!$K$2:$K$301)-G130)^2)+SUMPRODUCT(--(Data!$C$2:$C$301&gt;A130),(SQRT(Data!$K$2:$K$301)-H130)^2)</f>
        <v>1037.2053256299796</v>
      </c>
      <c r="J130">
        <f t="shared" ref="J130:J193" si="6">IF(AND(B130&gt;0,D130&gt;0),1,0)</f>
        <v>1</v>
      </c>
      <c r="K130">
        <f t="shared" ref="K130:K193" si="7">IF(J130=1,F130,1E+99)</f>
        <v>521990.20120300131</v>
      </c>
      <c r="L130">
        <f t="shared" ref="L130:L193" si="8">IF(J130=1,I130,1E+99)</f>
        <v>1037.2053256299796</v>
      </c>
    </row>
    <row r="131" spans="1:12" x14ac:dyDescent="0.2">
      <c r="A131">
        <f>Data!C131</f>
        <v>61</v>
      </c>
      <c r="B131">
        <f>COUNTIF(Data!$C$2:$C$301,"&lt;="&amp;A131)</f>
        <v>285</v>
      </c>
      <c r="C131">
        <f>IF(B131=0,0,AVERAGEIF(Data!$C$2:$C$301,"&lt;="&amp;A131,Data!$K$2:$K$301))</f>
        <v>110.45760116752029</v>
      </c>
      <c r="D131">
        <f>COUNTIF(Data!$C$2:$C$301,"&gt;"&amp;A131)</f>
        <v>15</v>
      </c>
      <c r="E131">
        <f>IF(D131=0,0,AVERAGEIF(Data!$C$2:$C$301,"&gt;"&amp;A131,Data!$K$2:$K$301))</f>
        <v>106.10512617294009</v>
      </c>
      <c r="F131">
        <f>SUMPRODUCT(--(Data!$C$2:$C$301&lt;=A131),(Data!$K$2:$K$301-C131)^2)+SUMPRODUCT(--(Data!$C$2:$C$301&gt;A131),(Data!$K$2:$K$301-E131)^2)</f>
        <v>537003.95254140918</v>
      </c>
      <c r="G131">
        <f>IF(B131=0,0,SUMPRODUCT(--(Data!$C$2:$C$301&lt;=A131),SQRT(Data!$K$2:$K$301))/B131)</f>
        <v>10.34332736769888</v>
      </c>
      <c r="H131">
        <f>IF(D131=0,0,SUMPRODUCT(--(Data!$C$2:$C$301&gt;A131),SQRT(Data!$K$2:$K$301))/D131)</f>
        <v>10.031856817246561</v>
      </c>
      <c r="I131">
        <f>SUMPRODUCT(--(Data!$C$2:$C$301&lt;=A131),(SQRT(Data!$K$2:$K$301)-G131)^2)+SUMPRODUCT(--(Data!$C$2:$C$301&gt;A131),(SQRT(Data!$K$2:$K$301)-H131)^2)</f>
        <v>1071.8609622256272</v>
      </c>
      <c r="J131">
        <f t="shared" si="6"/>
        <v>1</v>
      </c>
      <c r="K131">
        <f t="shared" si="7"/>
        <v>537003.95254140918</v>
      </c>
      <c r="L131">
        <f t="shared" si="8"/>
        <v>1071.8609622256272</v>
      </c>
    </row>
    <row r="132" spans="1:12" x14ac:dyDescent="0.2">
      <c r="A132">
        <f>Data!C132</f>
        <v>49</v>
      </c>
      <c r="B132">
        <f>COUNTIF(Data!$C$2:$C$301,"&lt;="&amp;A132)</f>
        <v>212</v>
      </c>
      <c r="C132">
        <f>IF(B132=0,0,AVERAGEIF(Data!$C$2:$C$301,"&lt;="&amp;A132,Data!$K$2:$K$301))</f>
        <v>108.2928321953428</v>
      </c>
      <c r="D132">
        <f>COUNTIF(Data!$C$2:$C$301,"&gt;"&amp;A132)</f>
        <v>88</v>
      </c>
      <c r="E132">
        <f>IF(D132=0,0,AVERAGEIF(Data!$C$2:$C$301,"&gt;"&amp;A132,Data!$K$2:$K$301))</f>
        <v>114.93082727187185</v>
      </c>
      <c r="F132">
        <f>SUMPRODUCT(--(Data!$C$2:$C$301&lt;=A132),(Data!$K$2:$K$301-C132)^2)+SUMPRODUCT(--(Data!$C$2:$C$301&gt;A132),(Data!$K$2:$K$301-E132)^2)</f>
        <v>534533.77532637282</v>
      </c>
      <c r="G132">
        <f>IF(B132=0,0,SUMPRODUCT(--(Data!$C$2:$C$301&lt;=A132),SQRT(Data!$K$2:$K$301))/B132)</f>
        <v>10.238914021322245</v>
      </c>
      <c r="H132">
        <f>IF(D132=0,0,SUMPRODUCT(--(Data!$C$2:$C$301&gt;A132),SQRT(Data!$K$2:$K$301))/D132)</f>
        <v>10.54177704014274</v>
      </c>
      <c r="I132">
        <f>SUMPRODUCT(--(Data!$C$2:$C$301&lt;=A132),(SQRT(Data!$K$2:$K$301)-G132)^2)+SUMPRODUCT(--(Data!$C$2:$C$301&gt;A132),(SQRT(Data!$K$2:$K$301)-H132)^2)</f>
        <v>1067.5392756600895</v>
      </c>
      <c r="J132">
        <f t="shared" si="6"/>
        <v>1</v>
      </c>
      <c r="K132">
        <f t="shared" si="7"/>
        <v>534533.77532637282</v>
      </c>
      <c r="L132">
        <f t="shared" si="8"/>
        <v>1067.5392756600895</v>
      </c>
    </row>
    <row r="133" spans="1:12" x14ac:dyDescent="0.2">
      <c r="A133">
        <f>Data!C133</f>
        <v>52</v>
      </c>
      <c r="B133">
        <f>COUNTIF(Data!$C$2:$C$301,"&lt;="&amp;A133)</f>
        <v>233</v>
      </c>
      <c r="C133">
        <f>IF(B133=0,0,AVERAGEIF(Data!$C$2:$C$301,"&lt;="&amp;A133,Data!$K$2:$K$301))</f>
        <v>108.60725979033396</v>
      </c>
      <c r="D133">
        <f>COUNTIF(Data!$C$2:$C$301,"&gt;"&amp;A133)</f>
        <v>67</v>
      </c>
      <c r="E133">
        <f>IF(D133=0,0,AVERAGEIF(Data!$C$2:$C$301,"&gt;"&amp;A133,Data!$K$2:$K$301))</f>
        <v>115.91793573417284</v>
      </c>
      <c r="F133">
        <f>SUMPRODUCT(--(Data!$C$2:$C$301&lt;=A133),(Data!$K$2:$K$301-C133)^2)+SUMPRODUCT(--(Data!$C$2:$C$301&gt;A133),(Data!$K$2:$K$301-E133)^2)</f>
        <v>534492.75430181436</v>
      </c>
      <c r="G133">
        <f>IF(B133=0,0,SUMPRODUCT(--(Data!$C$2:$C$301&lt;=A133),SQRT(Data!$K$2:$K$301))/B133)</f>
        <v>10.252913653753263</v>
      </c>
      <c r="H133">
        <f>IF(D133=0,0,SUMPRODUCT(--(Data!$C$2:$C$301&gt;A133),SQRT(Data!$K$2:$K$301))/D133)</f>
        <v>10.588018966095051</v>
      </c>
      <c r="I133">
        <f>SUMPRODUCT(--(Data!$C$2:$C$301&lt;=A133),(SQRT(Data!$K$2:$K$301)-G133)^2)+SUMPRODUCT(--(Data!$C$2:$C$301&gt;A133),(SQRT(Data!$K$2:$K$301)-H133)^2)</f>
        <v>1067.3999231918131</v>
      </c>
      <c r="J133">
        <f t="shared" si="6"/>
        <v>1</v>
      </c>
      <c r="K133">
        <f t="shared" si="7"/>
        <v>534492.75430181436</v>
      </c>
      <c r="L133">
        <f t="shared" si="8"/>
        <v>1067.3999231918131</v>
      </c>
    </row>
    <row r="134" spans="1:12" x14ac:dyDescent="0.2">
      <c r="A134">
        <f>Data!C134</f>
        <v>43</v>
      </c>
      <c r="B134">
        <f>COUNTIF(Data!$C$2:$C$301,"&lt;="&amp;A134)</f>
        <v>161</v>
      </c>
      <c r="C134">
        <f>IF(B134=0,0,AVERAGEIF(Data!$C$2:$C$301,"&lt;="&amp;A134,Data!$K$2:$K$301))</f>
        <v>105.8730068010875</v>
      </c>
      <c r="D134">
        <f>COUNTIF(Data!$C$2:$C$301,"&gt;"&amp;A134)</f>
        <v>139</v>
      </c>
      <c r="E134">
        <f>IF(D134=0,0,AVERAGEIF(Data!$C$2:$C$301,"&gt;"&amp;A134,Data!$K$2:$K$301))</f>
        <v>115.29812324001665</v>
      </c>
      <c r="F134">
        <f>SUMPRODUCT(--(Data!$C$2:$C$301&lt;=A134),(Data!$K$2:$K$301-C134)^2)+SUMPRODUCT(--(Data!$C$2:$C$301&gt;A134),(Data!$K$2:$K$301-E134)^2)</f>
        <v>530647.27283695317</v>
      </c>
      <c r="G134">
        <f>IF(B134=0,0,SUMPRODUCT(--(Data!$C$2:$C$301&lt;=A134),SQRT(Data!$K$2:$K$301))/B134)</f>
        <v>10.108069640250404</v>
      </c>
      <c r="H134">
        <f>IF(D134=0,0,SUMPRODUCT(--(Data!$C$2:$C$301&gt;A134),SQRT(Data!$K$2:$K$301))/D134)</f>
        <v>10.582208201241452</v>
      </c>
      <c r="I134">
        <f>SUMPRODUCT(--(Data!$C$2:$C$301&lt;=A134),(SQRT(Data!$K$2:$K$301)-G134)^2)+SUMPRODUCT(--(Data!$C$2:$C$301&gt;A134),(SQRT(Data!$K$2:$K$301)-H134)^2)</f>
        <v>1056.4735295362882</v>
      </c>
      <c r="J134">
        <f t="shared" si="6"/>
        <v>1</v>
      </c>
      <c r="K134">
        <f t="shared" si="7"/>
        <v>530647.27283695317</v>
      </c>
      <c r="L134">
        <f t="shared" si="8"/>
        <v>1056.4735295362882</v>
      </c>
    </row>
    <row r="135" spans="1:12" x14ac:dyDescent="0.2">
      <c r="A135">
        <f>Data!C135</f>
        <v>60</v>
      </c>
      <c r="B135">
        <f>COUNTIF(Data!$C$2:$C$301,"&lt;="&amp;A135)</f>
        <v>280</v>
      </c>
      <c r="C135">
        <f>IF(B135=0,0,AVERAGEIF(Data!$C$2:$C$301,"&lt;="&amp;A135,Data!$K$2:$K$301))</f>
        <v>110.39629765122423</v>
      </c>
      <c r="D135">
        <f>COUNTIF(Data!$C$2:$C$301,"&gt;"&amp;A135)</f>
        <v>20</v>
      </c>
      <c r="E135">
        <f>IF(D135=0,0,AVERAGEIF(Data!$C$2:$C$301,"&gt;"&amp;A135,Data!$K$2:$K$301))</f>
        <v>108.0514941497302</v>
      </c>
      <c r="F135">
        <f>SUMPRODUCT(--(Data!$C$2:$C$301&lt;=A135),(Data!$K$2:$K$301-C135)^2)+SUMPRODUCT(--(Data!$C$2:$C$301&gt;A135),(Data!$K$2:$K$301-E135)^2)</f>
        <v>537171.27382655372</v>
      </c>
      <c r="G135">
        <f>IF(B135=0,0,SUMPRODUCT(--(Data!$C$2:$C$301&lt;=A135),SQRT(Data!$K$2:$K$301))/B135)</f>
        <v>10.339263092427972</v>
      </c>
      <c r="H135">
        <f>IF(D135=0,0,SUMPRODUCT(--(Data!$C$2:$C$301&gt;A135),SQRT(Data!$K$2:$K$301))/D135)</f>
        <v>10.166624308652338</v>
      </c>
      <c r="I135">
        <f>SUMPRODUCT(--(Data!$C$2:$C$301&lt;=A135),(SQRT(Data!$K$2:$K$301)-G135)^2)+SUMPRODUCT(--(Data!$C$2:$C$301&gt;A135),(SQRT(Data!$K$2:$K$301)-H135)^2)</f>
        <v>1072.6870662277106</v>
      </c>
      <c r="J135">
        <f t="shared" si="6"/>
        <v>1</v>
      </c>
      <c r="K135">
        <f t="shared" si="7"/>
        <v>537171.27382655372</v>
      </c>
      <c r="L135">
        <f t="shared" si="8"/>
        <v>1072.6870662277106</v>
      </c>
    </row>
    <row r="136" spans="1:12" x14ac:dyDescent="0.2">
      <c r="A136">
        <f>Data!C136</f>
        <v>46</v>
      </c>
      <c r="B136">
        <f>COUNTIF(Data!$C$2:$C$301,"&lt;="&amp;A136)</f>
        <v>185</v>
      </c>
      <c r="C136">
        <f>IF(B136=0,0,AVERAGEIF(Data!$C$2:$C$301,"&lt;="&amp;A136,Data!$K$2:$K$301))</f>
        <v>106.69663835771891</v>
      </c>
      <c r="D136">
        <f>COUNTIF(Data!$C$2:$C$301,"&gt;"&amp;A136)</f>
        <v>115</v>
      </c>
      <c r="E136">
        <f>IF(D136=0,0,AVERAGEIF(Data!$C$2:$C$301,"&gt;"&amp;A136,Data!$K$2:$K$301))</f>
        <v>115.94013155790782</v>
      </c>
      <c r="F136">
        <f>SUMPRODUCT(--(Data!$C$2:$C$301&lt;=A136),(Data!$K$2:$K$301-C136)^2)+SUMPRODUCT(--(Data!$C$2:$C$301&gt;A136),(Data!$K$2:$K$301-E136)^2)</f>
        <v>531214.63144721917</v>
      </c>
      <c r="G136">
        <f>IF(B136=0,0,SUMPRODUCT(--(Data!$C$2:$C$301&lt;=A136),SQRT(Data!$K$2:$K$301))/B136)</f>
        <v>10.160082556497867</v>
      </c>
      <c r="H136">
        <f>IF(D136=0,0,SUMPRODUCT(--(Data!$C$2:$C$301&gt;A136),SQRT(Data!$K$2:$K$301))/D136)</f>
        <v>10.597485905224096</v>
      </c>
      <c r="I136">
        <f>SUMPRODUCT(--(Data!$C$2:$C$301&lt;=A136),(SQRT(Data!$K$2:$K$301)-G136)^2)+SUMPRODUCT(--(Data!$C$2:$C$301&gt;A136),(SQRT(Data!$K$2:$K$301)-H136)^2)</f>
        <v>1059.675513876025</v>
      </c>
      <c r="J136">
        <f t="shared" si="6"/>
        <v>1</v>
      </c>
      <c r="K136">
        <f t="shared" si="7"/>
        <v>531214.63144721917</v>
      </c>
      <c r="L136">
        <f t="shared" si="8"/>
        <v>1059.675513876025</v>
      </c>
    </row>
    <row r="137" spans="1:12" x14ac:dyDescent="0.2">
      <c r="A137">
        <f>Data!C137</f>
        <v>21</v>
      </c>
      <c r="B137">
        <f>COUNTIF(Data!$C$2:$C$301,"&lt;="&amp;A137)</f>
        <v>4</v>
      </c>
      <c r="C137">
        <f>IF(B137=0,0,AVERAGEIF(Data!$C$2:$C$301,"&lt;="&amp;A137,Data!$K$2:$K$301))</f>
        <v>67.940645954933188</v>
      </c>
      <c r="D137">
        <f>COUNTIF(Data!$C$2:$C$301,"&gt;"&amp;A137)</f>
        <v>296</v>
      </c>
      <c r="E137">
        <f>IF(D137=0,0,AVERAGEIF(Data!$C$2:$C$301,"&gt;"&amp;A137,Data!$K$2:$K$301))</f>
        <v>110.8115900051272</v>
      </c>
      <c r="F137">
        <f>SUMPRODUCT(--(Data!$C$2:$C$301&lt;=A137),(Data!$K$2:$K$301-C137)^2)+SUMPRODUCT(--(Data!$C$2:$C$301&gt;A137),(Data!$K$2:$K$301-E137)^2)</f>
        <v>530020.25600113312</v>
      </c>
      <c r="G137">
        <f>IF(B137=0,0,SUMPRODUCT(--(Data!$C$2:$C$301&lt;=A137),SQRT(Data!$K$2:$K$301))/B137)</f>
        <v>8.2301253163935701</v>
      </c>
      <c r="H137">
        <f>IF(D137=0,0,SUMPRODUCT(--(Data!$C$2:$C$301&gt;A137),SQRT(Data!$K$2:$K$301))/D137)</f>
        <v>10.356100171578731</v>
      </c>
      <c r="I137">
        <f>SUMPRODUCT(--(Data!$C$2:$C$301&lt;=A137),(SQRT(Data!$K$2:$K$301)-G137)^2)+SUMPRODUCT(--(Data!$C$2:$C$301&gt;A137),(SQRT(Data!$K$2:$K$301)-H137)^2)</f>
        <v>1055.4053883664399</v>
      </c>
      <c r="J137">
        <f t="shared" si="6"/>
        <v>1</v>
      </c>
      <c r="K137">
        <f t="shared" si="7"/>
        <v>530020.25600113312</v>
      </c>
      <c r="L137">
        <f t="shared" si="8"/>
        <v>1055.4053883664399</v>
      </c>
    </row>
    <row r="138" spans="1:12" x14ac:dyDescent="0.2">
      <c r="A138">
        <f>Data!C138</f>
        <v>61</v>
      </c>
      <c r="B138">
        <f>COUNTIF(Data!$C$2:$C$301,"&lt;="&amp;A138)</f>
        <v>285</v>
      </c>
      <c r="C138">
        <f>IF(B138=0,0,AVERAGEIF(Data!$C$2:$C$301,"&lt;="&amp;A138,Data!$K$2:$K$301))</f>
        <v>110.45760116752029</v>
      </c>
      <c r="D138">
        <f>COUNTIF(Data!$C$2:$C$301,"&gt;"&amp;A138)</f>
        <v>15</v>
      </c>
      <c r="E138">
        <f>IF(D138=0,0,AVERAGEIF(Data!$C$2:$C$301,"&gt;"&amp;A138,Data!$K$2:$K$301))</f>
        <v>106.10512617294009</v>
      </c>
      <c r="F138">
        <f>SUMPRODUCT(--(Data!$C$2:$C$301&lt;=A138),(Data!$K$2:$K$301-C138)^2)+SUMPRODUCT(--(Data!$C$2:$C$301&gt;A138),(Data!$K$2:$K$301-E138)^2)</f>
        <v>537003.95254140918</v>
      </c>
      <c r="G138">
        <f>IF(B138=0,0,SUMPRODUCT(--(Data!$C$2:$C$301&lt;=A138),SQRT(Data!$K$2:$K$301))/B138)</f>
        <v>10.34332736769888</v>
      </c>
      <c r="H138">
        <f>IF(D138=0,0,SUMPRODUCT(--(Data!$C$2:$C$301&gt;A138),SQRT(Data!$K$2:$K$301))/D138)</f>
        <v>10.031856817246561</v>
      </c>
      <c r="I138">
        <f>SUMPRODUCT(--(Data!$C$2:$C$301&lt;=A138),(SQRT(Data!$K$2:$K$301)-G138)^2)+SUMPRODUCT(--(Data!$C$2:$C$301&gt;A138),(SQRT(Data!$K$2:$K$301)-H138)^2)</f>
        <v>1071.8609622256272</v>
      </c>
      <c r="J138">
        <f t="shared" si="6"/>
        <v>1</v>
      </c>
      <c r="K138">
        <f t="shared" si="7"/>
        <v>537003.95254140918</v>
      </c>
      <c r="L138">
        <f t="shared" si="8"/>
        <v>1071.8609622256272</v>
      </c>
    </row>
    <row r="139" spans="1:12" x14ac:dyDescent="0.2">
      <c r="A139">
        <f>Data!C139</f>
        <v>32</v>
      </c>
      <c r="B139">
        <f>COUNTIF(Data!$C$2:$C$301,"&lt;="&amp;A139)</f>
        <v>61</v>
      </c>
      <c r="C139">
        <f>IF(B139=0,0,AVERAGEIF(Data!$C$2:$C$301,"&lt;="&amp;A139,Data!$K$2:$K$301))</f>
        <v>87.641509616168676</v>
      </c>
      <c r="D139">
        <f>COUNTIF(Data!$C$2:$C$301,"&gt;"&amp;A139)</f>
        <v>239</v>
      </c>
      <c r="E139">
        <f>IF(D139=0,0,AVERAGEIF(Data!$C$2:$C$301,"&gt;"&amp;A139,Data!$K$2:$K$301))</f>
        <v>116.00778719142721</v>
      </c>
      <c r="F139">
        <f>SUMPRODUCT(--(Data!$C$2:$C$301&lt;=A139),(Data!$K$2:$K$301-C139)^2)+SUMPRODUCT(--(Data!$C$2:$C$301&gt;A139),(Data!$K$2:$K$301-E139)^2)</f>
        <v>498170.80605453369</v>
      </c>
      <c r="G139">
        <f>IF(B139=0,0,SUMPRODUCT(--(Data!$C$2:$C$301&lt;=A139),SQRT(Data!$K$2:$K$301))/B139)</f>
        <v>9.2422152260828607</v>
      </c>
      <c r="H139">
        <f>IF(D139=0,0,SUMPRODUCT(--(Data!$C$2:$C$301&gt;A139),SQRT(Data!$K$2:$K$301))/D139)</f>
        <v>10.604815996911393</v>
      </c>
      <c r="I139">
        <f>SUMPRODUCT(--(Data!$C$2:$C$301&lt;=A139),(SQRT(Data!$K$2:$K$301)-G139)^2)+SUMPRODUCT(--(Data!$C$2:$C$301&gt;A139),(SQRT(Data!$K$2:$K$301)-H139)^2)</f>
        <v>983.01490946276726</v>
      </c>
      <c r="J139">
        <f t="shared" si="6"/>
        <v>1</v>
      </c>
      <c r="K139">
        <f t="shared" si="7"/>
        <v>498170.80605453369</v>
      </c>
      <c r="L139">
        <f t="shared" si="8"/>
        <v>983.01490946276726</v>
      </c>
    </row>
    <row r="140" spans="1:12" x14ac:dyDescent="0.2">
      <c r="A140">
        <f>Data!C140</f>
        <v>58</v>
      </c>
      <c r="B140">
        <f>COUNTIF(Data!$C$2:$C$301,"&lt;="&amp;A140)</f>
        <v>272</v>
      </c>
      <c r="C140">
        <f>IF(B140=0,0,AVERAGEIF(Data!$C$2:$C$301,"&lt;="&amp;A140,Data!$K$2:$K$301))</f>
        <v>109.41135476595819</v>
      </c>
      <c r="D140">
        <f>COUNTIF(Data!$C$2:$C$301,"&gt;"&amp;A140)</f>
        <v>28</v>
      </c>
      <c r="E140">
        <f>IF(D140=0,0,AVERAGEIF(Data!$C$2:$C$301,"&gt;"&amp;A140,Data!$K$2:$K$301))</f>
        <v>118.28945460702718</v>
      </c>
      <c r="F140">
        <f>SUMPRODUCT(--(Data!$C$2:$C$301&lt;=A140),(Data!$K$2:$K$301-C140)^2)+SUMPRODUCT(--(Data!$C$2:$C$301&gt;A140),(Data!$K$2:$K$301-E140)^2)</f>
        <v>535272.91135082708</v>
      </c>
      <c r="G140">
        <f>IF(B140=0,0,SUMPRODUCT(--(Data!$C$2:$C$301&lt;=A140),SQRT(Data!$K$2:$K$301))/B140)</f>
        <v>10.298937442089837</v>
      </c>
      <c r="H140">
        <f>IF(D140=0,0,SUMPRODUCT(--(Data!$C$2:$C$301&gt;A140),SQRT(Data!$K$2:$K$301))/D140)</f>
        <v>10.607684564444401</v>
      </c>
      <c r="I140">
        <f>SUMPRODUCT(--(Data!$C$2:$C$301&lt;=A140),(SQRT(Data!$K$2:$K$301)-G140)^2)+SUMPRODUCT(--(Data!$C$2:$C$301&gt;A140),(SQRT(Data!$K$2:$K$301)-H140)^2)</f>
        <v>1070.8234317986235</v>
      </c>
      <c r="J140">
        <f t="shared" si="6"/>
        <v>1</v>
      </c>
      <c r="K140">
        <f t="shared" si="7"/>
        <v>535272.91135082708</v>
      </c>
      <c r="L140">
        <f t="shared" si="8"/>
        <v>1070.8234317986235</v>
      </c>
    </row>
    <row r="141" spans="1:12" x14ac:dyDescent="0.2">
      <c r="A141">
        <f>Data!C141</f>
        <v>35</v>
      </c>
      <c r="B141">
        <f>COUNTIF(Data!$C$2:$C$301,"&lt;="&amp;A141)</f>
        <v>90</v>
      </c>
      <c r="C141">
        <f>IF(B141=0,0,AVERAGEIF(Data!$C$2:$C$301,"&lt;="&amp;A141,Data!$K$2:$K$301))</f>
        <v>94.577555019098696</v>
      </c>
      <c r="D141">
        <f>COUNTIF(Data!$C$2:$C$301,"&gt;"&amp;A141)</f>
        <v>210</v>
      </c>
      <c r="E141">
        <f>IF(D141=0,0,AVERAGEIF(Data!$C$2:$C$301,"&gt;"&amp;A141,Data!$K$2:$K$301))</f>
        <v>116.95244416008815</v>
      </c>
      <c r="F141">
        <f>SUMPRODUCT(--(Data!$C$2:$C$301&lt;=A141),(Data!$K$2:$K$301-C141)^2)+SUMPRODUCT(--(Data!$C$2:$C$301&gt;A141),(Data!$K$2:$K$301-E141)^2)</f>
        <v>505733.85825464316</v>
      </c>
      <c r="G141">
        <f>IF(B141=0,0,SUMPRODUCT(--(Data!$C$2:$C$301&lt;=A141),SQRT(Data!$K$2:$K$301))/B141)</f>
        <v>9.5793805119208457</v>
      </c>
      <c r="H141">
        <f>IF(D141=0,0,SUMPRODUCT(--(Data!$C$2:$C$301&gt;A141),SQRT(Data!$K$2:$K$301))/D141)</f>
        <v>10.648485266571434</v>
      </c>
      <c r="I141">
        <f>SUMPRODUCT(--(Data!$C$2:$C$301&lt;=A141),(SQRT(Data!$K$2:$K$301)-G141)^2)+SUMPRODUCT(--(Data!$C$2:$C$301&gt;A141),(SQRT(Data!$K$2:$K$301)-H141)^2)</f>
        <v>1001.2353568405237</v>
      </c>
      <c r="J141">
        <f t="shared" si="6"/>
        <v>1</v>
      </c>
      <c r="K141">
        <f t="shared" si="7"/>
        <v>505733.85825464316</v>
      </c>
      <c r="L141">
        <f t="shared" si="8"/>
        <v>1001.2353568405237</v>
      </c>
    </row>
    <row r="142" spans="1:12" x14ac:dyDescent="0.2">
      <c r="A142">
        <f>Data!C142</f>
        <v>26</v>
      </c>
      <c r="B142">
        <f>COUNTIF(Data!$C$2:$C$301,"&lt;="&amp;A142)</f>
        <v>29</v>
      </c>
      <c r="C142">
        <f>IF(B142=0,0,AVERAGEIF(Data!$C$2:$C$301,"&lt;="&amp;A142,Data!$K$2:$K$301))</f>
        <v>74.763854576383011</v>
      </c>
      <c r="D142">
        <f>COUNTIF(Data!$C$2:$C$301,"&gt;"&amp;A142)</f>
        <v>271</v>
      </c>
      <c r="E142">
        <f>IF(D142=0,0,AVERAGEIF(Data!$C$2:$C$301,"&gt;"&amp;A142,Data!$K$2:$K$301))</f>
        <v>114.03631528642907</v>
      </c>
      <c r="F142">
        <f>SUMPRODUCT(--(Data!$C$2:$C$301&lt;=A142),(Data!$K$2:$K$301-C142)^2)+SUMPRODUCT(--(Data!$C$2:$C$301&gt;A142),(Data!$K$2:$K$301-E142)^2)</f>
        <v>496870.10051856615</v>
      </c>
      <c r="G142">
        <f>IF(B142=0,0,SUMPRODUCT(--(Data!$C$2:$C$301&lt;=A142),SQRT(Data!$K$2:$K$301))/B142)</f>
        <v>8.5689923293930157</v>
      </c>
      <c r="H142">
        <f>IF(D142=0,0,SUMPRODUCT(--(Data!$C$2:$C$301&gt;A142),SQRT(Data!$K$2:$K$301))/D142)</f>
        <v>10.515960791514686</v>
      </c>
      <c r="I142">
        <f>SUMPRODUCT(--(Data!$C$2:$C$301&lt;=A142),(SQRT(Data!$K$2:$K$301)-G142)^2)+SUMPRODUCT(--(Data!$C$2:$C$301&gt;A142),(SQRT(Data!$K$2:$K$301)-H142)^2)</f>
        <v>973.94006773199931</v>
      </c>
      <c r="J142">
        <f t="shared" si="6"/>
        <v>1</v>
      </c>
      <c r="K142">
        <f t="shared" si="7"/>
        <v>496870.10051856615</v>
      </c>
      <c r="L142">
        <f t="shared" si="8"/>
        <v>973.94006773199931</v>
      </c>
    </row>
    <row r="143" spans="1:12" x14ac:dyDescent="0.2">
      <c r="A143">
        <f>Data!C143</f>
        <v>32</v>
      </c>
      <c r="B143">
        <f>COUNTIF(Data!$C$2:$C$301,"&lt;="&amp;A143)</f>
        <v>61</v>
      </c>
      <c r="C143">
        <f>IF(B143=0,0,AVERAGEIF(Data!$C$2:$C$301,"&lt;="&amp;A143,Data!$K$2:$K$301))</f>
        <v>87.641509616168676</v>
      </c>
      <c r="D143">
        <f>COUNTIF(Data!$C$2:$C$301,"&gt;"&amp;A143)</f>
        <v>239</v>
      </c>
      <c r="E143">
        <f>IF(D143=0,0,AVERAGEIF(Data!$C$2:$C$301,"&gt;"&amp;A143,Data!$K$2:$K$301))</f>
        <v>116.00778719142721</v>
      </c>
      <c r="F143">
        <f>SUMPRODUCT(--(Data!$C$2:$C$301&lt;=A143),(Data!$K$2:$K$301-C143)^2)+SUMPRODUCT(--(Data!$C$2:$C$301&gt;A143),(Data!$K$2:$K$301-E143)^2)</f>
        <v>498170.80605453369</v>
      </c>
      <c r="G143">
        <f>IF(B143=0,0,SUMPRODUCT(--(Data!$C$2:$C$301&lt;=A143),SQRT(Data!$K$2:$K$301))/B143)</f>
        <v>9.2422152260828607</v>
      </c>
      <c r="H143">
        <f>IF(D143=0,0,SUMPRODUCT(--(Data!$C$2:$C$301&gt;A143),SQRT(Data!$K$2:$K$301))/D143)</f>
        <v>10.604815996911393</v>
      </c>
      <c r="I143">
        <f>SUMPRODUCT(--(Data!$C$2:$C$301&lt;=A143),(SQRT(Data!$K$2:$K$301)-G143)^2)+SUMPRODUCT(--(Data!$C$2:$C$301&gt;A143),(SQRT(Data!$K$2:$K$301)-H143)^2)</f>
        <v>983.01490946276726</v>
      </c>
      <c r="J143">
        <f t="shared" si="6"/>
        <v>1</v>
      </c>
      <c r="K143">
        <f t="shared" si="7"/>
        <v>498170.80605453369</v>
      </c>
      <c r="L143">
        <f t="shared" si="8"/>
        <v>983.01490946276726</v>
      </c>
    </row>
    <row r="144" spans="1:12" x14ac:dyDescent="0.2">
      <c r="A144">
        <f>Data!C144</f>
        <v>37</v>
      </c>
      <c r="B144">
        <f>COUNTIF(Data!$C$2:$C$301,"&lt;="&amp;A144)</f>
        <v>106</v>
      </c>
      <c r="C144">
        <f>IF(B144=0,0,AVERAGEIF(Data!$C$2:$C$301,"&lt;="&amp;A144,Data!$K$2:$K$301))</f>
        <v>97.276622779475886</v>
      </c>
      <c r="D144">
        <f>COUNTIF(Data!$C$2:$C$301,"&gt;"&amp;A144)</f>
        <v>194</v>
      </c>
      <c r="E144">
        <f>IF(D144=0,0,AVERAGEIF(Data!$C$2:$C$301,"&gt;"&amp;A144,Data!$K$2:$K$301))</f>
        <v>117.32304747790181</v>
      </c>
      <c r="F144">
        <f>SUMPRODUCT(--(Data!$C$2:$C$301&lt;=A144),(Data!$K$2:$K$301-C144)^2)+SUMPRODUCT(--(Data!$C$2:$C$301&gt;A144),(Data!$K$2:$K$301-E144)^2)</f>
        <v>509727.80035597854</v>
      </c>
      <c r="G144">
        <f>IF(B144=0,0,SUMPRODUCT(--(Data!$C$2:$C$301&lt;=A144),SQRT(Data!$K$2:$K$301))/B144)</f>
        <v>9.717465630869949</v>
      </c>
      <c r="H144">
        <f>IF(D144=0,0,SUMPRODUCT(--(Data!$C$2:$C$301&gt;A144),SQRT(Data!$K$2:$K$301))/D144)</f>
        <v>10.661210284436402</v>
      </c>
      <c r="I144">
        <f>SUMPRODUCT(--(Data!$C$2:$C$301&lt;=A144),(SQRT(Data!$K$2:$K$301)-G144)^2)+SUMPRODUCT(--(Data!$C$2:$C$301&gt;A144),(SQRT(Data!$K$2:$K$301)-H144)^2)</f>
        <v>1012.1920494800115</v>
      </c>
      <c r="J144">
        <f t="shared" si="6"/>
        <v>1</v>
      </c>
      <c r="K144">
        <f t="shared" si="7"/>
        <v>509727.80035597854</v>
      </c>
      <c r="L144">
        <f t="shared" si="8"/>
        <v>1012.1920494800115</v>
      </c>
    </row>
    <row r="145" spans="1:12" x14ac:dyDescent="0.2">
      <c r="A145">
        <f>Data!C145</f>
        <v>22</v>
      </c>
      <c r="B145">
        <f>COUNTIF(Data!$C$2:$C$301,"&lt;="&amp;A145)</f>
        <v>10</v>
      </c>
      <c r="C145">
        <f>IF(B145=0,0,AVERAGEIF(Data!$C$2:$C$301,"&lt;="&amp;A145,Data!$K$2:$K$301))</f>
        <v>65.30519371621908</v>
      </c>
      <c r="D145">
        <f>COUNTIF(Data!$C$2:$C$301,"&gt;"&amp;A145)</f>
        <v>290</v>
      </c>
      <c r="E145">
        <f>IF(D145=0,0,AVERAGEIF(Data!$C$2:$C$301,"&gt;"&amp;A145,Data!$K$2:$K$301))</f>
        <v>111.78945271784551</v>
      </c>
      <c r="F145">
        <f>SUMPRODUCT(--(Data!$C$2:$C$301&lt;=A145),(Data!$K$2:$K$301-C145)^2)+SUMPRODUCT(--(Data!$C$2:$C$301&gt;A145),(Data!$K$2:$K$301-E145)^2)</f>
        <v>516386.30385349214</v>
      </c>
      <c r="G145">
        <f>IF(B145=0,0,SUMPRODUCT(--(Data!$C$2:$C$301&lt;=A145),SQRT(Data!$K$2:$K$301))/B145)</f>
        <v>8.015119012201783</v>
      </c>
      <c r="H145">
        <f>IF(D145=0,0,SUMPRODUCT(--(Data!$C$2:$C$301&gt;A145),SQRT(Data!$K$2:$K$301))/D145)</f>
        <v>10.407499868727104</v>
      </c>
      <c r="I145">
        <f>SUMPRODUCT(--(Data!$C$2:$C$301&lt;=A145),(SQRT(Data!$K$2:$K$301)-G145)^2)+SUMPRODUCT(--(Data!$C$2:$C$301&gt;A145),(SQRT(Data!$K$2:$K$301)-H145)^2)</f>
        <v>1017.9163774489665</v>
      </c>
      <c r="J145">
        <f t="shared" si="6"/>
        <v>1</v>
      </c>
      <c r="K145">
        <f t="shared" si="7"/>
        <v>516386.30385349214</v>
      </c>
      <c r="L145">
        <f t="shared" si="8"/>
        <v>1017.9163774489665</v>
      </c>
    </row>
    <row r="146" spans="1:12" x14ac:dyDescent="0.2">
      <c r="A146">
        <f>Data!C146</f>
        <v>51</v>
      </c>
      <c r="B146">
        <f>COUNTIF(Data!$C$2:$C$301,"&lt;="&amp;A146)</f>
        <v>225</v>
      </c>
      <c r="C146">
        <f>IF(B146=0,0,AVERAGEIF(Data!$C$2:$C$301,"&lt;="&amp;A146,Data!$K$2:$K$301))</f>
        <v>108.72267986087451</v>
      </c>
      <c r="D146">
        <f>COUNTIF(Data!$C$2:$C$301,"&gt;"&amp;A146)</f>
        <v>75</v>
      </c>
      <c r="E146">
        <f>IF(D146=0,0,AVERAGEIF(Data!$C$2:$C$301,"&gt;"&amp;A146,Data!$K$2:$K$301))</f>
        <v>114.79187008854169</v>
      </c>
      <c r="F146">
        <f>SUMPRODUCT(--(Data!$C$2:$C$301&lt;=A146),(Data!$K$2:$K$301-C146)^2)+SUMPRODUCT(--(Data!$C$2:$C$301&gt;A146),(Data!$K$2:$K$301-E146)^2)</f>
        <v>535201.93240254861</v>
      </c>
      <c r="G146">
        <f>IF(B146=0,0,SUMPRODUCT(--(Data!$C$2:$C$301&lt;=A146),SQRT(Data!$K$2:$K$301))/B146)</f>
        <v>10.256534206419111</v>
      </c>
      <c r="H146">
        <f>IF(D146=0,0,SUMPRODUCT(--(Data!$C$2:$C$301&gt;A146),SQRT(Data!$K$2:$K$301))/D146)</f>
        <v>10.541412741447704</v>
      </c>
      <c r="I146">
        <f>SUMPRODUCT(--(Data!$C$2:$C$301&lt;=A146),(SQRT(Data!$K$2:$K$301)-G146)^2)+SUMPRODUCT(--(Data!$C$2:$C$301&gt;A146),(SQRT(Data!$K$2:$K$301)-H146)^2)</f>
        <v>1068.6783977455111</v>
      </c>
      <c r="J146">
        <f t="shared" si="6"/>
        <v>1</v>
      </c>
      <c r="K146">
        <f t="shared" si="7"/>
        <v>535201.93240254861</v>
      </c>
      <c r="L146">
        <f t="shared" si="8"/>
        <v>1068.6783977455111</v>
      </c>
    </row>
    <row r="147" spans="1:12" x14ac:dyDescent="0.2">
      <c r="A147">
        <f>Data!C147</f>
        <v>44</v>
      </c>
      <c r="B147">
        <f>COUNTIF(Data!$C$2:$C$301,"&lt;="&amp;A147)</f>
        <v>168</v>
      </c>
      <c r="C147">
        <f>IF(B147=0,0,AVERAGEIF(Data!$C$2:$C$301,"&lt;="&amp;A147,Data!$K$2:$K$301))</f>
        <v>106.42367056440787</v>
      </c>
      <c r="D147">
        <f>COUNTIF(Data!$C$2:$C$301,"&gt;"&amp;A147)</f>
        <v>132</v>
      </c>
      <c r="E147">
        <f>IF(D147=0,0,AVERAGEIF(Data!$C$2:$C$301,"&gt;"&amp;A147,Data!$K$2:$K$301))</f>
        <v>115.09709523118842</v>
      </c>
      <c r="F147">
        <f>SUMPRODUCT(--(Data!$C$2:$C$301&lt;=A147),(Data!$K$2:$K$301-C147)^2)+SUMPRODUCT(--(Data!$C$2:$C$301&gt;A147),(Data!$K$2:$K$301-E147)^2)</f>
        <v>531713.02949146449</v>
      </c>
      <c r="G147">
        <f>IF(B147=0,0,SUMPRODUCT(--(Data!$C$2:$C$301&lt;=A147),SQRT(Data!$K$2:$K$301))/B147)</f>
        <v>10.139424236317097</v>
      </c>
      <c r="H147">
        <f>IF(D147=0,0,SUMPRODUCT(--(Data!$C$2:$C$301&gt;A147),SQRT(Data!$K$2:$K$301))/D147)</f>
        <v>10.567446063269731</v>
      </c>
      <c r="I147">
        <f>SUMPRODUCT(--(Data!$C$2:$C$301&lt;=A147),(SQRT(Data!$K$2:$K$301)-G147)^2)+SUMPRODUCT(--(Data!$C$2:$C$301&gt;A147),(SQRT(Data!$K$2:$K$301)-H147)^2)</f>
        <v>1059.7010679277687</v>
      </c>
      <c r="J147">
        <f t="shared" si="6"/>
        <v>1</v>
      </c>
      <c r="K147">
        <f t="shared" si="7"/>
        <v>531713.02949146449</v>
      </c>
      <c r="L147">
        <f t="shared" si="8"/>
        <v>1059.7010679277687</v>
      </c>
    </row>
    <row r="148" spans="1:12" x14ac:dyDescent="0.2">
      <c r="A148">
        <f>Data!C148</f>
        <v>35</v>
      </c>
      <c r="B148">
        <f>COUNTIF(Data!$C$2:$C$301,"&lt;="&amp;A148)</f>
        <v>90</v>
      </c>
      <c r="C148">
        <f>IF(B148=0,0,AVERAGEIF(Data!$C$2:$C$301,"&lt;="&amp;A148,Data!$K$2:$K$301))</f>
        <v>94.577555019098696</v>
      </c>
      <c r="D148">
        <f>COUNTIF(Data!$C$2:$C$301,"&gt;"&amp;A148)</f>
        <v>210</v>
      </c>
      <c r="E148">
        <f>IF(D148=0,0,AVERAGEIF(Data!$C$2:$C$301,"&gt;"&amp;A148,Data!$K$2:$K$301))</f>
        <v>116.95244416008815</v>
      </c>
      <c r="F148">
        <f>SUMPRODUCT(--(Data!$C$2:$C$301&lt;=A148),(Data!$K$2:$K$301-C148)^2)+SUMPRODUCT(--(Data!$C$2:$C$301&gt;A148),(Data!$K$2:$K$301-E148)^2)</f>
        <v>505733.85825464316</v>
      </c>
      <c r="G148">
        <f>IF(B148=0,0,SUMPRODUCT(--(Data!$C$2:$C$301&lt;=A148),SQRT(Data!$K$2:$K$301))/B148)</f>
        <v>9.5793805119208457</v>
      </c>
      <c r="H148">
        <f>IF(D148=0,0,SUMPRODUCT(--(Data!$C$2:$C$301&gt;A148),SQRT(Data!$K$2:$K$301))/D148)</f>
        <v>10.648485266571434</v>
      </c>
      <c r="I148">
        <f>SUMPRODUCT(--(Data!$C$2:$C$301&lt;=A148),(SQRT(Data!$K$2:$K$301)-G148)^2)+SUMPRODUCT(--(Data!$C$2:$C$301&gt;A148),(SQRT(Data!$K$2:$K$301)-H148)^2)</f>
        <v>1001.2353568405237</v>
      </c>
      <c r="J148">
        <f t="shared" si="6"/>
        <v>1</v>
      </c>
      <c r="K148">
        <f t="shared" si="7"/>
        <v>505733.85825464316</v>
      </c>
      <c r="L148">
        <f t="shared" si="8"/>
        <v>1001.2353568405237</v>
      </c>
    </row>
    <row r="149" spans="1:12" x14ac:dyDescent="0.2">
      <c r="A149">
        <f>Data!C149</f>
        <v>60</v>
      </c>
      <c r="B149">
        <f>COUNTIF(Data!$C$2:$C$301,"&lt;="&amp;A149)</f>
        <v>280</v>
      </c>
      <c r="C149">
        <f>IF(B149=0,0,AVERAGEIF(Data!$C$2:$C$301,"&lt;="&amp;A149,Data!$K$2:$K$301))</f>
        <v>110.39629765122423</v>
      </c>
      <c r="D149">
        <f>COUNTIF(Data!$C$2:$C$301,"&gt;"&amp;A149)</f>
        <v>20</v>
      </c>
      <c r="E149">
        <f>IF(D149=0,0,AVERAGEIF(Data!$C$2:$C$301,"&gt;"&amp;A149,Data!$K$2:$K$301))</f>
        <v>108.0514941497302</v>
      </c>
      <c r="F149">
        <f>SUMPRODUCT(--(Data!$C$2:$C$301&lt;=A149),(Data!$K$2:$K$301-C149)^2)+SUMPRODUCT(--(Data!$C$2:$C$301&gt;A149),(Data!$K$2:$K$301-E149)^2)</f>
        <v>537171.27382655372</v>
      </c>
      <c r="G149">
        <f>IF(B149=0,0,SUMPRODUCT(--(Data!$C$2:$C$301&lt;=A149),SQRT(Data!$K$2:$K$301))/B149)</f>
        <v>10.339263092427972</v>
      </c>
      <c r="H149">
        <f>IF(D149=0,0,SUMPRODUCT(--(Data!$C$2:$C$301&gt;A149),SQRT(Data!$K$2:$K$301))/D149)</f>
        <v>10.166624308652338</v>
      </c>
      <c r="I149">
        <f>SUMPRODUCT(--(Data!$C$2:$C$301&lt;=A149),(SQRT(Data!$K$2:$K$301)-G149)^2)+SUMPRODUCT(--(Data!$C$2:$C$301&gt;A149),(SQRT(Data!$K$2:$K$301)-H149)^2)</f>
        <v>1072.6870662277106</v>
      </c>
      <c r="J149">
        <f t="shared" si="6"/>
        <v>1</v>
      </c>
      <c r="K149">
        <f t="shared" si="7"/>
        <v>537171.27382655372</v>
      </c>
      <c r="L149">
        <f t="shared" si="8"/>
        <v>1072.6870662277106</v>
      </c>
    </row>
    <row r="150" spans="1:12" x14ac:dyDescent="0.2">
      <c r="A150">
        <f>Data!C150</f>
        <v>40</v>
      </c>
      <c r="B150">
        <f>COUNTIF(Data!$C$2:$C$301,"&lt;="&amp;A150)</f>
        <v>135</v>
      </c>
      <c r="C150">
        <f>IF(B150=0,0,AVERAGEIF(Data!$C$2:$C$301,"&lt;="&amp;A150,Data!$K$2:$K$301))</f>
        <v>103.38613121677049</v>
      </c>
      <c r="D150">
        <f>COUNTIF(Data!$C$2:$C$301,"&gt;"&amp;A150)</f>
        <v>165</v>
      </c>
      <c r="E150">
        <f>IF(D150=0,0,AVERAGEIF(Data!$C$2:$C$301,"&gt;"&amp;A150,Data!$K$2:$K$301))</f>
        <v>115.8476697640811</v>
      </c>
      <c r="F150">
        <f>SUMPRODUCT(--(Data!$C$2:$C$301&lt;=A150),(Data!$K$2:$K$301-C150)^2)+SUMPRODUCT(--(Data!$C$2:$C$301&gt;A150),(Data!$K$2:$K$301-E150)^2)</f>
        <v>525743.62682591786</v>
      </c>
      <c r="G150">
        <f>IF(B150=0,0,SUMPRODUCT(--(Data!$C$2:$C$301&lt;=A150),SQRT(Data!$K$2:$K$301))/B150)</f>
        <v>10.003662056878664</v>
      </c>
      <c r="H150">
        <f>IF(D150=0,0,SUMPRODUCT(--(Data!$C$2:$C$301&gt;A150),SQRT(Data!$K$2:$K$301))/D150)</f>
        <v>10.592919844692464</v>
      </c>
      <c r="I150">
        <f>SUMPRODUCT(--(Data!$C$2:$C$301&lt;=A150),(SQRT(Data!$K$2:$K$301)-G150)^2)+SUMPRODUCT(--(Data!$C$2:$C$301&gt;A150),(SQRT(Data!$K$2:$K$301)-H150)^2)</f>
        <v>1047.4619733726961</v>
      </c>
      <c r="J150">
        <f t="shared" si="6"/>
        <v>1</v>
      </c>
      <c r="K150">
        <f t="shared" si="7"/>
        <v>525743.62682591786</v>
      </c>
      <c r="L150">
        <f t="shared" si="8"/>
        <v>1047.4619733726961</v>
      </c>
    </row>
    <row r="151" spans="1:12" x14ac:dyDescent="0.2">
      <c r="A151">
        <f>Data!C151</f>
        <v>35</v>
      </c>
      <c r="B151">
        <f>COUNTIF(Data!$C$2:$C$301,"&lt;="&amp;A151)</f>
        <v>90</v>
      </c>
      <c r="C151">
        <f>IF(B151=0,0,AVERAGEIF(Data!$C$2:$C$301,"&lt;="&amp;A151,Data!$K$2:$K$301))</f>
        <v>94.577555019098696</v>
      </c>
      <c r="D151">
        <f>COUNTIF(Data!$C$2:$C$301,"&gt;"&amp;A151)</f>
        <v>210</v>
      </c>
      <c r="E151">
        <f>IF(D151=0,0,AVERAGEIF(Data!$C$2:$C$301,"&gt;"&amp;A151,Data!$K$2:$K$301))</f>
        <v>116.95244416008815</v>
      </c>
      <c r="F151">
        <f>SUMPRODUCT(--(Data!$C$2:$C$301&lt;=A151),(Data!$K$2:$K$301-C151)^2)+SUMPRODUCT(--(Data!$C$2:$C$301&gt;A151),(Data!$K$2:$K$301-E151)^2)</f>
        <v>505733.85825464316</v>
      </c>
      <c r="G151">
        <f>IF(B151=0,0,SUMPRODUCT(--(Data!$C$2:$C$301&lt;=A151),SQRT(Data!$K$2:$K$301))/B151)</f>
        <v>9.5793805119208457</v>
      </c>
      <c r="H151">
        <f>IF(D151=0,0,SUMPRODUCT(--(Data!$C$2:$C$301&gt;A151),SQRT(Data!$K$2:$K$301))/D151)</f>
        <v>10.648485266571434</v>
      </c>
      <c r="I151">
        <f>SUMPRODUCT(--(Data!$C$2:$C$301&lt;=A151),(SQRT(Data!$K$2:$K$301)-G151)^2)+SUMPRODUCT(--(Data!$C$2:$C$301&gt;A151),(SQRT(Data!$K$2:$K$301)-H151)^2)</f>
        <v>1001.2353568405237</v>
      </c>
      <c r="J151">
        <f t="shared" si="6"/>
        <v>1</v>
      </c>
      <c r="K151">
        <f t="shared" si="7"/>
        <v>505733.85825464316</v>
      </c>
      <c r="L151">
        <f t="shared" si="8"/>
        <v>1001.2353568405237</v>
      </c>
    </row>
    <row r="152" spans="1:12" x14ac:dyDescent="0.2">
      <c r="A152">
        <f>Data!C152</f>
        <v>35</v>
      </c>
      <c r="B152">
        <f>COUNTIF(Data!$C$2:$C$301,"&lt;="&amp;A152)</f>
        <v>90</v>
      </c>
      <c r="C152">
        <f>IF(B152=0,0,AVERAGEIF(Data!$C$2:$C$301,"&lt;="&amp;A152,Data!$K$2:$K$301))</f>
        <v>94.577555019098696</v>
      </c>
      <c r="D152">
        <f>COUNTIF(Data!$C$2:$C$301,"&gt;"&amp;A152)</f>
        <v>210</v>
      </c>
      <c r="E152">
        <f>IF(D152=0,0,AVERAGEIF(Data!$C$2:$C$301,"&gt;"&amp;A152,Data!$K$2:$K$301))</f>
        <v>116.95244416008815</v>
      </c>
      <c r="F152">
        <f>SUMPRODUCT(--(Data!$C$2:$C$301&lt;=A152),(Data!$K$2:$K$301-C152)^2)+SUMPRODUCT(--(Data!$C$2:$C$301&gt;A152),(Data!$K$2:$K$301-E152)^2)</f>
        <v>505733.85825464316</v>
      </c>
      <c r="G152">
        <f>IF(B152=0,0,SUMPRODUCT(--(Data!$C$2:$C$301&lt;=A152),SQRT(Data!$K$2:$K$301))/B152)</f>
        <v>9.5793805119208457</v>
      </c>
      <c r="H152">
        <f>IF(D152=0,0,SUMPRODUCT(--(Data!$C$2:$C$301&gt;A152),SQRT(Data!$K$2:$K$301))/D152)</f>
        <v>10.648485266571434</v>
      </c>
      <c r="I152">
        <f>SUMPRODUCT(--(Data!$C$2:$C$301&lt;=A152),(SQRT(Data!$K$2:$K$301)-G152)^2)+SUMPRODUCT(--(Data!$C$2:$C$301&gt;A152),(SQRT(Data!$K$2:$K$301)-H152)^2)</f>
        <v>1001.2353568405237</v>
      </c>
      <c r="J152">
        <f t="shared" si="6"/>
        <v>1</v>
      </c>
      <c r="K152">
        <f t="shared" si="7"/>
        <v>505733.85825464316</v>
      </c>
      <c r="L152">
        <f t="shared" si="8"/>
        <v>1001.2353568405237</v>
      </c>
    </row>
    <row r="153" spans="1:12" x14ac:dyDescent="0.2">
      <c r="A153">
        <f>Data!C153</f>
        <v>47</v>
      </c>
      <c r="B153">
        <f>COUNTIF(Data!$C$2:$C$301,"&lt;="&amp;A153)</f>
        <v>192</v>
      </c>
      <c r="C153">
        <f>IF(B153=0,0,AVERAGEIF(Data!$C$2:$C$301,"&lt;="&amp;A153,Data!$K$2:$K$301))</f>
        <v>106.89555183915331</v>
      </c>
      <c r="D153">
        <f>COUNTIF(Data!$C$2:$C$301,"&gt;"&amp;A153)</f>
        <v>108</v>
      </c>
      <c r="E153">
        <f>IF(D153=0,0,AVERAGEIF(Data!$C$2:$C$301,"&gt;"&amp;A153,Data!$K$2:$K$301))</f>
        <v>116.18562289092554</v>
      </c>
      <c r="F153">
        <f>SUMPRODUCT(--(Data!$C$2:$C$301&lt;=A153),(Data!$K$2:$K$301-C153)^2)+SUMPRODUCT(--(Data!$C$2:$C$301&gt;A153),(Data!$K$2:$K$301-E153)^2)</f>
        <v>531308.47445059323</v>
      </c>
      <c r="G153">
        <f>IF(B153=0,0,SUMPRODUCT(--(Data!$C$2:$C$301&lt;=A153),SQRT(Data!$K$2:$K$301))/B153)</f>
        <v>10.171333435224357</v>
      </c>
      <c r="H153">
        <f>IF(D153=0,0,SUMPRODUCT(--(Data!$C$2:$C$301&gt;A153),SQRT(Data!$K$2:$K$301))/D153)</f>
        <v>10.60583456009074</v>
      </c>
      <c r="I153">
        <f>SUMPRODUCT(--(Data!$C$2:$C$301&lt;=A153),(SQRT(Data!$K$2:$K$301)-G153)^2)+SUMPRODUCT(--(Data!$C$2:$C$301&gt;A153),(SQRT(Data!$K$2:$K$301)-H153)^2)</f>
        <v>1060.1941607092617</v>
      </c>
      <c r="J153">
        <f t="shared" si="6"/>
        <v>1</v>
      </c>
      <c r="K153">
        <f t="shared" si="7"/>
        <v>531308.47445059323</v>
      </c>
      <c r="L153">
        <f t="shared" si="8"/>
        <v>1060.1941607092617</v>
      </c>
    </row>
    <row r="154" spans="1:12" x14ac:dyDescent="0.2">
      <c r="A154">
        <f>Data!C154</f>
        <v>43</v>
      </c>
      <c r="B154">
        <f>COUNTIF(Data!$C$2:$C$301,"&lt;="&amp;A154)</f>
        <v>161</v>
      </c>
      <c r="C154">
        <f>IF(B154=0,0,AVERAGEIF(Data!$C$2:$C$301,"&lt;="&amp;A154,Data!$K$2:$K$301))</f>
        <v>105.8730068010875</v>
      </c>
      <c r="D154">
        <f>COUNTIF(Data!$C$2:$C$301,"&gt;"&amp;A154)</f>
        <v>139</v>
      </c>
      <c r="E154">
        <f>IF(D154=0,0,AVERAGEIF(Data!$C$2:$C$301,"&gt;"&amp;A154,Data!$K$2:$K$301))</f>
        <v>115.29812324001665</v>
      </c>
      <c r="F154">
        <f>SUMPRODUCT(--(Data!$C$2:$C$301&lt;=A154),(Data!$K$2:$K$301-C154)^2)+SUMPRODUCT(--(Data!$C$2:$C$301&gt;A154),(Data!$K$2:$K$301-E154)^2)</f>
        <v>530647.27283695317</v>
      </c>
      <c r="G154">
        <f>IF(B154=0,0,SUMPRODUCT(--(Data!$C$2:$C$301&lt;=A154),SQRT(Data!$K$2:$K$301))/B154)</f>
        <v>10.108069640250404</v>
      </c>
      <c r="H154">
        <f>IF(D154=0,0,SUMPRODUCT(--(Data!$C$2:$C$301&gt;A154),SQRT(Data!$K$2:$K$301))/D154)</f>
        <v>10.582208201241452</v>
      </c>
      <c r="I154">
        <f>SUMPRODUCT(--(Data!$C$2:$C$301&lt;=A154),(SQRT(Data!$K$2:$K$301)-G154)^2)+SUMPRODUCT(--(Data!$C$2:$C$301&gt;A154),(SQRT(Data!$K$2:$K$301)-H154)^2)</f>
        <v>1056.4735295362882</v>
      </c>
      <c r="J154">
        <f t="shared" si="6"/>
        <v>1</v>
      </c>
      <c r="K154">
        <f t="shared" si="7"/>
        <v>530647.27283695317</v>
      </c>
      <c r="L154">
        <f t="shared" si="8"/>
        <v>1056.4735295362882</v>
      </c>
    </row>
    <row r="155" spans="1:12" x14ac:dyDescent="0.2">
      <c r="A155">
        <f>Data!C155</f>
        <v>33</v>
      </c>
      <c r="B155">
        <f>COUNTIF(Data!$C$2:$C$301,"&lt;="&amp;A155)</f>
        <v>68</v>
      </c>
      <c r="C155">
        <f>IF(B155=0,0,AVERAGEIF(Data!$C$2:$C$301,"&lt;="&amp;A155,Data!$K$2:$K$301))</f>
        <v>88.550422202336463</v>
      </c>
      <c r="D155">
        <f>COUNTIF(Data!$C$2:$C$301,"&gt;"&amp;A155)</f>
        <v>232</v>
      </c>
      <c r="E155">
        <f>IF(D155=0,0,AVERAGEIF(Data!$C$2:$C$301,"&gt;"&amp;A155,Data!$K$2:$K$301))</f>
        <v>116.59726084301083</v>
      </c>
      <c r="F155">
        <f>SUMPRODUCT(--(Data!$C$2:$C$301&lt;=A155),(Data!$K$2:$K$301-C155)^2)+SUMPRODUCT(--(Data!$C$2:$C$301&gt;A155),(Data!$K$2:$K$301-E155)^2)</f>
        <v>495907.91012967401</v>
      </c>
      <c r="G155">
        <f>IF(B155=0,0,SUMPRODUCT(--(Data!$C$2:$C$301&lt;=A155),SQRT(Data!$K$2:$K$301))/B155)</f>
        <v>9.2953615607760653</v>
      </c>
      <c r="H155">
        <f>IF(D155=0,0,SUMPRODUCT(--(Data!$C$2:$C$301&gt;A155),SQRT(Data!$K$2:$K$301))/D155)</f>
        <v>10.630351577241834</v>
      </c>
      <c r="I155">
        <f>SUMPRODUCT(--(Data!$C$2:$C$301&lt;=A155),(SQRT(Data!$K$2:$K$301)-G155)^2)+SUMPRODUCT(--(Data!$C$2:$C$301&gt;A155),(SQRT(Data!$K$2:$K$301)-H155)^2)</f>
        <v>979.52354010162389</v>
      </c>
      <c r="J155">
        <f t="shared" si="6"/>
        <v>1</v>
      </c>
      <c r="K155">
        <f t="shared" si="7"/>
        <v>495907.91012967401</v>
      </c>
      <c r="L155">
        <f t="shared" si="8"/>
        <v>979.52354010162389</v>
      </c>
    </row>
    <row r="156" spans="1:12" x14ac:dyDescent="0.2">
      <c r="A156">
        <f>Data!C156</f>
        <v>60</v>
      </c>
      <c r="B156">
        <f>COUNTIF(Data!$C$2:$C$301,"&lt;="&amp;A156)</f>
        <v>280</v>
      </c>
      <c r="C156">
        <f>IF(B156=0,0,AVERAGEIF(Data!$C$2:$C$301,"&lt;="&amp;A156,Data!$K$2:$K$301))</f>
        <v>110.39629765122423</v>
      </c>
      <c r="D156">
        <f>COUNTIF(Data!$C$2:$C$301,"&gt;"&amp;A156)</f>
        <v>20</v>
      </c>
      <c r="E156">
        <f>IF(D156=0,0,AVERAGEIF(Data!$C$2:$C$301,"&gt;"&amp;A156,Data!$K$2:$K$301))</f>
        <v>108.0514941497302</v>
      </c>
      <c r="F156">
        <f>SUMPRODUCT(--(Data!$C$2:$C$301&lt;=A156),(Data!$K$2:$K$301-C156)^2)+SUMPRODUCT(--(Data!$C$2:$C$301&gt;A156),(Data!$K$2:$K$301-E156)^2)</f>
        <v>537171.27382655372</v>
      </c>
      <c r="G156">
        <f>IF(B156=0,0,SUMPRODUCT(--(Data!$C$2:$C$301&lt;=A156),SQRT(Data!$K$2:$K$301))/B156)</f>
        <v>10.339263092427972</v>
      </c>
      <c r="H156">
        <f>IF(D156=0,0,SUMPRODUCT(--(Data!$C$2:$C$301&gt;A156),SQRT(Data!$K$2:$K$301))/D156)</f>
        <v>10.166624308652338</v>
      </c>
      <c r="I156">
        <f>SUMPRODUCT(--(Data!$C$2:$C$301&lt;=A156),(SQRT(Data!$K$2:$K$301)-G156)^2)+SUMPRODUCT(--(Data!$C$2:$C$301&gt;A156),(SQRT(Data!$K$2:$K$301)-H156)^2)</f>
        <v>1072.6870662277106</v>
      </c>
      <c r="J156">
        <f t="shared" si="6"/>
        <v>1</v>
      </c>
      <c r="K156">
        <f t="shared" si="7"/>
        <v>537171.27382655372</v>
      </c>
      <c r="L156">
        <f t="shared" si="8"/>
        <v>1072.6870662277106</v>
      </c>
    </row>
    <row r="157" spans="1:12" x14ac:dyDescent="0.2">
      <c r="A157">
        <f>Data!C157</f>
        <v>38</v>
      </c>
      <c r="B157">
        <f>COUNTIF(Data!$C$2:$C$301,"&lt;="&amp;A157)</f>
        <v>115</v>
      </c>
      <c r="C157">
        <f>IF(B157=0,0,AVERAGEIF(Data!$C$2:$C$301,"&lt;="&amp;A157,Data!$K$2:$K$301))</f>
        <v>101.18701694547781</v>
      </c>
      <c r="D157">
        <f>COUNTIF(Data!$C$2:$C$301,"&gt;"&amp;A157)</f>
        <v>185</v>
      </c>
      <c r="E157">
        <f>IF(D157=0,0,AVERAGEIF(Data!$C$2:$C$301,"&gt;"&amp;A157,Data!$K$2:$K$301))</f>
        <v>115.86749338706728</v>
      </c>
      <c r="F157">
        <f>SUMPRODUCT(--(Data!$C$2:$C$301&lt;=A157),(Data!$K$2:$K$301-C157)^2)+SUMPRODUCT(--(Data!$C$2:$C$301&gt;A157),(Data!$K$2:$K$301-E157)^2)</f>
        <v>521990.20120300131</v>
      </c>
      <c r="G157">
        <f>IF(B157=0,0,SUMPRODUCT(--(Data!$C$2:$C$301&lt;=A157),SQRT(Data!$K$2:$K$301))/B157)</f>
        <v>9.8881543625854409</v>
      </c>
      <c r="H157">
        <f>IF(D157=0,0,SUMPRODUCT(--(Data!$C$2:$C$301&gt;A157),SQRT(Data!$K$2:$K$301))/D157)</f>
        <v>10.601018380300271</v>
      </c>
      <c r="I157">
        <f>SUMPRODUCT(--(Data!$C$2:$C$301&lt;=A157),(SQRT(Data!$K$2:$K$301)-G157)^2)+SUMPRODUCT(--(Data!$C$2:$C$301&gt;A157),(SQRT(Data!$K$2:$K$301)-H157)^2)</f>
        <v>1037.2053256299796</v>
      </c>
      <c r="J157">
        <f t="shared" si="6"/>
        <v>1</v>
      </c>
      <c r="K157">
        <f t="shared" si="7"/>
        <v>521990.20120300131</v>
      </c>
      <c r="L157">
        <f t="shared" si="8"/>
        <v>1037.2053256299796</v>
      </c>
    </row>
    <row r="158" spans="1:12" x14ac:dyDescent="0.2">
      <c r="A158">
        <f>Data!C158</f>
        <v>53</v>
      </c>
      <c r="B158">
        <f>COUNTIF(Data!$C$2:$C$301,"&lt;="&amp;A158)</f>
        <v>239</v>
      </c>
      <c r="C158">
        <f>IF(B158=0,0,AVERAGEIF(Data!$C$2:$C$301,"&lt;="&amp;A158,Data!$K$2:$K$301))</f>
        <v>108.63614069535083</v>
      </c>
      <c r="D158">
        <f>COUNTIF(Data!$C$2:$C$301,"&gt;"&amp;A158)</f>
        <v>61</v>
      </c>
      <c r="E158">
        <f>IF(D158=0,0,AVERAGEIF(Data!$C$2:$C$301,"&gt;"&amp;A158,Data!$K$2:$K$301))</f>
        <v>116.52386228112373</v>
      </c>
      <c r="F158">
        <f>SUMPRODUCT(--(Data!$C$2:$C$301&lt;=A158),(Data!$K$2:$K$301-C158)^2)+SUMPRODUCT(--(Data!$C$2:$C$301&gt;A158),(Data!$K$2:$K$301-E158)^2)</f>
        <v>534250.40750013164</v>
      </c>
      <c r="G158">
        <f>IF(B158=0,0,SUMPRODUCT(--(Data!$C$2:$C$301&lt;=A158),SQRT(Data!$K$2:$K$301))/B158)</f>
        <v>10.256052543296615</v>
      </c>
      <c r="H158">
        <f>IF(D158=0,0,SUMPRODUCT(--(Data!$C$2:$C$301&gt;A158),SQRT(Data!$K$2:$K$301))/D158)</f>
        <v>10.608681872212918</v>
      </c>
      <c r="I158">
        <f>SUMPRODUCT(--(Data!$C$2:$C$301&lt;=A158),(SQRT(Data!$K$2:$K$301)-G158)^2)+SUMPRODUCT(--(Data!$C$2:$C$301&gt;A158),(SQRT(Data!$K$2:$K$301)-H158)^2)</f>
        <v>1067.2005390867</v>
      </c>
      <c r="J158">
        <f t="shared" si="6"/>
        <v>1</v>
      </c>
      <c r="K158">
        <f t="shared" si="7"/>
        <v>534250.40750013164</v>
      </c>
      <c r="L158">
        <f t="shared" si="8"/>
        <v>1067.2005390867</v>
      </c>
    </row>
    <row r="159" spans="1:12" x14ac:dyDescent="0.2">
      <c r="A159">
        <f>Data!C159</f>
        <v>55</v>
      </c>
      <c r="B159">
        <f>COUNTIF(Data!$C$2:$C$301,"&lt;="&amp;A159)</f>
        <v>254</v>
      </c>
      <c r="C159">
        <f>IF(B159=0,0,AVERAGEIF(Data!$C$2:$C$301,"&lt;="&amp;A159,Data!$K$2:$K$301))</f>
        <v>109.04767359994145</v>
      </c>
      <c r="D159">
        <f>COUNTIF(Data!$C$2:$C$301,"&gt;"&amp;A159)</f>
        <v>46</v>
      </c>
      <c r="E159">
        <f>IF(D159=0,0,AVERAGEIF(Data!$C$2:$C$301,"&gt;"&amp;A159,Data!$K$2:$K$301))</f>
        <v>116.82356806417974</v>
      </c>
      <c r="F159">
        <f>SUMPRODUCT(--(Data!$C$2:$C$301&lt;=A159),(Data!$K$2:$K$301-C159)^2)+SUMPRODUCT(--(Data!$C$2:$C$301&gt;A159),(Data!$K$2:$K$301-E159)^2)</f>
        <v>534919.01301229745</v>
      </c>
      <c r="G159">
        <f>IF(B159=0,0,SUMPRODUCT(--(Data!$C$2:$C$301&lt;=A159),SQRT(Data!$K$2:$K$301))/B159)</f>
        <v>10.278944478092541</v>
      </c>
      <c r="H159">
        <f>IF(D159=0,0,SUMPRODUCT(--(Data!$C$2:$C$301&gt;A159),SQRT(Data!$K$2:$K$301))/D159)</f>
        <v>10.597266404725501</v>
      </c>
      <c r="I159">
        <f>SUMPRODUCT(--(Data!$C$2:$C$301&lt;=A159),(SQRT(Data!$K$2:$K$301)-G159)^2)+SUMPRODUCT(--(Data!$C$2:$C$301&gt;A159),(SQRT(Data!$K$2:$K$301)-H159)^2)</f>
        <v>1069.2969894500063</v>
      </c>
      <c r="J159">
        <f t="shared" si="6"/>
        <v>1</v>
      </c>
      <c r="K159">
        <f t="shared" si="7"/>
        <v>534919.01301229745</v>
      </c>
      <c r="L159">
        <f t="shared" si="8"/>
        <v>1069.2969894500063</v>
      </c>
    </row>
    <row r="160" spans="1:12" x14ac:dyDescent="0.2">
      <c r="A160">
        <f>Data!C160</f>
        <v>57</v>
      </c>
      <c r="B160">
        <f>COUNTIF(Data!$C$2:$C$301,"&lt;="&amp;A160)</f>
        <v>265</v>
      </c>
      <c r="C160">
        <f>IF(B160=0,0,AVERAGEIF(Data!$C$2:$C$301,"&lt;="&amp;A160,Data!$K$2:$K$301))</f>
        <v>109.5479445097443</v>
      </c>
      <c r="D160">
        <f>COUNTIF(Data!$C$2:$C$301,"&gt;"&amp;A160)</f>
        <v>35</v>
      </c>
      <c r="E160">
        <f>IF(D160=0,0,AVERAGEIF(Data!$C$2:$C$301,"&gt;"&amp;A160,Data!$K$2:$K$301))</f>
        <v>115.47965515014717</v>
      </c>
      <c r="F160">
        <f>SUMPRODUCT(--(Data!$C$2:$C$301&lt;=A160),(Data!$K$2:$K$301-C160)^2)+SUMPRODUCT(--(Data!$C$2:$C$301&gt;A160),(Data!$K$2:$K$301-E160)^2)</f>
        <v>536186.09626564709</v>
      </c>
      <c r="G160">
        <f>IF(B160=0,0,SUMPRODUCT(--(Data!$C$2:$C$301&lt;=A160),SQRT(Data!$K$2:$K$301))/B160)</f>
        <v>10.304192105093877</v>
      </c>
      <c r="H160">
        <f>IF(D160=0,0,SUMPRODUCT(--(Data!$C$2:$C$301&gt;A160),SQRT(Data!$K$2:$K$301))/D160)</f>
        <v>10.506149834371465</v>
      </c>
      <c r="I160">
        <f>SUMPRODUCT(--(Data!$C$2:$C$301&lt;=A160),(SQRT(Data!$K$2:$K$301)-G160)^2)+SUMPRODUCT(--(Data!$C$2:$C$301&gt;A160),(SQRT(Data!$K$2:$K$301)-H160)^2)</f>
        <v>1071.9824146082685</v>
      </c>
      <c r="J160">
        <f t="shared" si="6"/>
        <v>1</v>
      </c>
      <c r="K160">
        <f t="shared" si="7"/>
        <v>536186.09626564709</v>
      </c>
      <c r="L160">
        <f t="shared" si="8"/>
        <v>1071.9824146082685</v>
      </c>
    </row>
    <row r="161" spans="1:12" x14ac:dyDescent="0.2">
      <c r="A161">
        <f>Data!C161</f>
        <v>64</v>
      </c>
      <c r="B161">
        <f>COUNTIF(Data!$C$2:$C$301,"&lt;="&amp;A161)</f>
        <v>292</v>
      </c>
      <c r="C161">
        <f>IF(B161=0,0,AVERAGEIF(Data!$C$2:$C$301,"&lt;="&amp;A161,Data!$K$2:$K$301))</f>
        <v>110.68393984066657</v>
      </c>
      <c r="D161">
        <f>COUNTIF(Data!$C$2:$C$301,"&gt;"&amp;A161)</f>
        <v>8</v>
      </c>
      <c r="E161">
        <f>IF(D161=0,0,AVERAGEIF(Data!$C$2:$C$301,"&gt;"&amp;A161,Data!$K$2:$K$301))</f>
        <v>94.035348982842933</v>
      </c>
      <c r="F161">
        <f>SUMPRODUCT(--(Data!$C$2:$C$301&lt;=A161),(Data!$K$2:$K$301-C161)^2)+SUMPRODUCT(--(Data!$C$2:$C$301&gt;A161),(Data!$K$2:$K$301-E161)^2)</f>
        <v>535115.63126062043</v>
      </c>
      <c r="G161">
        <f>IF(B161=0,0,SUMPRODUCT(--(Data!$C$2:$C$301&lt;=A161),SQRT(Data!$K$2:$K$301))/B161)</f>
        <v>10.345810155929351</v>
      </c>
      <c r="H161">
        <f>IF(D161=0,0,SUMPRODUCT(--(Data!$C$2:$C$301&gt;A161),SQRT(Data!$K$2:$K$301))/D161)</f>
        <v>9.6686983151884842</v>
      </c>
      <c r="I161">
        <f>SUMPRODUCT(--(Data!$C$2:$C$301&lt;=A161),(SQRT(Data!$K$2:$K$301)-G161)^2)+SUMPRODUCT(--(Data!$C$2:$C$301&gt;A161),(SQRT(Data!$K$2:$K$301)-H161)^2)</f>
        <v>1069.6733759573644</v>
      </c>
      <c r="J161">
        <f t="shared" si="6"/>
        <v>1</v>
      </c>
      <c r="K161">
        <f t="shared" si="7"/>
        <v>535115.63126062043</v>
      </c>
      <c r="L161">
        <f t="shared" si="8"/>
        <v>1069.6733759573644</v>
      </c>
    </row>
    <row r="162" spans="1:12" x14ac:dyDescent="0.2">
      <c r="A162">
        <f>Data!C162</f>
        <v>43</v>
      </c>
      <c r="B162">
        <f>COUNTIF(Data!$C$2:$C$301,"&lt;="&amp;A162)</f>
        <v>161</v>
      </c>
      <c r="C162">
        <f>IF(B162=0,0,AVERAGEIF(Data!$C$2:$C$301,"&lt;="&amp;A162,Data!$K$2:$K$301))</f>
        <v>105.8730068010875</v>
      </c>
      <c r="D162">
        <f>COUNTIF(Data!$C$2:$C$301,"&gt;"&amp;A162)</f>
        <v>139</v>
      </c>
      <c r="E162">
        <f>IF(D162=0,0,AVERAGEIF(Data!$C$2:$C$301,"&gt;"&amp;A162,Data!$K$2:$K$301))</f>
        <v>115.29812324001665</v>
      </c>
      <c r="F162">
        <f>SUMPRODUCT(--(Data!$C$2:$C$301&lt;=A162),(Data!$K$2:$K$301-C162)^2)+SUMPRODUCT(--(Data!$C$2:$C$301&gt;A162),(Data!$K$2:$K$301-E162)^2)</f>
        <v>530647.27283695317</v>
      </c>
      <c r="G162">
        <f>IF(B162=0,0,SUMPRODUCT(--(Data!$C$2:$C$301&lt;=A162),SQRT(Data!$K$2:$K$301))/B162)</f>
        <v>10.108069640250404</v>
      </c>
      <c r="H162">
        <f>IF(D162=0,0,SUMPRODUCT(--(Data!$C$2:$C$301&gt;A162),SQRT(Data!$K$2:$K$301))/D162)</f>
        <v>10.582208201241452</v>
      </c>
      <c r="I162">
        <f>SUMPRODUCT(--(Data!$C$2:$C$301&lt;=A162),(SQRT(Data!$K$2:$K$301)-G162)^2)+SUMPRODUCT(--(Data!$C$2:$C$301&gt;A162),(SQRT(Data!$K$2:$K$301)-H162)^2)</f>
        <v>1056.4735295362882</v>
      </c>
      <c r="J162">
        <f t="shared" si="6"/>
        <v>1</v>
      </c>
      <c r="K162">
        <f t="shared" si="7"/>
        <v>530647.27283695317</v>
      </c>
      <c r="L162">
        <f t="shared" si="8"/>
        <v>1056.4735295362882</v>
      </c>
    </row>
    <row r="163" spans="1:12" x14ac:dyDescent="0.2">
      <c r="A163">
        <f>Data!C163</f>
        <v>35</v>
      </c>
      <c r="B163">
        <f>COUNTIF(Data!$C$2:$C$301,"&lt;="&amp;A163)</f>
        <v>90</v>
      </c>
      <c r="C163">
        <f>IF(B163=0,0,AVERAGEIF(Data!$C$2:$C$301,"&lt;="&amp;A163,Data!$K$2:$K$301))</f>
        <v>94.577555019098696</v>
      </c>
      <c r="D163">
        <f>COUNTIF(Data!$C$2:$C$301,"&gt;"&amp;A163)</f>
        <v>210</v>
      </c>
      <c r="E163">
        <f>IF(D163=0,0,AVERAGEIF(Data!$C$2:$C$301,"&gt;"&amp;A163,Data!$K$2:$K$301))</f>
        <v>116.95244416008815</v>
      </c>
      <c r="F163">
        <f>SUMPRODUCT(--(Data!$C$2:$C$301&lt;=A163),(Data!$K$2:$K$301-C163)^2)+SUMPRODUCT(--(Data!$C$2:$C$301&gt;A163),(Data!$K$2:$K$301-E163)^2)</f>
        <v>505733.85825464316</v>
      </c>
      <c r="G163">
        <f>IF(B163=0,0,SUMPRODUCT(--(Data!$C$2:$C$301&lt;=A163),SQRT(Data!$K$2:$K$301))/B163)</f>
        <v>9.5793805119208457</v>
      </c>
      <c r="H163">
        <f>IF(D163=0,0,SUMPRODUCT(--(Data!$C$2:$C$301&gt;A163),SQRT(Data!$K$2:$K$301))/D163)</f>
        <v>10.648485266571434</v>
      </c>
      <c r="I163">
        <f>SUMPRODUCT(--(Data!$C$2:$C$301&lt;=A163),(SQRT(Data!$K$2:$K$301)-G163)^2)+SUMPRODUCT(--(Data!$C$2:$C$301&gt;A163),(SQRT(Data!$K$2:$K$301)-H163)^2)</f>
        <v>1001.2353568405237</v>
      </c>
      <c r="J163">
        <f t="shared" si="6"/>
        <v>1</v>
      </c>
      <c r="K163">
        <f t="shared" si="7"/>
        <v>505733.85825464316</v>
      </c>
      <c r="L163">
        <f t="shared" si="8"/>
        <v>1001.2353568405237</v>
      </c>
    </row>
    <row r="164" spans="1:12" x14ac:dyDescent="0.2">
      <c r="A164">
        <f>Data!C164</f>
        <v>54</v>
      </c>
      <c r="B164">
        <f>COUNTIF(Data!$C$2:$C$301,"&lt;="&amp;A164)</f>
        <v>245</v>
      </c>
      <c r="C164">
        <f>IF(B164=0,0,AVERAGEIF(Data!$C$2:$C$301,"&lt;="&amp;A164,Data!$K$2:$K$301))</f>
        <v>108.7043715775597</v>
      </c>
      <c r="D164">
        <f>COUNTIF(Data!$C$2:$C$301,"&gt;"&amp;A164)</f>
        <v>55</v>
      </c>
      <c r="E164">
        <f>IF(D164=0,0,AVERAGEIF(Data!$C$2:$C$301,"&gt;"&amp;A164,Data!$K$2:$K$301))</f>
        <v>117.08040343336856</v>
      </c>
      <c r="F164">
        <f>SUMPRODUCT(--(Data!$C$2:$C$301&lt;=A164),(Data!$K$2:$K$301-C164)^2)+SUMPRODUCT(--(Data!$C$2:$C$301&gt;A164),(Data!$K$2:$K$301-E164)^2)</f>
        <v>534122.64564939437</v>
      </c>
      <c r="G164">
        <f>IF(B164=0,0,SUMPRODUCT(--(Data!$C$2:$C$301&lt;=A164),SQRT(Data!$K$2:$K$301))/B164)</f>
        <v>10.262431153987036</v>
      </c>
      <c r="H164">
        <f>IF(D164=0,0,SUMPRODUCT(--(Data!$C$2:$C$301&gt;A164),SQRT(Data!$K$2:$K$301))/D164)</f>
        <v>10.618736715019176</v>
      </c>
      <c r="I164">
        <f>SUMPRODUCT(--(Data!$C$2:$C$301&lt;=A164),(SQRT(Data!$K$2:$K$301)-G164)^2)+SUMPRODUCT(--(Data!$C$2:$C$301&gt;A164),(SQRT(Data!$K$2:$K$301)-H164)^2)</f>
        <v>1067.5410754488223</v>
      </c>
      <c r="J164">
        <f t="shared" si="6"/>
        <v>1</v>
      </c>
      <c r="K164">
        <f t="shared" si="7"/>
        <v>534122.64564939437</v>
      </c>
      <c r="L164">
        <f t="shared" si="8"/>
        <v>1067.5410754488223</v>
      </c>
    </row>
    <row r="165" spans="1:12" x14ac:dyDescent="0.2">
      <c r="A165">
        <f>Data!C165</f>
        <v>45</v>
      </c>
      <c r="B165">
        <f>COUNTIF(Data!$C$2:$C$301,"&lt;="&amp;A165)</f>
        <v>176</v>
      </c>
      <c r="C165">
        <f>IF(B165=0,0,AVERAGEIF(Data!$C$2:$C$301,"&lt;="&amp;A165,Data!$K$2:$K$301))</f>
        <v>107.19122936601325</v>
      </c>
      <c r="D165">
        <f>COUNTIF(Data!$C$2:$C$301,"&gt;"&amp;A165)</f>
        <v>124</v>
      </c>
      <c r="E165">
        <f>IF(D165=0,0,AVERAGEIF(Data!$C$2:$C$301,"&gt;"&amp;A165,Data!$K$2:$K$301))</f>
        <v>114.56723271708925</v>
      </c>
      <c r="F165">
        <f>SUMPRODUCT(--(Data!$C$2:$C$301&lt;=A165),(Data!$K$2:$K$301-C165)^2)+SUMPRODUCT(--(Data!$C$2:$C$301&gt;A165),(Data!$K$2:$K$301-E165)^2)</f>
        <v>533316.09174216771</v>
      </c>
      <c r="G165">
        <f>IF(B165=0,0,SUMPRODUCT(--(Data!$C$2:$C$301&lt;=A165),SQRT(Data!$K$2:$K$301))/B165)</f>
        <v>10.178829622446425</v>
      </c>
      <c r="H165">
        <f>IF(D165=0,0,SUMPRODUCT(--(Data!$C$2:$C$301&gt;A165),SQRT(Data!$K$2:$K$301))/D165)</f>
        <v>10.539130149212143</v>
      </c>
      <c r="I165">
        <f>SUMPRODUCT(--(Data!$C$2:$C$301&lt;=A165),(SQRT(Data!$K$2:$K$301)-G165)^2)+SUMPRODUCT(--(Data!$C$2:$C$301&gt;A165),(SQRT(Data!$K$2:$K$301)-H165)^2)</f>
        <v>1063.7996949138264</v>
      </c>
      <c r="J165">
        <f t="shared" si="6"/>
        <v>1</v>
      </c>
      <c r="K165">
        <f t="shared" si="7"/>
        <v>533316.09174216771</v>
      </c>
      <c r="L165">
        <f t="shared" si="8"/>
        <v>1063.7996949138264</v>
      </c>
    </row>
    <row r="166" spans="1:12" x14ac:dyDescent="0.2">
      <c r="A166">
        <f>Data!C166</f>
        <v>58</v>
      </c>
      <c r="B166">
        <f>COUNTIF(Data!$C$2:$C$301,"&lt;="&amp;A166)</f>
        <v>272</v>
      </c>
      <c r="C166">
        <f>IF(B166=0,0,AVERAGEIF(Data!$C$2:$C$301,"&lt;="&amp;A166,Data!$K$2:$K$301))</f>
        <v>109.41135476595819</v>
      </c>
      <c r="D166">
        <f>COUNTIF(Data!$C$2:$C$301,"&gt;"&amp;A166)</f>
        <v>28</v>
      </c>
      <c r="E166">
        <f>IF(D166=0,0,AVERAGEIF(Data!$C$2:$C$301,"&gt;"&amp;A166,Data!$K$2:$K$301))</f>
        <v>118.28945460702718</v>
      </c>
      <c r="F166">
        <f>SUMPRODUCT(--(Data!$C$2:$C$301&lt;=A166),(Data!$K$2:$K$301-C166)^2)+SUMPRODUCT(--(Data!$C$2:$C$301&gt;A166),(Data!$K$2:$K$301-E166)^2)</f>
        <v>535272.91135082708</v>
      </c>
      <c r="G166">
        <f>IF(B166=0,0,SUMPRODUCT(--(Data!$C$2:$C$301&lt;=A166),SQRT(Data!$K$2:$K$301))/B166)</f>
        <v>10.298937442089837</v>
      </c>
      <c r="H166">
        <f>IF(D166=0,0,SUMPRODUCT(--(Data!$C$2:$C$301&gt;A166),SQRT(Data!$K$2:$K$301))/D166)</f>
        <v>10.607684564444401</v>
      </c>
      <c r="I166">
        <f>SUMPRODUCT(--(Data!$C$2:$C$301&lt;=A166),(SQRT(Data!$K$2:$K$301)-G166)^2)+SUMPRODUCT(--(Data!$C$2:$C$301&gt;A166),(SQRT(Data!$K$2:$K$301)-H166)^2)</f>
        <v>1070.8234317986235</v>
      </c>
      <c r="J166">
        <f t="shared" si="6"/>
        <v>1</v>
      </c>
      <c r="K166">
        <f t="shared" si="7"/>
        <v>535272.91135082708</v>
      </c>
      <c r="L166">
        <f t="shared" si="8"/>
        <v>1070.8234317986235</v>
      </c>
    </row>
    <row r="167" spans="1:12" x14ac:dyDescent="0.2">
      <c r="A167">
        <f>Data!C167</f>
        <v>48</v>
      </c>
      <c r="B167">
        <f>COUNTIF(Data!$C$2:$C$301,"&lt;="&amp;A167)</f>
        <v>201</v>
      </c>
      <c r="C167">
        <f>IF(B167=0,0,AVERAGEIF(Data!$C$2:$C$301,"&lt;="&amp;A167,Data!$K$2:$K$301))</f>
        <v>107.52848274057251</v>
      </c>
      <c r="D167">
        <f>COUNTIF(Data!$C$2:$C$301,"&gt;"&amp;A167)</f>
        <v>99</v>
      </c>
      <c r="E167">
        <f>IF(D167=0,0,AVERAGEIF(Data!$C$2:$C$301,"&gt;"&amp;A167,Data!$K$2:$K$301))</f>
        <v>115.74513327759915</v>
      </c>
      <c r="F167">
        <f>SUMPRODUCT(--(Data!$C$2:$C$301&lt;=A167),(Data!$K$2:$K$301-C167)^2)+SUMPRODUCT(--(Data!$C$2:$C$301&gt;A167),(Data!$K$2:$K$301-E167)^2)</f>
        <v>532795.7448478135</v>
      </c>
      <c r="G167">
        <f>IF(B167=0,0,SUMPRODUCT(--(Data!$C$2:$C$301&lt;=A167),SQRT(Data!$K$2:$K$301))/B167)</f>
        <v>10.206713367266193</v>
      </c>
      <c r="H167">
        <f>IF(D167=0,0,SUMPRODUCT(--(Data!$C$2:$C$301&gt;A167),SQRT(Data!$K$2:$K$301))/D167)</f>
        <v>10.573502679114871</v>
      </c>
      <c r="I167">
        <f>SUMPRODUCT(--(Data!$C$2:$C$301&lt;=A167),(SQRT(Data!$K$2:$K$301)-G167)^2)+SUMPRODUCT(--(Data!$C$2:$C$301&gt;A167),(SQRT(Data!$K$2:$K$301)-H167)^2)</f>
        <v>1064.3197436500957</v>
      </c>
      <c r="J167">
        <f t="shared" si="6"/>
        <v>1</v>
      </c>
      <c r="K167">
        <f t="shared" si="7"/>
        <v>532795.7448478135</v>
      </c>
      <c r="L167">
        <f t="shared" si="8"/>
        <v>1064.3197436500957</v>
      </c>
    </row>
    <row r="168" spans="1:12" x14ac:dyDescent="0.2">
      <c r="A168">
        <f>Data!C168</f>
        <v>46</v>
      </c>
      <c r="B168">
        <f>COUNTIF(Data!$C$2:$C$301,"&lt;="&amp;A168)</f>
        <v>185</v>
      </c>
      <c r="C168">
        <f>IF(B168=0,0,AVERAGEIF(Data!$C$2:$C$301,"&lt;="&amp;A168,Data!$K$2:$K$301))</f>
        <v>106.69663835771891</v>
      </c>
      <c r="D168">
        <f>COUNTIF(Data!$C$2:$C$301,"&gt;"&amp;A168)</f>
        <v>115</v>
      </c>
      <c r="E168">
        <f>IF(D168=0,0,AVERAGEIF(Data!$C$2:$C$301,"&gt;"&amp;A168,Data!$K$2:$K$301))</f>
        <v>115.94013155790782</v>
      </c>
      <c r="F168">
        <f>SUMPRODUCT(--(Data!$C$2:$C$301&lt;=A168),(Data!$K$2:$K$301-C168)^2)+SUMPRODUCT(--(Data!$C$2:$C$301&gt;A168),(Data!$K$2:$K$301-E168)^2)</f>
        <v>531214.63144721917</v>
      </c>
      <c r="G168">
        <f>IF(B168=0,0,SUMPRODUCT(--(Data!$C$2:$C$301&lt;=A168),SQRT(Data!$K$2:$K$301))/B168)</f>
        <v>10.160082556497867</v>
      </c>
      <c r="H168">
        <f>IF(D168=0,0,SUMPRODUCT(--(Data!$C$2:$C$301&gt;A168),SQRT(Data!$K$2:$K$301))/D168)</f>
        <v>10.597485905224096</v>
      </c>
      <c r="I168">
        <f>SUMPRODUCT(--(Data!$C$2:$C$301&lt;=A168),(SQRT(Data!$K$2:$K$301)-G168)^2)+SUMPRODUCT(--(Data!$C$2:$C$301&gt;A168),(SQRT(Data!$K$2:$K$301)-H168)^2)</f>
        <v>1059.675513876025</v>
      </c>
      <c r="J168">
        <f t="shared" si="6"/>
        <v>1</v>
      </c>
      <c r="K168">
        <f t="shared" si="7"/>
        <v>531214.63144721917</v>
      </c>
      <c r="L168">
        <f t="shared" si="8"/>
        <v>1059.675513876025</v>
      </c>
    </row>
    <row r="169" spans="1:12" x14ac:dyDescent="0.2">
      <c r="A169">
        <f>Data!C169</f>
        <v>46</v>
      </c>
      <c r="B169">
        <f>COUNTIF(Data!$C$2:$C$301,"&lt;="&amp;A169)</f>
        <v>185</v>
      </c>
      <c r="C169">
        <f>IF(B169=0,0,AVERAGEIF(Data!$C$2:$C$301,"&lt;="&amp;A169,Data!$K$2:$K$301))</f>
        <v>106.69663835771891</v>
      </c>
      <c r="D169">
        <f>COUNTIF(Data!$C$2:$C$301,"&gt;"&amp;A169)</f>
        <v>115</v>
      </c>
      <c r="E169">
        <f>IF(D169=0,0,AVERAGEIF(Data!$C$2:$C$301,"&gt;"&amp;A169,Data!$K$2:$K$301))</f>
        <v>115.94013155790782</v>
      </c>
      <c r="F169">
        <f>SUMPRODUCT(--(Data!$C$2:$C$301&lt;=A169),(Data!$K$2:$K$301-C169)^2)+SUMPRODUCT(--(Data!$C$2:$C$301&gt;A169),(Data!$K$2:$K$301-E169)^2)</f>
        <v>531214.63144721917</v>
      </c>
      <c r="G169">
        <f>IF(B169=0,0,SUMPRODUCT(--(Data!$C$2:$C$301&lt;=A169),SQRT(Data!$K$2:$K$301))/B169)</f>
        <v>10.160082556497867</v>
      </c>
      <c r="H169">
        <f>IF(D169=0,0,SUMPRODUCT(--(Data!$C$2:$C$301&gt;A169),SQRT(Data!$K$2:$K$301))/D169)</f>
        <v>10.597485905224096</v>
      </c>
      <c r="I169">
        <f>SUMPRODUCT(--(Data!$C$2:$C$301&lt;=A169),(SQRT(Data!$K$2:$K$301)-G169)^2)+SUMPRODUCT(--(Data!$C$2:$C$301&gt;A169),(SQRT(Data!$K$2:$K$301)-H169)^2)</f>
        <v>1059.675513876025</v>
      </c>
      <c r="J169">
        <f t="shared" si="6"/>
        <v>1</v>
      </c>
      <c r="K169">
        <f t="shared" si="7"/>
        <v>531214.63144721917</v>
      </c>
      <c r="L169">
        <f t="shared" si="8"/>
        <v>1059.675513876025</v>
      </c>
    </row>
    <row r="170" spans="1:12" x14ac:dyDescent="0.2">
      <c r="A170">
        <f>Data!C170</f>
        <v>55</v>
      </c>
      <c r="B170">
        <f>COUNTIF(Data!$C$2:$C$301,"&lt;="&amp;A170)</f>
        <v>254</v>
      </c>
      <c r="C170">
        <f>IF(B170=0,0,AVERAGEIF(Data!$C$2:$C$301,"&lt;="&amp;A170,Data!$K$2:$K$301))</f>
        <v>109.04767359994145</v>
      </c>
      <c r="D170">
        <f>COUNTIF(Data!$C$2:$C$301,"&gt;"&amp;A170)</f>
        <v>46</v>
      </c>
      <c r="E170">
        <f>IF(D170=0,0,AVERAGEIF(Data!$C$2:$C$301,"&gt;"&amp;A170,Data!$K$2:$K$301))</f>
        <v>116.82356806417974</v>
      </c>
      <c r="F170">
        <f>SUMPRODUCT(--(Data!$C$2:$C$301&lt;=A170),(Data!$K$2:$K$301-C170)^2)+SUMPRODUCT(--(Data!$C$2:$C$301&gt;A170),(Data!$K$2:$K$301-E170)^2)</f>
        <v>534919.01301229745</v>
      </c>
      <c r="G170">
        <f>IF(B170=0,0,SUMPRODUCT(--(Data!$C$2:$C$301&lt;=A170),SQRT(Data!$K$2:$K$301))/B170)</f>
        <v>10.278944478092541</v>
      </c>
      <c r="H170">
        <f>IF(D170=0,0,SUMPRODUCT(--(Data!$C$2:$C$301&gt;A170),SQRT(Data!$K$2:$K$301))/D170)</f>
        <v>10.597266404725501</v>
      </c>
      <c r="I170">
        <f>SUMPRODUCT(--(Data!$C$2:$C$301&lt;=A170),(SQRT(Data!$K$2:$K$301)-G170)^2)+SUMPRODUCT(--(Data!$C$2:$C$301&gt;A170),(SQRT(Data!$K$2:$K$301)-H170)^2)</f>
        <v>1069.2969894500063</v>
      </c>
      <c r="J170">
        <f t="shared" si="6"/>
        <v>1</v>
      </c>
      <c r="K170">
        <f t="shared" si="7"/>
        <v>534919.01301229745</v>
      </c>
      <c r="L170">
        <f t="shared" si="8"/>
        <v>1069.2969894500063</v>
      </c>
    </row>
    <row r="171" spans="1:12" x14ac:dyDescent="0.2">
      <c r="A171">
        <f>Data!C171</f>
        <v>51</v>
      </c>
      <c r="B171">
        <f>COUNTIF(Data!$C$2:$C$301,"&lt;="&amp;A171)</f>
        <v>225</v>
      </c>
      <c r="C171">
        <f>IF(B171=0,0,AVERAGEIF(Data!$C$2:$C$301,"&lt;="&amp;A171,Data!$K$2:$K$301))</f>
        <v>108.72267986087451</v>
      </c>
      <c r="D171">
        <f>COUNTIF(Data!$C$2:$C$301,"&gt;"&amp;A171)</f>
        <v>75</v>
      </c>
      <c r="E171">
        <f>IF(D171=0,0,AVERAGEIF(Data!$C$2:$C$301,"&gt;"&amp;A171,Data!$K$2:$K$301))</f>
        <v>114.79187008854169</v>
      </c>
      <c r="F171">
        <f>SUMPRODUCT(--(Data!$C$2:$C$301&lt;=A171),(Data!$K$2:$K$301-C171)^2)+SUMPRODUCT(--(Data!$C$2:$C$301&gt;A171),(Data!$K$2:$K$301-E171)^2)</f>
        <v>535201.93240254861</v>
      </c>
      <c r="G171">
        <f>IF(B171=0,0,SUMPRODUCT(--(Data!$C$2:$C$301&lt;=A171),SQRT(Data!$K$2:$K$301))/B171)</f>
        <v>10.256534206419111</v>
      </c>
      <c r="H171">
        <f>IF(D171=0,0,SUMPRODUCT(--(Data!$C$2:$C$301&gt;A171),SQRT(Data!$K$2:$K$301))/D171)</f>
        <v>10.541412741447704</v>
      </c>
      <c r="I171">
        <f>SUMPRODUCT(--(Data!$C$2:$C$301&lt;=A171),(SQRT(Data!$K$2:$K$301)-G171)^2)+SUMPRODUCT(--(Data!$C$2:$C$301&gt;A171),(SQRT(Data!$K$2:$K$301)-H171)^2)</f>
        <v>1068.6783977455111</v>
      </c>
      <c r="J171">
        <f t="shared" si="6"/>
        <v>1</v>
      </c>
      <c r="K171">
        <f t="shared" si="7"/>
        <v>535201.93240254861</v>
      </c>
      <c r="L171">
        <f t="shared" si="8"/>
        <v>1068.6783977455111</v>
      </c>
    </row>
    <row r="172" spans="1:12" x14ac:dyDescent="0.2">
      <c r="A172">
        <f>Data!C172</f>
        <v>49</v>
      </c>
      <c r="B172">
        <f>COUNTIF(Data!$C$2:$C$301,"&lt;="&amp;A172)</f>
        <v>212</v>
      </c>
      <c r="C172">
        <f>IF(B172=0,0,AVERAGEIF(Data!$C$2:$C$301,"&lt;="&amp;A172,Data!$K$2:$K$301))</f>
        <v>108.2928321953428</v>
      </c>
      <c r="D172">
        <f>COUNTIF(Data!$C$2:$C$301,"&gt;"&amp;A172)</f>
        <v>88</v>
      </c>
      <c r="E172">
        <f>IF(D172=0,0,AVERAGEIF(Data!$C$2:$C$301,"&gt;"&amp;A172,Data!$K$2:$K$301))</f>
        <v>114.93082727187185</v>
      </c>
      <c r="F172">
        <f>SUMPRODUCT(--(Data!$C$2:$C$301&lt;=A172),(Data!$K$2:$K$301-C172)^2)+SUMPRODUCT(--(Data!$C$2:$C$301&gt;A172),(Data!$K$2:$K$301-E172)^2)</f>
        <v>534533.77532637282</v>
      </c>
      <c r="G172">
        <f>IF(B172=0,0,SUMPRODUCT(--(Data!$C$2:$C$301&lt;=A172),SQRT(Data!$K$2:$K$301))/B172)</f>
        <v>10.238914021322245</v>
      </c>
      <c r="H172">
        <f>IF(D172=0,0,SUMPRODUCT(--(Data!$C$2:$C$301&gt;A172),SQRT(Data!$K$2:$K$301))/D172)</f>
        <v>10.54177704014274</v>
      </c>
      <c r="I172">
        <f>SUMPRODUCT(--(Data!$C$2:$C$301&lt;=A172),(SQRT(Data!$K$2:$K$301)-G172)^2)+SUMPRODUCT(--(Data!$C$2:$C$301&gt;A172),(SQRT(Data!$K$2:$K$301)-H172)^2)</f>
        <v>1067.5392756600895</v>
      </c>
      <c r="J172">
        <f t="shared" si="6"/>
        <v>1</v>
      </c>
      <c r="K172">
        <f t="shared" si="7"/>
        <v>534533.77532637282</v>
      </c>
      <c r="L172">
        <f t="shared" si="8"/>
        <v>1067.5392756600895</v>
      </c>
    </row>
    <row r="173" spans="1:12" x14ac:dyDescent="0.2">
      <c r="A173">
        <f>Data!C173</f>
        <v>34</v>
      </c>
      <c r="B173">
        <f>COUNTIF(Data!$C$2:$C$301,"&lt;="&amp;A173)</f>
        <v>79</v>
      </c>
      <c r="C173">
        <f>IF(B173=0,0,AVERAGEIF(Data!$C$2:$C$301,"&lt;="&amp;A173,Data!$K$2:$K$301))</f>
        <v>89.239688213542237</v>
      </c>
      <c r="D173">
        <f>COUNTIF(Data!$C$2:$C$301,"&gt;"&amp;A173)</f>
        <v>221</v>
      </c>
      <c r="E173">
        <f>IF(D173=0,0,AVERAGEIF(Data!$C$2:$C$301,"&gt;"&amp;A173,Data!$K$2:$K$301))</f>
        <v>117.74686812881249</v>
      </c>
      <c r="F173">
        <f>SUMPRODUCT(--(Data!$C$2:$C$301&lt;=A173),(Data!$K$2:$K$301-C173)^2)+SUMPRODUCT(--(Data!$C$2:$C$301&gt;A173),(Data!$K$2:$K$301-E173)^2)</f>
        <v>489979.84230431152</v>
      </c>
      <c r="G173">
        <f>IF(B173=0,0,SUMPRODUCT(--(Data!$C$2:$C$301&lt;=A173),SQRT(Data!$K$2:$K$301))/B173)</f>
        <v>9.3403512203320922</v>
      </c>
      <c r="H173">
        <f>IF(D173=0,0,SUMPRODUCT(--(Data!$C$2:$C$301&gt;A173),SQRT(Data!$K$2:$K$301))/D173)</f>
        <v>10.680716767631866</v>
      </c>
      <c r="I173">
        <f>SUMPRODUCT(--(Data!$C$2:$C$301&lt;=A173),(SQRT(Data!$K$2:$K$301)-G173)^2)+SUMPRODUCT(--(Data!$C$2:$C$301&gt;A173),(SQRT(Data!$K$2:$K$301)-H173)^2)</f>
        <v>968.68845457150394</v>
      </c>
      <c r="J173">
        <f t="shared" si="6"/>
        <v>1</v>
      </c>
      <c r="K173">
        <f t="shared" si="7"/>
        <v>489979.84230431152</v>
      </c>
      <c r="L173">
        <f t="shared" si="8"/>
        <v>968.68845457150394</v>
      </c>
    </row>
    <row r="174" spans="1:12" x14ac:dyDescent="0.2">
      <c r="A174">
        <f>Data!C174</f>
        <v>53</v>
      </c>
      <c r="B174">
        <f>COUNTIF(Data!$C$2:$C$301,"&lt;="&amp;A174)</f>
        <v>239</v>
      </c>
      <c r="C174">
        <f>IF(B174=0,0,AVERAGEIF(Data!$C$2:$C$301,"&lt;="&amp;A174,Data!$K$2:$K$301))</f>
        <v>108.63614069535083</v>
      </c>
      <c r="D174">
        <f>COUNTIF(Data!$C$2:$C$301,"&gt;"&amp;A174)</f>
        <v>61</v>
      </c>
      <c r="E174">
        <f>IF(D174=0,0,AVERAGEIF(Data!$C$2:$C$301,"&gt;"&amp;A174,Data!$K$2:$K$301))</f>
        <v>116.52386228112373</v>
      </c>
      <c r="F174">
        <f>SUMPRODUCT(--(Data!$C$2:$C$301&lt;=A174),(Data!$K$2:$K$301-C174)^2)+SUMPRODUCT(--(Data!$C$2:$C$301&gt;A174),(Data!$K$2:$K$301-E174)^2)</f>
        <v>534250.40750013164</v>
      </c>
      <c r="G174">
        <f>IF(B174=0,0,SUMPRODUCT(--(Data!$C$2:$C$301&lt;=A174),SQRT(Data!$K$2:$K$301))/B174)</f>
        <v>10.256052543296615</v>
      </c>
      <c r="H174">
        <f>IF(D174=0,0,SUMPRODUCT(--(Data!$C$2:$C$301&gt;A174),SQRT(Data!$K$2:$K$301))/D174)</f>
        <v>10.608681872212918</v>
      </c>
      <c r="I174">
        <f>SUMPRODUCT(--(Data!$C$2:$C$301&lt;=A174),(SQRT(Data!$K$2:$K$301)-G174)^2)+SUMPRODUCT(--(Data!$C$2:$C$301&gt;A174),(SQRT(Data!$K$2:$K$301)-H174)^2)</f>
        <v>1067.2005390867</v>
      </c>
      <c r="J174">
        <f t="shared" si="6"/>
        <v>1</v>
      </c>
      <c r="K174">
        <f t="shared" si="7"/>
        <v>534250.40750013164</v>
      </c>
      <c r="L174">
        <f t="shared" si="8"/>
        <v>1067.2005390867</v>
      </c>
    </row>
    <row r="175" spans="1:12" x14ac:dyDescent="0.2">
      <c r="A175">
        <f>Data!C175</f>
        <v>40</v>
      </c>
      <c r="B175">
        <f>COUNTIF(Data!$C$2:$C$301,"&lt;="&amp;A175)</f>
        <v>135</v>
      </c>
      <c r="C175">
        <f>IF(B175=0,0,AVERAGEIF(Data!$C$2:$C$301,"&lt;="&amp;A175,Data!$K$2:$K$301))</f>
        <v>103.38613121677049</v>
      </c>
      <c r="D175">
        <f>COUNTIF(Data!$C$2:$C$301,"&gt;"&amp;A175)</f>
        <v>165</v>
      </c>
      <c r="E175">
        <f>IF(D175=0,0,AVERAGEIF(Data!$C$2:$C$301,"&gt;"&amp;A175,Data!$K$2:$K$301))</f>
        <v>115.8476697640811</v>
      </c>
      <c r="F175">
        <f>SUMPRODUCT(--(Data!$C$2:$C$301&lt;=A175),(Data!$K$2:$K$301-C175)^2)+SUMPRODUCT(--(Data!$C$2:$C$301&gt;A175),(Data!$K$2:$K$301-E175)^2)</f>
        <v>525743.62682591786</v>
      </c>
      <c r="G175">
        <f>IF(B175=0,0,SUMPRODUCT(--(Data!$C$2:$C$301&lt;=A175),SQRT(Data!$K$2:$K$301))/B175)</f>
        <v>10.003662056878664</v>
      </c>
      <c r="H175">
        <f>IF(D175=0,0,SUMPRODUCT(--(Data!$C$2:$C$301&gt;A175),SQRT(Data!$K$2:$K$301))/D175)</f>
        <v>10.592919844692464</v>
      </c>
      <c r="I175">
        <f>SUMPRODUCT(--(Data!$C$2:$C$301&lt;=A175),(SQRT(Data!$K$2:$K$301)-G175)^2)+SUMPRODUCT(--(Data!$C$2:$C$301&gt;A175),(SQRT(Data!$K$2:$K$301)-H175)^2)</f>
        <v>1047.4619733726961</v>
      </c>
      <c r="J175">
        <f t="shared" si="6"/>
        <v>1</v>
      </c>
      <c r="K175">
        <f t="shared" si="7"/>
        <v>525743.62682591786</v>
      </c>
      <c r="L175">
        <f t="shared" si="8"/>
        <v>1047.4619733726961</v>
      </c>
    </row>
    <row r="176" spans="1:12" x14ac:dyDescent="0.2">
      <c r="A176">
        <f>Data!C176</f>
        <v>50</v>
      </c>
      <c r="B176">
        <f>COUNTIF(Data!$C$2:$C$301,"&lt;="&amp;A176)</f>
        <v>219</v>
      </c>
      <c r="C176">
        <f>IF(B176=0,0,AVERAGEIF(Data!$C$2:$C$301,"&lt;="&amp;A176,Data!$K$2:$K$301))</f>
        <v>108.70258125966022</v>
      </c>
      <c r="D176">
        <f>COUNTIF(Data!$C$2:$C$301,"&gt;"&amp;A176)</f>
        <v>81</v>
      </c>
      <c r="E176">
        <f>IF(D176=0,0,AVERAGEIF(Data!$C$2:$C$301,"&gt;"&amp;A176,Data!$K$2:$K$301))</f>
        <v>114.39664110459017</v>
      </c>
      <c r="F176">
        <f>SUMPRODUCT(--(Data!$C$2:$C$301&lt;=A176),(Data!$K$2:$K$301-C176)^2)+SUMPRODUCT(--(Data!$C$2:$C$301&gt;A176),(Data!$K$2:$K$301-E176)^2)</f>
        <v>535356.77345633367</v>
      </c>
      <c r="G176">
        <f>IF(B176=0,0,SUMPRODUCT(--(Data!$C$2:$C$301&lt;=A176),SQRT(Data!$K$2:$K$301))/B176)</f>
        <v>10.254440242387149</v>
      </c>
      <c r="H176">
        <f>IF(D176=0,0,SUMPRODUCT(--(Data!$C$2:$C$301&gt;A176),SQRT(Data!$K$2:$K$301))/D176)</f>
        <v>10.525972086050512</v>
      </c>
      <c r="I176">
        <f>SUMPRODUCT(--(Data!$C$2:$C$301&lt;=A176),(SQRT(Data!$K$2:$K$301)-G176)^2)+SUMPRODUCT(--(Data!$C$2:$C$301&gt;A176),(SQRT(Data!$K$2:$K$301)-H176)^2)</f>
        <v>1068.8837825290173</v>
      </c>
      <c r="J176">
        <f t="shared" si="6"/>
        <v>1</v>
      </c>
      <c r="K176">
        <f t="shared" si="7"/>
        <v>535356.77345633367</v>
      </c>
      <c r="L176">
        <f t="shared" si="8"/>
        <v>1068.8837825290173</v>
      </c>
    </row>
    <row r="177" spans="1:12" x14ac:dyDescent="0.2">
      <c r="A177">
        <f>Data!C177</f>
        <v>37</v>
      </c>
      <c r="B177">
        <f>COUNTIF(Data!$C$2:$C$301,"&lt;="&amp;A177)</f>
        <v>106</v>
      </c>
      <c r="C177">
        <f>IF(B177=0,0,AVERAGEIF(Data!$C$2:$C$301,"&lt;="&amp;A177,Data!$K$2:$K$301))</f>
        <v>97.276622779475886</v>
      </c>
      <c r="D177">
        <f>COUNTIF(Data!$C$2:$C$301,"&gt;"&amp;A177)</f>
        <v>194</v>
      </c>
      <c r="E177">
        <f>IF(D177=0,0,AVERAGEIF(Data!$C$2:$C$301,"&gt;"&amp;A177,Data!$K$2:$K$301))</f>
        <v>117.32304747790181</v>
      </c>
      <c r="F177">
        <f>SUMPRODUCT(--(Data!$C$2:$C$301&lt;=A177),(Data!$K$2:$K$301-C177)^2)+SUMPRODUCT(--(Data!$C$2:$C$301&gt;A177),(Data!$K$2:$K$301-E177)^2)</f>
        <v>509727.80035597854</v>
      </c>
      <c r="G177">
        <f>IF(B177=0,0,SUMPRODUCT(--(Data!$C$2:$C$301&lt;=A177),SQRT(Data!$K$2:$K$301))/B177)</f>
        <v>9.717465630869949</v>
      </c>
      <c r="H177">
        <f>IF(D177=0,0,SUMPRODUCT(--(Data!$C$2:$C$301&gt;A177),SQRT(Data!$K$2:$K$301))/D177)</f>
        <v>10.661210284436402</v>
      </c>
      <c r="I177">
        <f>SUMPRODUCT(--(Data!$C$2:$C$301&lt;=A177),(SQRT(Data!$K$2:$K$301)-G177)^2)+SUMPRODUCT(--(Data!$C$2:$C$301&gt;A177),(SQRT(Data!$K$2:$K$301)-H177)^2)</f>
        <v>1012.1920494800115</v>
      </c>
      <c r="J177">
        <f t="shared" si="6"/>
        <v>1</v>
      </c>
      <c r="K177">
        <f t="shared" si="7"/>
        <v>509727.80035597854</v>
      </c>
      <c r="L177">
        <f t="shared" si="8"/>
        <v>1012.1920494800115</v>
      </c>
    </row>
    <row r="178" spans="1:12" x14ac:dyDescent="0.2">
      <c r="A178">
        <f>Data!C178</f>
        <v>39</v>
      </c>
      <c r="B178">
        <f>COUNTIF(Data!$C$2:$C$301,"&lt;="&amp;A178)</f>
        <v>124</v>
      </c>
      <c r="C178">
        <f>IF(B178=0,0,AVERAGEIF(Data!$C$2:$C$301,"&lt;="&amp;A178,Data!$K$2:$K$301))</f>
        <v>102.61244696541844</v>
      </c>
      <c r="D178">
        <f>COUNTIF(Data!$C$2:$C$301,"&gt;"&amp;A178)</f>
        <v>176</v>
      </c>
      <c r="E178">
        <f>IF(D178=0,0,AVERAGEIF(Data!$C$2:$C$301,"&gt;"&amp;A178,Data!$K$2:$K$301))</f>
        <v>115.61391932741766</v>
      </c>
      <c r="F178">
        <f>SUMPRODUCT(--(Data!$C$2:$C$301&lt;=A178),(Data!$K$2:$K$301-C178)^2)+SUMPRODUCT(--(Data!$C$2:$C$301&gt;A178),(Data!$K$2:$K$301-E178)^2)</f>
        <v>524976.93342166441</v>
      </c>
      <c r="G178">
        <f>IF(B178=0,0,SUMPRODUCT(--(Data!$C$2:$C$301&lt;=A178),SQRT(Data!$K$2:$K$301))/B178)</f>
        <v>9.9647092312663439</v>
      </c>
      <c r="H178">
        <f>IF(D178=0,0,SUMPRODUCT(--(Data!$C$2:$C$301&gt;A178),SQRT(Data!$K$2:$K$301))/D178)</f>
        <v>10.583535269180963</v>
      </c>
      <c r="I178">
        <f>SUMPRODUCT(--(Data!$C$2:$C$301&lt;=A178),(SQRT(Data!$K$2:$K$301)-G178)^2)+SUMPRODUCT(--(Data!$C$2:$C$301&gt;A178),(SQRT(Data!$K$2:$K$301)-H178)^2)</f>
        <v>1045.385389696934</v>
      </c>
      <c r="J178">
        <f t="shared" si="6"/>
        <v>1</v>
      </c>
      <c r="K178">
        <f t="shared" si="7"/>
        <v>524976.93342166441</v>
      </c>
      <c r="L178">
        <f t="shared" si="8"/>
        <v>1045.385389696934</v>
      </c>
    </row>
    <row r="179" spans="1:12" x14ac:dyDescent="0.2">
      <c r="A179">
        <f>Data!C179</f>
        <v>52</v>
      </c>
      <c r="B179">
        <f>COUNTIF(Data!$C$2:$C$301,"&lt;="&amp;A179)</f>
        <v>233</v>
      </c>
      <c r="C179">
        <f>IF(B179=0,0,AVERAGEIF(Data!$C$2:$C$301,"&lt;="&amp;A179,Data!$K$2:$K$301))</f>
        <v>108.60725979033396</v>
      </c>
      <c r="D179">
        <f>COUNTIF(Data!$C$2:$C$301,"&gt;"&amp;A179)</f>
        <v>67</v>
      </c>
      <c r="E179">
        <f>IF(D179=0,0,AVERAGEIF(Data!$C$2:$C$301,"&gt;"&amp;A179,Data!$K$2:$K$301))</f>
        <v>115.91793573417284</v>
      </c>
      <c r="F179">
        <f>SUMPRODUCT(--(Data!$C$2:$C$301&lt;=A179),(Data!$K$2:$K$301-C179)^2)+SUMPRODUCT(--(Data!$C$2:$C$301&gt;A179),(Data!$K$2:$K$301-E179)^2)</f>
        <v>534492.75430181436</v>
      </c>
      <c r="G179">
        <f>IF(B179=0,0,SUMPRODUCT(--(Data!$C$2:$C$301&lt;=A179),SQRT(Data!$K$2:$K$301))/B179)</f>
        <v>10.252913653753263</v>
      </c>
      <c r="H179">
        <f>IF(D179=0,0,SUMPRODUCT(--(Data!$C$2:$C$301&gt;A179),SQRT(Data!$K$2:$K$301))/D179)</f>
        <v>10.588018966095051</v>
      </c>
      <c r="I179">
        <f>SUMPRODUCT(--(Data!$C$2:$C$301&lt;=A179),(SQRT(Data!$K$2:$K$301)-G179)^2)+SUMPRODUCT(--(Data!$C$2:$C$301&gt;A179),(SQRT(Data!$K$2:$K$301)-H179)^2)</f>
        <v>1067.3999231918131</v>
      </c>
      <c r="J179">
        <f t="shared" si="6"/>
        <v>1</v>
      </c>
      <c r="K179">
        <f t="shared" si="7"/>
        <v>534492.75430181436</v>
      </c>
      <c r="L179">
        <f t="shared" si="8"/>
        <v>1067.3999231918131</v>
      </c>
    </row>
    <row r="180" spans="1:12" x14ac:dyDescent="0.2">
      <c r="A180">
        <f>Data!C180</f>
        <v>50</v>
      </c>
      <c r="B180">
        <f>COUNTIF(Data!$C$2:$C$301,"&lt;="&amp;A180)</f>
        <v>219</v>
      </c>
      <c r="C180">
        <f>IF(B180=0,0,AVERAGEIF(Data!$C$2:$C$301,"&lt;="&amp;A180,Data!$K$2:$K$301))</f>
        <v>108.70258125966022</v>
      </c>
      <c r="D180">
        <f>COUNTIF(Data!$C$2:$C$301,"&gt;"&amp;A180)</f>
        <v>81</v>
      </c>
      <c r="E180">
        <f>IF(D180=0,0,AVERAGEIF(Data!$C$2:$C$301,"&gt;"&amp;A180,Data!$K$2:$K$301))</f>
        <v>114.39664110459017</v>
      </c>
      <c r="F180">
        <f>SUMPRODUCT(--(Data!$C$2:$C$301&lt;=A180),(Data!$K$2:$K$301-C180)^2)+SUMPRODUCT(--(Data!$C$2:$C$301&gt;A180),(Data!$K$2:$K$301-E180)^2)</f>
        <v>535356.77345633367</v>
      </c>
      <c r="G180">
        <f>IF(B180=0,0,SUMPRODUCT(--(Data!$C$2:$C$301&lt;=A180),SQRT(Data!$K$2:$K$301))/B180)</f>
        <v>10.254440242387149</v>
      </c>
      <c r="H180">
        <f>IF(D180=0,0,SUMPRODUCT(--(Data!$C$2:$C$301&gt;A180),SQRT(Data!$K$2:$K$301))/D180)</f>
        <v>10.525972086050512</v>
      </c>
      <c r="I180">
        <f>SUMPRODUCT(--(Data!$C$2:$C$301&lt;=A180),(SQRT(Data!$K$2:$K$301)-G180)^2)+SUMPRODUCT(--(Data!$C$2:$C$301&gt;A180),(SQRT(Data!$K$2:$K$301)-H180)^2)</f>
        <v>1068.8837825290173</v>
      </c>
      <c r="J180">
        <f t="shared" si="6"/>
        <v>1</v>
      </c>
      <c r="K180">
        <f t="shared" si="7"/>
        <v>535356.77345633367</v>
      </c>
      <c r="L180">
        <f t="shared" si="8"/>
        <v>1068.8837825290173</v>
      </c>
    </row>
    <row r="181" spans="1:12" x14ac:dyDescent="0.2">
      <c r="A181">
        <f>Data!C181</f>
        <v>48</v>
      </c>
      <c r="B181">
        <f>COUNTIF(Data!$C$2:$C$301,"&lt;="&amp;A181)</f>
        <v>201</v>
      </c>
      <c r="C181">
        <f>IF(B181=0,0,AVERAGEIF(Data!$C$2:$C$301,"&lt;="&amp;A181,Data!$K$2:$K$301))</f>
        <v>107.52848274057251</v>
      </c>
      <c r="D181">
        <f>COUNTIF(Data!$C$2:$C$301,"&gt;"&amp;A181)</f>
        <v>99</v>
      </c>
      <c r="E181">
        <f>IF(D181=0,0,AVERAGEIF(Data!$C$2:$C$301,"&gt;"&amp;A181,Data!$K$2:$K$301))</f>
        <v>115.74513327759915</v>
      </c>
      <c r="F181">
        <f>SUMPRODUCT(--(Data!$C$2:$C$301&lt;=A181),(Data!$K$2:$K$301-C181)^2)+SUMPRODUCT(--(Data!$C$2:$C$301&gt;A181),(Data!$K$2:$K$301-E181)^2)</f>
        <v>532795.7448478135</v>
      </c>
      <c r="G181">
        <f>IF(B181=0,0,SUMPRODUCT(--(Data!$C$2:$C$301&lt;=A181),SQRT(Data!$K$2:$K$301))/B181)</f>
        <v>10.206713367266193</v>
      </c>
      <c r="H181">
        <f>IF(D181=0,0,SUMPRODUCT(--(Data!$C$2:$C$301&gt;A181),SQRT(Data!$K$2:$K$301))/D181)</f>
        <v>10.573502679114871</v>
      </c>
      <c r="I181">
        <f>SUMPRODUCT(--(Data!$C$2:$C$301&lt;=A181),(SQRT(Data!$K$2:$K$301)-G181)^2)+SUMPRODUCT(--(Data!$C$2:$C$301&gt;A181),(SQRT(Data!$K$2:$K$301)-H181)^2)</f>
        <v>1064.3197436500957</v>
      </c>
      <c r="J181">
        <f t="shared" si="6"/>
        <v>1</v>
      </c>
      <c r="K181">
        <f t="shared" si="7"/>
        <v>532795.7448478135</v>
      </c>
      <c r="L181">
        <f t="shared" si="8"/>
        <v>1064.3197436500957</v>
      </c>
    </row>
    <row r="182" spans="1:12" x14ac:dyDescent="0.2">
      <c r="A182">
        <f>Data!C182</f>
        <v>47</v>
      </c>
      <c r="B182">
        <f>COUNTIF(Data!$C$2:$C$301,"&lt;="&amp;A182)</f>
        <v>192</v>
      </c>
      <c r="C182">
        <f>IF(B182=0,0,AVERAGEIF(Data!$C$2:$C$301,"&lt;="&amp;A182,Data!$K$2:$K$301))</f>
        <v>106.89555183915331</v>
      </c>
      <c r="D182">
        <f>COUNTIF(Data!$C$2:$C$301,"&gt;"&amp;A182)</f>
        <v>108</v>
      </c>
      <c r="E182">
        <f>IF(D182=0,0,AVERAGEIF(Data!$C$2:$C$301,"&gt;"&amp;A182,Data!$K$2:$K$301))</f>
        <v>116.18562289092554</v>
      </c>
      <c r="F182">
        <f>SUMPRODUCT(--(Data!$C$2:$C$301&lt;=A182),(Data!$K$2:$K$301-C182)^2)+SUMPRODUCT(--(Data!$C$2:$C$301&gt;A182),(Data!$K$2:$K$301-E182)^2)</f>
        <v>531308.47445059323</v>
      </c>
      <c r="G182">
        <f>IF(B182=0,0,SUMPRODUCT(--(Data!$C$2:$C$301&lt;=A182),SQRT(Data!$K$2:$K$301))/B182)</f>
        <v>10.171333435224357</v>
      </c>
      <c r="H182">
        <f>IF(D182=0,0,SUMPRODUCT(--(Data!$C$2:$C$301&gt;A182),SQRT(Data!$K$2:$K$301))/D182)</f>
        <v>10.60583456009074</v>
      </c>
      <c r="I182">
        <f>SUMPRODUCT(--(Data!$C$2:$C$301&lt;=A182),(SQRT(Data!$K$2:$K$301)-G182)^2)+SUMPRODUCT(--(Data!$C$2:$C$301&gt;A182),(SQRT(Data!$K$2:$K$301)-H182)^2)</f>
        <v>1060.1941607092617</v>
      </c>
      <c r="J182">
        <f t="shared" si="6"/>
        <v>1</v>
      </c>
      <c r="K182">
        <f t="shared" si="7"/>
        <v>531308.47445059323</v>
      </c>
      <c r="L182">
        <f t="shared" si="8"/>
        <v>1060.1941607092617</v>
      </c>
    </row>
    <row r="183" spans="1:12" x14ac:dyDescent="0.2">
      <c r="A183">
        <f>Data!C183</f>
        <v>27</v>
      </c>
      <c r="B183">
        <f>COUNTIF(Data!$C$2:$C$301,"&lt;="&amp;A183)</f>
        <v>38</v>
      </c>
      <c r="C183">
        <f>IF(B183=0,0,AVERAGEIF(Data!$C$2:$C$301,"&lt;="&amp;A183,Data!$K$2:$K$301))</f>
        <v>78.423980333724913</v>
      </c>
      <c r="D183">
        <f>COUNTIF(Data!$C$2:$C$301,"&gt;"&amp;A183)</f>
        <v>262</v>
      </c>
      <c r="E183">
        <f>IF(D183=0,0,AVERAGEIF(Data!$C$2:$C$301,"&gt;"&amp;A183,Data!$K$2:$K$301))</f>
        <v>114.85451134601466</v>
      </c>
      <c r="F183">
        <f>SUMPRODUCT(--(Data!$C$2:$C$301&lt;=A183),(Data!$K$2:$K$301-C183)^2)+SUMPRODUCT(--(Data!$C$2:$C$301&gt;A183),(Data!$K$2:$K$301-E183)^2)</f>
        <v>493229.10568974749</v>
      </c>
      <c r="G183">
        <f>IF(B183=0,0,SUMPRODUCT(--(Data!$C$2:$C$301&lt;=A183),SQRT(Data!$K$2:$K$301))/B183)</f>
        <v>8.7678478230846917</v>
      </c>
      <c r="H183">
        <f>IF(D183=0,0,SUMPRODUCT(--(Data!$C$2:$C$301&gt;A183),SQRT(Data!$K$2:$K$301))/D183)</f>
        <v>10.553999751052134</v>
      </c>
      <c r="I183">
        <f>SUMPRODUCT(--(Data!$C$2:$C$301&lt;=A183),(SQRT(Data!$K$2:$K$301)-G183)^2)+SUMPRODUCT(--(Data!$C$2:$C$301&gt;A183),(SQRT(Data!$K$2:$K$301)-H183)^2)</f>
        <v>967.36670303947096</v>
      </c>
      <c r="J183">
        <f t="shared" si="6"/>
        <v>1</v>
      </c>
      <c r="K183">
        <f t="shared" si="7"/>
        <v>493229.10568974749</v>
      </c>
      <c r="L183">
        <f t="shared" si="8"/>
        <v>967.36670303947096</v>
      </c>
    </row>
    <row r="184" spans="1:12" x14ac:dyDescent="0.2">
      <c r="A184">
        <f>Data!C184</f>
        <v>39</v>
      </c>
      <c r="B184">
        <f>COUNTIF(Data!$C$2:$C$301,"&lt;="&amp;A184)</f>
        <v>124</v>
      </c>
      <c r="C184">
        <f>IF(B184=0,0,AVERAGEIF(Data!$C$2:$C$301,"&lt;="&amp;A184,Data!$K$2:$K$301))</f>
        <v>102.61244696541844</v>
      </c>
      <c r="D184">
        <f>COUNTIF(Data!$C$2:$C$301,"&gt;"&amp;A184)</f>
        <v>176</v>
      </c>
      <c r="E184">
        <f>IF(D184=0,0,AVERAGEIF(Data!$C$2:$C$301,"&gt;"&amp;A184,Data!$K$2:$K$301))</f>
        <v>115.61391932741766</v>
      </c>
      <c r="F184">
        <f>SUMPRODUCT(--(Data!$C$2:$C$301&lt;=A184),(Data!$K$2:$K$301-C184)^2)+SUMPRODUCT(--(Data!$C$2:$C$301&gt;A184),(Data!$K$2:$K$301-E184)^2)</f>
        <v>524976.93342166441</v>
      </c>
      <c r="G184">
        <f>IF(B184=0,0,SUMPRODUCT(--(Data!$C$2:$C$301&lt;=A184),SQRT(Data!$K$2:$K$301))/B184)</f>
        <v>9.9647092312663439</v>
      </c>
      <c r="H184">
        <f>IF(D184=0,0,SUMPRODUCT(--(Data!$C$2:$C$301&gt;A184),SQRT(Data!$K$2:$K$301))/D184)</f>
        <v>10.583535269180963</v>
      </c>
      <c r="I184">
        <f>SUMPRODUCT(--(Data!$C$2:$C$301&lt;=A184),(SQRT(Data!$K$2:$K$301)-G184)^2)+SUMPRODUCT(--(Data!$C$2:$C$301&gt;A184),(SQRT(Data!$K$2:$K$301)-H184)^2)</f>
        <v>1045.385389696934</v>
      </c>
      <c r="J184">
        <f t="shared" si="6"/>
        <v>1</v>
      </c>
      <c r="K184">
        <f t="shared" si="7"/>
        <v>524976.93342166441</v>
      </c>
      <c r="L184">
        <f t="shared" si="8"/>
        <v>1045.385389696934</v>
      </c>
    </row>
    <row r="185" spans="1:12" x14ac:dyDescent="0.2">
      <c r="A185">
        <f>Data!C185</f>
        <v>44</v>
      </c>
      <c r="B185">
        <f>COUNTIF(Data!$C$2:$C$301,"&lt;="&amp;A185)</f>
        <v>168</v>
      </c>
      <c r="C185">
        <f>IF(B185=0,0,AVERAGEIF(Data!$C$2:$C$301,"&lt;="&amp;A185,Data!$K$2:$K$301))</f>
        <v>106.42367056440787</v>
      </c>
      <c r="D185">
        <f>COUNTIF(Data!$C$2:$C$301,"&gt;"&amp;A185)</f>
        <v>132</v>
      </c>
      <c r="E185">
        <f>IF(D185=0,0,AVERAGEIF(Data!$C$2:$C$301,"&gt;"&amp;A185,Data!$K$2:$K$301))</f>
        <v>115.09709523118842</v>
      </c>
      <c r="F185">
        <f>SUMPRODUCT(--(Data!$C$2:$C$301&lt;=A185),(Data!$K$2:$K$301-C185)^2)+SUMPRODUCT(--(Data!$C$2:$C$301&gt;A185),(Data!$K$2:$K$301-E185)^2)</f>
        <v>531713.02949146449</v>
      </c>
      <c r="G185">
        <f>IF(B185=0,0,SUMPRODUCT(--(Data!$C$2:$C$301&lt;=A185),SQRT(Data!$K$2:$K$301))/B185)</f>
        <v>10.139424236317097</v>
      </c>
      <c r="H185">
        <f>IF(D185=0,0,SUMPRODUCT(--(Data!$C$2:$C$301&gt;A185),SQRT(Data!$K$2:$K$301))/D185)</f>
        <v>10.567446063269731</v>
      </c>
      <c r="I185">
        <f>SUMPRODUCT(--(Data!$C$2:$C$301&lt;=A185),(SQRT(Data!$K$2:$K$301)-G185)^2)+SUMPRODUCT(--(Data!$C$2:$C$301&gt;A185),(SQRT(Data!$K$2:$K$301)-H185)^2)</f>
        <v>1059.7010679277687</v>
      </c>
      <c r="J185">
        <f t="shared" si="6"/>
        <v>1</v>
      </c>
      <c r="K185">
        <f t="shared" si="7"/>
        <v>531713.02949146449</v>
      </c>
      <c r="L185">
        <f t="shared" si="8"/>
        <v>1059.7010679277687</v>
      </c>
    </row>
    <row r="186" spans="1:12" x14ac:dyDescent="0.2">
      <c r="A186">
        <f>Data!C186</f>
        <v>37</v>
      </c>
      <c r="B186">
        <f>COUNTIF(Data!$C$2:$C$301,"&lt;="&amp;A186)</f>
        <v>106</v>
      </c>
      <c r="C186">
        <f>IF(B186=0,0,AVERAGEIF(Data!$C$2:$C$301,"&lt;="&amp;A186,Data!$K$2:$K$301))</f>
        <v>97.276622779475886</v>
      </c>
      <c r="D186">
        <f>COUNTIF(Data!$C$2:$C$301,"&gt;"&amp;A186)</f>
        <v>194</v>
      </c>
      <c r="E186">
        <f>IF(D186=0,0,AVERAGEIF(Data!$C$2:$C$301,"&gt;"&amp;A186,Data!$K$2:$K$301))</f>
        <v>117.32304747790181</v>
      </c>
      <c r="F186">
        <f>SUMPRODUCT(--(Data!$C$2:$C$301&lt;=A186),(Data!$K$2:$K$301-C186)^2)+SUMPRODUCT(--(Data!$C$2:$C$301&gt;A186),(Data!$K$2:$K$301-E186)^2)</f>
        <v>509727.80035597854</v>
      </c>
      <c r="G186">
        <f>IF(B186=0,0,SUMPRODUCT(--(Data!$C$2:$C$301&lt;=A186),SQRT(Data!$K$2:$K$301))/B186)</f>
        <v>9.717465630869949</v>
      </c>
      <c r="H186">
        <f>IF(D186=0,0,SUMPRODUCT(--(Data!$C$2:$C$301&gt;A186),SQRT(Data!$K$2:$K$301))/D186)</f>
        <v>10.661210284436402</v>
      </c>
      <c r="I186">
        <f>SUMPRODUCT(--(Data!$C$2:$C$301&lt;=A186),(SQRT(Data!$K$2:$K$301)-G186)^2)+SUMPRODUCT(--(Data!$C$2:$C$301&gt;A186),(SQRT(Data!$K$2:$K$301)-H186)^2)</f>
        <v>1012.1920494800115</v>
      </c>
      <c r="J186">
        <f t="shared" si="6"/>
        <v>1</v>
      </c>
      <c r="K186">
        <f t="shared" si="7"/>
        <v>509727.80035597854</v>
      </c>
      <c r="L186">
        <f t="shared" si="8"/>
        <v>1012.1920494800115</v>
      </c>
    </row>
    <row r="187" spans="1:12" x14ac:dyDescent="0.2">
      <c r="A187">
        <f>Data!C187</f>
        <v>52</v>
      </c>
      <c r="B187">
        <f>COUNTIF(Data!$C$2:$C$301,"&lt;="&amp;A187)</f>
        <v>233</v>
      </c>
      <c r="C187">
        <f>IF(B187=0,0,AVERAGEIF(Data!$C$2:$C$301,"&lt;="&amp;A187,Data!$K$2:$K$301))</f>
        <v>108.60725979033396</v>
      </c>
      <c r="D187">
        <f>COUNTIF(Data!$C$2:$C$301,"&gt;"&amp;A187)</f>
        <v>67</v>
      </c>
      <c r="E187">
        <f>IF(D187=0,0,AVERAGEIF(Data!$C$2:$C$301,"&gt;"&amp;A187,Data!$K$2:$K$301))</f>
        <v>115.91793573417284</v>
      </c>
      <c r="F187">
        <f>SUMPRODUCT(--(Data!$C$2:$C$301&lt;=A187),(Data!$K$2:$K$301-C187)^2)+SUMPRODUCT(--(Data!$C$2:$C$301&gt;A187),(Data!$K$2:$K$301-E187)^2)</f>
        <v>534492.75430181436</v>
      </c>
      <c r="G187">
        <f>IF(B187=0,0,SUMPRODUCT(--(Data!$C$2:$C$301&lt;=A187),SQRT(Data!$K$2:$K$301))/B187)</f>
        <v>10.252913653753263</v>
      </c>
      <c r="H187">
        <f>IF(D187=0,0,SUMPRODUCT(--(Data!$C$2:$C$301&gt;A187),SQRT(Data!$K$2:$K$301))/D187)</f>
        <v>10.588018966095051</v>
      </c>
      <c r="I187">
        <f>SUMPRODUCT(--(Data!$C$2:$C$301&lt;=A187),(SQRT(Data!$K$2:$K$301)-G187)^2)+SUMPRODUCT(--(Data!$C$2:$C$301&gt;A187),(SQRT(Data!$K$2:$K$301)-H187)^2)</f>
        <v>1067.3999231918131</v>
      </c>
      <c r="J187">
        <f t="shared" si="6"/>
        <v>1</v>
      </c>
      <c r="K187">
        <f t="shared" si="7"/>
        <v>534492.75430181436</v>
      </c>
      <c r="L187">
        <f t="shared" si="8"/>
        <v>1067.3999231918131</v>
      </c>
    </row>
    <row r="188" spans="1:12" x14ac:dyDescent="0.2">
      <c r="A188">
        <f>Data!C188</f>
        <v>26</v>
      </c>
      <c r="B188">
        <f>COUNTIF(Data!$C$2:$C$301,"&lt;="&amp;A188)</f>
        <v>29</v>
      </c>
      <c r="C188">
        <f>IF(B188=0,0,AVERAGEIF(Data!$C$2:$C$301,"&lt;="&amp;A188,Data!$K$2:$K$301))</f>
        <v>74.763854576383011</v>
      </c>
      <c r="D188">
        <f>COUNTIF(Data!$C$2:$C$301,"&gt;"&amp;A188)</f>
        <v>271</v>
      </c>
      <c r="E188">
        <f>IF(D188=0,0,AVERAGEIF(Data!$C$2:$C$301,"&gt;"&amp;A188,Data!$K$2:$K$301))</f>
        <v>114.03631528642907</v>
      </c>
      <c r="F188">
        <f>SUMPRODUCT(--(Data!$C$2:$C$301&lt;=A188),(Data!$K$2:$K$301-C188)^2)+SUMPRODUCT(--(Data!$C$2:$C$301&gt;A188),(Data!$K$2:$K$301-E188)^2)</f>
        <v>496870.10051856615</v>
      </c>
      <c r="G188">
        <f>IF(B188=0,0,SUMPRODUCT(--(Data!$C$2:$C$301&lt;=A188),SQRT(Data!$K$2:$K$301))/B188)</f>
        <v>8.5689923293930157</v>
      </c>
      <c r="H188">
        <f>IF(D188=0,0,SUMPRODUCT(--(Data!$C$2:$C$301&gt;A188),SQRT(Data!$K$2:$K$301))/D188)</f>
        <v>10.515960791514686</v>
      </c>
      <c r="I188">
        <f>SUMPRODUCT(--(Data!$C$2:$C$301&lt;=A188),(SQRT(Data!$K$2:$K$301)-G188)^2)+SUMPRODUCT(--(Data!$C$2:$C$301&gt;A188),(SQRT(Data!$K$2:$K$301)-H188)^2)</f>
        <v>973.94006773199931</v>
      </c>
      <c r="J188">
        <f t="shared" si="6"/>
        <v>1</v>
      </c>
      <c r="K188">
        <f t="shared" si="7"/>
        <v>496870.10051856615</v>
      </c>
      <c r="L188">
        <f t="shared" si="8"/>
        <v>973.94006773199931</v>
      </c>
    </row>
    <row r="189" spans="1:12" x14ac:dyDescent="0.2">
      <c r="A189">
        <f>Data!C189</f>
        <v>39</v>
      </c>
      <c r="B189">
        <f>COUNTIF(Data!$C$2:$C$301,"&lt;="&amp;A189)</f>
        <v>124</v>
      </c>
      <c r="C189">
        <f>IF(B189=0,0,AVERAGEIF(Data!$C$2:$C$301,"&lt;="&amp;A189,Data!$K$2:$K$301))</f>
        <v>102.61244696541844</v>
      </c>
      <c r="D189">
        <f>COUNTIF(Data!$C$2:$C$301,"&gt;"&amp;A189)</f>
        <v>176</v>
      </c>
      <c r="E189">
        <f>IF(D189=0,0,AVERAGEIF(Data!$C$2:$C$301,"&gt;"&amp;A189,Data!$K$2:$K$301))</f>
        <v>115.61391932741766</v>
      </c>
      <c r="F189">
        <f>SUMPRODUCT(--(Data!$C$2:$C$301&lt;=A189),(Data!$K$2:$K$301-C189)^2)+SUMPRODUCT(--(Data!$C$2:$C$301&gt;A189),(Data!$K$2:$K$301-E189)^2)</f>
        <v>524976.93342166441</v>
      </c>
      <c r="G189">
        <f>IF(B189=0,0,SUMPRODUCT(--(Data!$C$2:$C$301&lt;=A189),SQRT(Data!$K$2:$K$301))/B189)</f>
        <v>9.9647092312663439</v>
      </c>
      <c r="H189">
        <f>IF(D189=0,0,SUMPRODUCT(--(Data!$C$2:$C$301&gt;A189),SQRT(Data!$K$2:$K$301))/D189)</f>
        <v>10.583535269180963</v>
      </c>
      <c r="I189">
        <f>SUMPRODUCT(--(Data!$C$2:$C$301&lt;=A189),(SQRT(Data!$K$2:$K$301)-G189)^2)+SUMPRODUCT(--(Data!$C$2:$C$301&gt;A189),(SQRT(Data!$K$2:$K$301)-H189)^2)</f>
        <v>1045.385389696934</v>
      </c>
      <c r="J189">
        <f t="shared" si="6"/>
        <v>1</v>
      </c>
      <c r="K189">
        <f t="shared" si="7"/>
        <v>524976.93342166441</v>
      </c>
      <c r="L189">
        <f t="shared" si="8"/>
        <v>1045.385389696934</v>
      </c>
    </row>
    <row r="190" spans="1:12" x14ac:dyDescent="0.2">
      <c r="A190">
        <f>Data!C190</f>
        <v>25</v>
      </c>
      <c r="B190">
        <f>COUNTIF(Data!$C$2:$C$301,"&lt;="&amp;A190)</f>
        <v>25</v>
      </c>
      <c r="C190">
        <f>IF(B190=0,0,AVERAGEIF(Data!$C$2:$C$301,"&lt;="&amp;A190,Data!$K$2:$K$301))</f>
        <v>71.145225507852857</v>
      </c>
      <c r="D190">
        <f>COUNTIF(Data!$C$2:$C$301,"&gt;"&amp;A190)</f>
        <v>275</v>
      </c>
      <c r="E190">
        <f>IF(D190=0,0,AVERAGEIF(Data!$C$2:$C$301,"&gt;"&amp;A190,Data!$K$2:$K$301))</f>
        <v>113.79404577324024</v>
      </c>
      <c r="F190">
        <f>SUMPRODUCT(--(Data!$C$2:$C$301&lt;=A190),(Data!$K$2:$K$301-C190)^2)+SUMPRODUCT(--(Data!$C$2:$C$301&gt;A190),(Data!$K$2:$K$301-E190)^2)</f>
        <v>495590.27890297974</v>
      </c>
      <c r="G190">
        <f>IF(B190=0,0,SUMPRODUCT(--(Data!$C$2:$C$301&lt;=A190),SQRT(Data!$K$2:$K$301))/B190)</f>
        <v>8.3640861015010071</v>
      </c>
      <c r="H190">
        <f>IF(D190=0,0,SUMPRODUCT(--(Data!$C$2:$C$301&gt;A190),SQRT(Data!$K$2:$K$301))/D190)</f>
        <v>10.506269089146738</v>
      </c>
      <c r="I190">
        <f>SUMPRODUCT(--(Data!$C$2:$C$301&lt;=A190),(SQRT(Data!$K$2:$K$301)-G190)^2)+SUMPRODUCT(--(Data!$C$2:$C$301&gt;A190),(SQRT(Data!$K$2:$K$301)-H190)^2)</f>
        <v>968.08001977529261</v>
      </c>
      <c r="J190">
        <f t="shared" si="6"/>
        <v>1</v>
      </c>
      <c r="K190">
        <f t="shared" si="7"/>
        <v>495590.27890297974</v>
      </c>
      <c r="L190">
        <f t="shared" si="8"/>
        <v>968.08001977529261</v>
      </c>
    </row>
    <row r="191" spans="1:12" x14ac:dyDescent="0.2">
      <c r="A191">
        <f>Data!C191</f>
        <v>31</v>
      </c>
      <c r="B191">
        <f>COUNTIF(Data!$C$2:$C$301,"&lt;="&amp;A191)</f>
        <v>55</v>
      </c>
      <c r="C191">
        <f>IF(B191=0,0,AVERAGEIF(Data!$C$2:$C$301,"&lt;="&amp;A191,Data!$K$2:$K$301))</f>
        <v>85.503219327454232</v>
      </c>
      <c r="D191">
        <f>COUNTIF(Data!$C$2:$C$301,"&gt;"&amp;A191)</f>
        <v>245</v>
      </c>
      <c r="E191">
        <f>IF(D191=0,0,AVERAGEIF(Data!$C$2:$C$301,"&gt;"&amp;A191,Data!$K$2:$K$301))</f>
        <v>115.79312719317309</v>
      </c>
      <c r="F191">
        <f>SUMPRODUCT(--(Data!$C$2:$C$301&lt;=A191),(Data!$K$2:$K$301-C191)^2)+SUMPRODUCT(--(Data!$C$2:$C$301&gt;A191),(Data!$K$2:$K$301-E191)^2)</f>
        <v>496063.82830124395</v>
      </c>
      <c r="G191">
        <f>IF(B191=0,0,SUMPRODUCT(--(Data!$C$2:$C$301&lt;=A191),SQRT(Data!$K$2:$K$301))/B191)</f>
        <v>9.121742078944763</v>
      </c>
      <c r="H191">
        <f>IF(D191=0,0,SUMPRODUCT(--(Data!$C$2:$C$301&gt;A191),SQRT(Data!$K$2:$K$301))/D191)</f>
        <v>10.598491174330269</v>
      </c>
      <c r="I191">
        <f>SUMPRODUCT(--(Data!$C$2:$C$301&lt;=A191),(SQRT(Data!$K$2:$K$301)-G191)^2)+SUMPRODUCT(--(Data!$C$2:$C$301&gt;A191),(SQRT(Data!$K$2:$K$301)-H191)^2)</f>
        <v>975.28968759650343</v>
      </c>
      <c r="J191">
        <f t="shared" si="6"/>
        <v>1</v>
      </c>
      <c r="K191">
        <f t="shared" si="7"/>
        <v>496063.82830124395</v>
      </c>
      <c r="L191">
        <f t="shared" si="8"/>
        <v>975.28968759650343</v>
      </c>
    </row>
    <row r="192" spans="1:12" x14ac:dyDescent="0.2">
      <c r="A192">
        <f>Data!C192</f>
        <v>58</v>
      </c>
      <c r="B192">
        <f>COUNTIF(Data!$C$2:$C$301,"&lt;="&amp;A192)</f>
        <v>272</v>
      </c>
      <c r="C192">
        <f>IF(B192=0,0,AVERAGEIF(Data!$C$2:$C$301,"&lt;="&amp;A192,Data!$K$2:$K$301))</f>
        <v>109.41135476595819</v>
      </c>
      <c r="D192">
        <f>COUNTIF(Data!$C$2:$C$301,"&gt;"&amp;A192)</f>
        <v>28</v>
      </c>
      <c r="E192">
        <f>IF(D192=0,0,AVERAGEIF(Data!$C$2:$C$301,"&gt;"&amp;A192,Data!$K$2:$K$301))</f>
        <v>118.28945460702718</v>
      </c>
      <c r="F192">
        <f>SUMPRODUCT(--(Data!$C$2:$C$301&lt;=A192),(Data!$K$2:$K$301-C192)^2)+SUMPRODUCT(--(Data!$C$2:$C$301&gt;A192),(Data!$K$2:$K$301-E192)^2)</f>
        <v>535272.91135082708</v>
      </c>
      <c r="G192">
        <f>IF(B192=0,0,SUMPRODUCT(--(Data!$C$2:$C$301&lt;=A192),SQRT(Data!$K$2:$K$301))/B192)</f>
        <v>10.298937442089837</v>
      </c>
      <c r="H192">
        <f>IF(D192=0,0,SUMPRODUCT(--(Data!$C$2:$C$301&gt;A192),SQRT(Data!$K$2:$K$301))/D192)</f>
        <v>10.607684564444401</v>
      </c>
      <c r="I192">
        <f>SUMPRODUCT(--(Data!$C$2:$C$301&lt;=A192),(SQRT(Data!$K$2:$K$301)-G192)^2)+SUMPRODUCT(--(Data!$C$2:$C$301&gt;A192),(SQRT(Data!$K$2:$K$301)-H192)^2)</f>
        <v>1070.8234317986235</v>
      </c>
      <c r="J192">
        <f t="shared" si="6"/>
        <v>1</v>
      </c>
      <c r="K192">
        <f t="shared" si="7"/>
        <v>535272.91135082708</v>
      </c>
      <c r="L192">
        <f t="shared" si="8"/>
        <v>1070.8234317986235</v>
      </c>
    </row>
    <row r="193" spans="1:12" x14ac:dyDescent="0.2">
      <c r="A193">
        <f>Data!C193</f>
        <v>30</v>
      </c>
      <c r="B193">
        <f>COUNTIF(Data!$C$2:$C$301,"&lt;="&amp;A193)</f>
        <v>52</v>
      </c>
      <c r="C193">
        <f>IF(B193=0,0,AVERAGEIF(Data!$C$2:$C$301,"&lt;="&amp;A193,Data!$K$2:$K$301))</f>
        <v>86.222807371193227</v>
      </c>
      <c r="D193">
        <f>COUNTIF(Data!$C$2:$C$301,"&gt;"&amp;A193)</f>
        <v>248</v>
      </c>
      <c r="E193">
        <f>IF(D193=0,0,AVERAGEIF(Data!$C$2:$C$301,"&gt;"&amp;A193,Data!$K$2:$K$301))</f>
        <v>115.27583565336832</v>
      </c>
      <c r="F193">
        <f>SUMPRODUCT(--(Data!$C$2:$C$301&lt;=A193),(Data!$K$2:$K$301-C193)^2)+SUMPRODUCT(--(Data!$C$2:$C$301&gt;A193),(Data!$K$2:$K$301-E193)^2)</f>
        <v>500989.78601882781</v>
      </c>
      <c r="G193">
        <f>IF(B193=0,0,SUMPRODUCT(--(Data!$C$2:$C$301&lt;=A193),SQRT(Data!$K$2:$K$301))/B193)</f>
        <v>9.1609178862411547</v>
      </c>
      <c r="H193">
        <f>IF(D193=0,0,SUMPRODUCT(--(Data!$C$2:$C$301&gt;A193),SQRT(Data!$K$2:$K$301))/D193)</f>
        <v>10.572412991807813</v>
      </c>
      <c r="I193">
        <f>SUMPRODUCT(--(Data!$C$2:$C$301&lt;=A193),(SQRT(Data!$K$2:$K$301)-G193)^2)+SUMPRODUCT(--(Data!$C$2:$C$301&gt;A193),(SQRT(Data!$K$2:$K$301)-H193)^2)</f>
        <v>987.60028197987617</v>
      </c>
      <c r="J193">
        <f t="shared" si="6"/>
        <v>1</v>
      </c>
      <c r="K193">
        <f t="shared" si="7"/>
        <v>500989.78601882781</v>
      </c>
      <c r="L193">
        <f t="shared" si="8"/>
        <v>987.60028197987617</v>
      </c>
    </row>
    <row r="194" spans="1:12" x14ac:dyDescent="0.2">
      <c r="A194">
        <f>Data!C194</f>
        <v>27</v>
      </c>
      <c r="B194">
        <f>COUNTIF(Data!$C$2:$C$301,"&lt;="&amp;A194)</f>
        <v>38</v>
      </c>
      <c r="C194">
        <f>IF(B194=0,0,AVERAGEIF(Data!$C$2:$C$301,"&lt;="&amp;A194,Data!$K$2:$K$301))</f>
        <v>78.423980333724913</v>
      </c>
      <c r="D194">
        <f>COUNTIF(Data!$C$2:$C$301,"&gt;"&amp;A194)</f>
        <v>262</v>
      </c>
      <c r="E194">
        <f>IF(D194=0,0,AVERAGEIF(Data!$C$2:$C$301,"&gt;"&amp;A194,Data!$K$2:$K$301))</f>
        <v>114.85451134601466</v>
      </c>
      <c r="F194">
        <f>SUMPRODUCT(--(Data!$C$2:$C$301&lt;=A194),(Data!$K$2:$K$301-C194)^2)+SUMPRODUCT(--(Data!$C$2:$C$301&gt;A194),(Data!$K$2:$K$301-E194)^2)</f>
        <v>493229.10568974749</v>
      </c>
      <c r="G194">
        <f>IF(B194=0,0,SUMPRODUCT(--(Data!$C$2:$C$301&lt;=A194),SQRT(Data!$K$2:$K$301))/B194)</f>
        <v>8.7678478230846917</v>
      </c>
      <c r="H194">
        <f>IF(D194=0,0,SUMPRODUCT(--(Data!$C$2:$C$301&gt;A194),SQRT(Data!$K$2:$K$301))/D194)</f>
        <v>10.553999751052134</v>
      </c>
      <c r="I194">
        <f>SUMPRODUCT(--(Data!$C$2:$C$301&lt;=A194),(SQRT(Data!$K$2:$K$301)-G194)^2)+SUMPRODUCT(--(Data!$C$2:$C$301&gt;A194),(SQRT(Data!$K$2:$K$301)-H194)^2)</f>
        <v>967.36670303947096</v>
      </c>
      <c r="J194">
        <f t="shared" ref="J194:J251" si="9">IF(AND(B194&gt;0,D194&gt;0),1,0)</f>
        <v>1</v>
      </c>
      <c r="K194">
        <f t="shared" ref="K194:K257" si="10">IF(J194=1,F194,1E+99)</f>
        <v>493229.10568974749</v>
      </c>
      <c r="L194">
        <f t="shared" ref="L194:L251" si="11">IF(J194=1,I194,1E+99)</f>
        <v>967.36670303947096</v>
      </c>
    </row>
    <row r="195" spans="1:12" x14ac:dyDescent="0.2">
      <c r="A195">
        <f>Data!C195</f>
        <v>40</v>
      </c>
      <c r="B195">
        <f>COUNTIF(Data!$C$2:$C$301,"&lt;="&amp;A195)</f>
        <v>135</v>
      </c>
      <c r="C195">
        <f>IF(B195=0,0,AVERAGEIF(Data!$C$2:$C$301,"&lt;="&amp;A195,Data!$K$2:$K$301))</f>
        <v>103.38613121677049</v>
      </c>
      <c r="D195">
        <f>COUNTIF(Data!$C$2:$C$301,"&gt;"&amp;A195)</f>
        <v>165</v>
      </c>
      <c r="E195">
        <f>IF(D195=0,0,AVERAGEIF(Data!$C$2:$C$301,"&gt;"&amp;A195,Data!$K$2:$K$301))</f>
        <v>115.8476697640811</v>
      </c>
      <c r="F195">
        <f>SUMPRODUCT(--(Data!$C$2:$C$301&lt;=A195),(Data!$K$2:$K$301-C195)^2)+SUMPRODUCT(--(Data!$C$2:$C$301&gt;A195),(Data!$K$2:$K$301-E195)^2)</f>
        <v>525743.62682591786</v>
      </c>
      <c r="G195">
        <f>IF(B195=0,0,SUMPRODUCT(--(Data!$C$2:$C$301&lt;=A195),SQRT(Data!$K$2:$K$301))/B195)</f>
        <v>10.003662056878664</v>
      </c>
      <c r="H195">
        <f>IF(D195=0,0,SUMPRODUCT(--(Data!$C$2:$C$301&gt;A195),SQRT(Data!$K$2:$K$301))/D195)</f>
        <v>10.592919844692464</v>
      </c>
      <c r="I195">
        <f>SUMPRODUCT(--(Data!$C$2:$C$301&lt;=A195),(SQRT(Data!$K$2:$K$301)-G195)^2)+SUMPRODUCT(--(Data!$C$2:$C$301&gt;A195),(SQRT(Data!$K$2:$K$301)-H195)^2)</f>
        <v>1047.4619733726961</v>
      </c>
      <c r="J195">
        <f t="shared" si="9"/>
        <v>1</v>
      </c>
      <c r="K195">
        <f t="shared" si="10"/>
        <v>525743.62682591786</v>
      </c>
      <c r="L195">
        <f t="shared" si="11"/>
        <v>1047.4619733726961</v>
      </c>
    </row>
    <row r="196" spans="1:12" x14ac:dyDescent="0.2">
      <c r="A196">
        <f>Data!C196</f>
        <v>55</v>
      </c>
      <c r="B196">
        <f>COUNTIF(Data!$C$2:$C$301,"&lt;="&amp;A196)</f>
        <v>254</v>
      </c>
      <c r="C196">
        <f>IF(B196=0,0,AVERAGEIF(Data!$C$2:$C$301,"&lt;="&amp;A196,Data!$K$2:$K$301))</f>
        <v>109.04767359994145</v>
      </c>
      <c r="D196">
        <f>COUNTIF(Data!$C$2:$C$301,"&gt;"&amp;A196)</f>
        <v>46</v>
      </c>
      <c r="E196">
        <f>IF(D196=0,0,AVERAGEIF(Data!$C$2:$C$301,"&gt;"&amp;A196,Data!$K$2:$K$301))</f>
        <v>116.82356806417974</v>
      </c>
      <c r="F196">
        <f>SUMPRODUCT(--(Data!$C$2:$C$301&lt;=A196),(Data!$K$2:$K$301-C196)^2)+SUMPRODUCT(--(Data!$C$2:$C$301&gt;A196),(Data!$K$2:$K$301-E196)^2)</f>
        <v>534919.01301229745</v>
      </c>
      <c r="G196">
        <f>IF(B196=0,0,SUMPRODUCT(--(Data!$C$2:$C$301&lt;=A196),SQRT(Data!$K$2:$K$301))/B196)</f>
        <v>10.278944478092541</v>
      </c>
      <c r="H196">
        <f>IF(D196=0,0,SUMPRODUCT(--(Data!$C$2:$C$301&gt;A196),SQRT(Data!$K$2:$K$301))/D196)</f>
        <v>10.597266404725501</v>
      </c>
      <c r="I196">
        <f>SUMPRODUCT(--(Data!$C$2:$C$301&lt;=A196),(SQRT(Data!$K$2:$K$301)-G196)^2)+SUMPRODUCT(--(Data!$C$2:$C$301&gt;A196),(SQRT(Data!$K$2:$K$301)-H196)^2)</f>
        <v>1069.2969894500063</v>
      </c>
      <c r="J196">
        <f t="shared" si="9"/>
        <v>1</v>
      </c>
      <c r="K196">
        <f t="shared" si="10"/>
        <v>534919.01301229745</v>
      </c>
      <c r="L196">
        <f t="shared" si="11"/>
        <v>1069.2969894500063</v>
      </c>
    </row>
    <row r="197" spans="1:12" x14ac:dyDescent="0.2">
      <c r="A197">
        <f>Data!C197</f>
        <v>35</v>
      </c>
      <c r="B197">
        <f>COUNTIF(Data!$C$2:$C$301,"&lt;="&amp;A197)</f>
        <v>90</v>
      </c>
      <c r="C197">
        <f>IF(B197=0,0,AVERAGEIF(Data!$C$2:$C$301,"&lt;="&amp;A197,Data!$K$2:$K$301))</f>
        <v>94.577555019098696</v>
      </c>
      <c r="D197">
        <f>COUNTIF(Data!$C$2:$C$301,"&gt;"&amp;A197)</f>
        <v>210</v>
      </c>
      <c r="E197">
        <f>IF(D197=0,0,AVERAGEIF(Data!$C$2:$C$301,"&gt;"&amp;A197,Data!$K$2:$K$301))</f>
        <v>116.95244416008815</v>
      </c>
      <c r="F197">
        <f>SUMPRODUCT(--(Data!$C$2:$C$301&lt;=A197),(Data!$K$2:$K$301-C197)^2)+SUMPRODUCT(--(Data!$C$2:$C$301&gt;A197),(Data!$K$2:$K$301-E197)^2)</f>
        <v>505733.85825464316</v>
      </c>
      <c r="G197">
        <f>IF(B197=0,0,SUMPRODUCT(--(Data!$C$2:$C$301&lt;=A197),SQRT(Data!$K$2:$K$301))/B197)</f>
        <v>9.5793805119208457</v>
      </c>
      <c r="H197">
        <f>IF(D197=0,0,SUMPRODUCT(--(Data!$C$2:$C$301&gt;A197),SQRT(Data!$K$2:$K$301))/D197)</f>
        <v>10.648485266571434</v>
      </c>
      <c r="I197">
        <f>SUMPRODUCT(--(Data!$C$2:$C$301&lt;=A197),(SQRT(Data!$K$2:$K$301)-G197)^2)+SUMPRODUCT(--(Data!$C$2:$C$301&gt;A197),(SQRT(Data!$K$2:$K$301)-H197)^2)</f>
        <v>1001.2353568405237</v>
      </c>
      <c r="J197">
        <f t="shared" si="9"/>
        <v>1</v>
      </c>
      <c r="K197">
        <f t="shared" si="10"/>
        <v>505733.85825464316</v>
      </c>
      <c r="L197">
        <f t="shared" si="11"/>
        <v>1001.2353568405237</v>
      </c>
    </row>
    <row r="198" spans="1:12" x14ac:dyDescent="0.2">
      <c r="A198">
        <f>Data!C198</f>
        <v>48</v>
      </c>
      <c r="B198">
        <f>COUNTIF(Data!$C$2:$C$301,"&lt;="&amp;A198)</f>
        <v>201</v>
      </c>
      <c r="C198">
        <f>IF(B198=0,0,AVERAGEIF(Data!$C$2:$C$301,"&lt;="&amp;A198,Data!$K$2:$K$301))</f>
        <v>107.52848274057251</v>
      </c>
      <c r="D198">
        <f>COUNTIF(Data!$C$2:$C$301,"&gt;"&amp;A198)</f>
        <v>99</v>
      </c>
      <c r="E198">
        <f>IF(D198=0,0,AVERAGEIF(Data!$C$2:$C$301,"&gt;"&amp;A198,Data!$K$2:$K$301))</f>
        <v>115.74513327759915</v>
      </c>
      <c r="F198">
        <f>SUMPRODUCT(--(Data!$C$2:$C$301&lt;=A198),(Data!$K$2:$K$301-C198)^2)+SUMPRODUCT(--(Data!$C$2:$C$301&gt;A198),(Data!$K$2:$K$301-E198)^2)</f>
        <v>532795.7448478135</v>
      </c>
      <c r="G198">
        <f>IF(B198=0,0,SUMPRODUCT(--(Data!$C$2:$C$301&lt;=A198),SQRT(Data!$K$2:$K$301))/B198)</f>
        <v>10.206713367266193</v>
      </c>
      <c r="H198">
        <f>IF(D198=0,0,SUMPRODUCT(--(Data!$C$2:$C$301&gt;A198),SQRT(Data!$K$2:$K$301))/D198)</f>
        <v>10.573502679114871</v>
      </c>
      <c r="I198">
        <f>SUMPRODUCT(--(Data!$C$2:$C$301&lt;=A198),(SQRT(Data!$K$2:$K$301)-G198)^2)+SUMPRODUCT(--(Data!$C$2:$C$301&gt;A198),(SQRT(Data!$K$2:$K$301)-H198)^2)</f>
        <v>1064.3197436500957</v>
      </c>
      <c r="J198">
        <f t="shared" si="9"/>
        <v>1</v>
      </c>
      <c r="K198">
        <f t="shared" si="10"/>
        <v>532795.7448478135</v>
      </c>
      <c r="L198">
        <f t="shared" si="11"/>
        <v>1064.3197436500957</v>
      </c>
    </row>
    <row r="199" spans="1:12" x14ac:dyDescent="0.2">
      <c r="A199">
        <f>Data!C199</f>
        <v>29</v>
      </c>
      <c r="B199">
        <f>COUNTIF(Data!$C$2:$C$301,"&lt;="&amp;A199)</f>
        <v>48</v>
      </c>
      <c r="C199">
        <f>IF(B199=0,0,AVERAGEIF(Data!$C$2:$C$301,"&lt;="&amp;A199,Data!$K$2:$K$301))</f>
        <v>84.22154017655933</v>
      </c>
      <c r="D199">
        <f>COUNTIF(Data!$C$2:$C$301,"&gt;"&amp;A199)</f>
        <v>252</v>
      </c>
      <c r="E199">
        <f>IF(D199=0,0,AVERAGEIF(Data!$C$2:$C$301,"&gt;"&amp;A199,Data!$K$2:$K$301))</f>
        <v>115.19587022564501</v>
      </c>
      <c r="F199">
        <f>SUMPRODUCT(--(Data!$C$2:$C$301&lt;=A199),(Data!$K$2:$K$301-C199)^2)+SUMPRODUCT(--(Data!$C$2:$C$301&gt;A199),(Data!$K$2:$K$301-E199)^2)</f>
        <v>498590.52929252753</v>
      </c>
      <c r="G199">
        <f>IF(B199=0,0,SUMPRODUCT(--(Data!$C$2:$C$301&lt;=A199),SQRT(Data!$K$2:$K$301))/B199)</f>
        <v>9.0494853810478695</v>
      </c>
      <c r="H199">
        <f>IF(D199=0,0,SUMPRODUCT(--(Data!$C$2:$C$301&gt;A199),SQRT(Data!$K$2:$K$301))/D199)</f>
        <v>10.571233546676904</v>
      </c>
      <c r="I199">
        <f>SUMPRODUCT(--(Data!$C$2:$C$301&lt;=A199),(SQRT(Data!$K$2:$K$301)-G199)^2)+SUMPRODUCT(--(Data!$C$2:$C$301&gt;A199),(SQRT(Data!$K$2:$K$301)-H199)^2)</f>
        <v>979.87368157747937</v>
      </c>
      <c r="J199">
        <f t="shared" si="9"/>
        <v>1</v>
      </c>
      <c r="K199">
        <f t="shared" si="10"/>
        <v>498590.52929252753</v>
      </c>
      <c r="L199">
        <f t="shared" si="11"/>
        <v>979.87368157747937</v>
      </c>
    </row>
    <row r="200" spans="1:12" x14ac:dyDescent="0.2">
      <c r="A200">
        <f>Data!C200</f>
        <v>25</v>
      </c>
      <c r="B200">
        <f>COUNTIF(Data!$C$2:$C$301,"&lt;="&amp;A200)</f>
        <v>25</v>
      </c>
      <c r="C200">
        <f>IF(B200=0,0,AVERAGEIF(Data!$C$2:$C$301,"&lt;="&amp;A200,Data!$K$2:$K$301))</f>
        <v>71.145225507852857</v>
      </c>
      <c r="D200">
        <f>COUNTIF(Data!$C$2:$C$301,"&gt;"&amp;A200)</f>
        <v>275</v>
      </c>
      <c r="E200">
        <f>IF(D200=0,0,AVERAGEIF(Data!$C$2:$C$301,"&gt;"&amp;A200,Data!$K$2:$K$301))</f>
        <v>113.79404577324024</v>
      </c>
      <c r="F200">
        <f>SUMPRODUCT(--(Data!$C$2:$C$301&lt;=A200),(Data!$K$2:$K$301-C200)^2)+SUMPRODUCT(--(Data!$C$2:$C$301&gt;A200),(Data!$K$2:$K$301-E200)^2)</f>
        <v>495590.27890297974</v>
      </c>
      <c r="G200">
        <f>IF(B200=0,0,SUMPRODUCT(--(Data!$C$2:$C$301&lt;=A200),SQRT(Data!$K$2:$K$301))/B200)</f>
        <v>8.3640861015010071</v>
      </c>
      <c r="H200">
        <f>IF(D200=0,0,SUMPRODUCT(--(Data!$C$2:$C$301&gt;A200),SQRT(Data!$K$2:$K$301))/D200)</f>
        <v>10.506269089146738</v>
      </c>
      <c r="I200">
        <f>SUMPRODUCT(--(Data!$C$2:$C$301&lt;=A200),(SQRT(Data!$K$2:$K$301)-G200)^2)+SUMPRODUCT(--(Data!$C$2:$C$301&gt;A200),(SQRT(Data!$K$2:$K$301)-H200)^2)</f>
        <v>968.08001977529261</v>
      </c>
      <c r="J200">
        <f t="shared" si="9"/>
        <v>1</v>
      </c>
      <c r="K200">
        <f t="shared" si="10"/>
        <v>495590.27890297974</v>
      </c>
      <c r="L200">
        <f t="shared" si="11"/>
        <v>968.08001977529261</v>
      </c>
    </row>
    <row r="201" spans="1:12" x14ac:dyDescent="0.2">
      <c r="A201">
        <f>Data!C201</f>
        <v>40</v>
      </c>
      <c r="B201">
        <f>COUNTIF(Data!$C$2:$C$301,"&lt;="&amp;A201)</f>
        <v>135</v>
      </c>
      <c r="C201">
        <f>IF(B201=0,0,AVERAGEIF(Data!$C$2:$C$301,"&lt;="&amp;A201,Data!$K$2:$K$301))</f>
        <v>103.38613121677049</v>
      </c>
      <c r="D201">
        <f>COUNTIF(Data!$C$2:$C$301,"&gt;"&amp;A201)</f>
        <v>165</v>
      </c>
      <c r="E201">
        <f>IF(D201=0,0,AVERAGEIF(Data!$C$2:$C$301,"&gt;"&amp;A201,Data!$K$2:$K$301))</f>
        <v>115.8476697640811</v>
      </c>
      <c r="F201">
        <f>SUMPRODUCT(--(Data!$C$2:$C$301&lt;=A201),(Data!$K$2:$K$301-C201)^2)+SUMPRODUCT(--(Data!$C$2:$C$301&gt;A201),(Data!$K$2:$K$301-E201)^2)</f>
        <v>525743.62682591786</v>
      </c>
      <c r="G201">
        <f>IF(B201=0,0,SUMPRODUCT(--(Data!$C$2:$C$301&lt;=A201),SQRT(Data!$K$2:$K$301))/B201)</f>
        <v>10.003662056878664</v>
      </c>
      <c r="H201">
        <f>IF(D201=0,0,SUMPRODUCT(--(Data!$C$2:$C$301&gt;A201),SQRT(Data!$K$2:$K$301))/D201)</f>
        <v>10.592919844692464</v>
      </c>
      <c r="I201">
        <f>SUMPRODUCT(--(Data!$C$2:$C$301&lt;=A201),(SQRT(Data!$K$2:$K$301)-G201)^2)+SUMPRODUCT(--(Data!$C$2:$C$301&gt;A201),(SQRT(Data!$K$2:$K$301)-H201)^2)</f>
        <v>1047.4619733726961</v>
      </c>
      <c r="J201">
        <f t="shared" si="9"/>
        <v>1</v>
      </c>
      <c r="K201">
        <f t="shared" si="10"/>
        <v>525743.62682591786</v>
      </c>
      <c r="L201">
        <f t="shared" si="11"/>
        <v>1047.4619733726961</v>
      </c>
    </row>
    <row r="202" spans="1:12" x14ac:dyDescent="0.2">
      <c r="A202">
        <f>Data!C202</f>
        <v>27</v>
      </c>
      <c r="B202">
        <f>COUNTIF(Data!$C$2:$C$301,"&lt;="&amp;A202)</f>
        <v>38</v>
      </c>
      <c r="C202">
        <f>IF(B202=0,0,AVERAGEIF(Data!$C$2:$C$301,"&lt;="&amp;A202,Data!$K$2:$K$301))</f>
        <v>78.423980333724913</v>
      </c>
      <c r="D202">
        <f>COUNTIF(Data!$C$2:$C$301,"&gt;"&amp;A202)</f>
        <v>262</v>
      </c>
      <c r="E202">
        <f>IF(D202=0,0,AVERAGEIF(Data!$C$2:$C$301,"&gt;"&amp;A202,Data!$K$2:$K$301))</f>
        <v>114.85451134601466</v>
      </c>
      <c r="F202">
        <f>SUMPRODUCT(--(Data!$C$2:$C$301&lt;=A202),(Data!$K$2:$K$301-C202)^2)+SUMPRODUCT(--(Data!$C$2:$C$301&gt;A202),(Data!$K$2:$K$301-E202)^2)</f>
        <v>493229.10568974749</v>
      </c>
      <c r="G202">
        <f>IF(B202=0,0,SUMPRODUCT(--(Data!$C$2:$C$301&lt;=A202),SQRT(Data!$K$2:$K$301))/B202)</f>
        <v>8.7678478230846917</v>
      </c>
      <c r="H202">
        <f>IF(D202=0,0,SUMPRODUCT(--(Data!$C$2:$C$301&gt;A202),SQRT(Data!$K$2:$K$301))/D202)</f>
        <v>10.553999751052134</v>
      </c>
      <c r="I202">
        <f>SUMPRODUCT(--(Data!$C$2:$C$301&lt;=A202),(SQRT(Data!$K$2:$K$301)-G202)^2)+SUMPRODUCT(--(Data!$C$2:$C$301&gt;A202),(SQRT(Data!$K$2:$K$301)-H202)^2)</f>
        <v>967.36670303947096</v>
      </c>
      <c r="J202">
        <f t="shared" si="9"/>
        <v>1</v>
      </c>
      <c r="K202">
        <f t="shared" si="10"/>
        <v>493229.10568974749</v>
      </c>
      <c r="L202">
        <f t="shared" si="11"/>
        <v>967.36670303947096</v>
      </c>
    </row>
    <row r="203" spans="1:12" x14ac:dyDescent="0.2">
      <c r="A203">
        <f>Data!C203</f>
        <v>44</v>
      </c>
      <c r="B203">
        <f>COUNTIF(Data!$C$2:$C$301,"&lt;="&amp;A203)</f>
        <v>168</v>
      </c>
      <c r="C203">
        <f>IF(B203=0,0,AVERAGEIF(Data!$C$2:$C$301,"&lt;="&amp;A203,Data!$K$2:$K$301))</f>
        <v>106.42367056440787</v>
      </c>
      <c r="D203">
        <f>COUNTIF(Data!$C$2:$C$301,"&gt;"&amp;A203)</f>
        <v>132</v>
      </c>
      <c r="E203">
        <f>IF(D203=0,0,AVERAGEIF(Data!$C$2:$C$301,"&gt;"&amp;A203,Data!$K$2:$K$301))</f>
        <v>115.09709523118842</v>
      </c>
      <c r="F203">
        <f>SUMPRODUCT(--(Data!$C$2:$C$301&lt;=A203),(Data!$K$2:$K$301-C203)^2)+SUMPRODUCT(--(Data!$C$2:$C$301&gt;A203),(Data!$K$2:$K$301-E203)^2)</f>
        <v>531713.02949146449</v>
      </c>
      <c r="G203">
        <f>IF(B203=0,0,SUMPRODUCT(--(Data!$C$2:$C$301&lt;=A203),SQRT(Data!$K$2:$K$301))/B203)</f>
        <v>10.139424236317097</v>
      </c>
      <c r="H203">
        <f>IF(D203=0,0,SUMPRODUCT(--(Data!$C$2:$C$301&gt;A203),SQRT(Data!$K$2:$K$301))/D203)</f>
        <v>10.567446063269731</v>
      </c>
      <c r="I203">
        <f>SUMPRODUCT(--(Data!$C$2:$C$301&lt;=A203),(SQRT(Data!$K$2:$K$301)-G203)^2)+SUMPRODUCT(--(Data!$C$2:$C$301&gt;A203),(SQRT(Data!$K$2:$K$301)-H203)^2)</f>
        <v>1059.7010679277687</v>
      </c>
      <c r="J203">
        <f t="shared" si="9"/>
        <v>1</v>
      </c>
      <c r="K203">
        <f t="shared" si="10"/>
        <v>531713.02949146449</v>
      </c>
      <c r="L203">
        <f t="shared" si="11"/>
        <v>1059.7010679277687</v>
      </c>
    </row>
    <row r="204" spans="1:12" x14ac:dyDescent="0.2">
      <c r="A204">
        <f>Data!C204</f>
        <v>49</v>
      </c>
      <c r="B204">
        <f>COUNTIF(Data!$C$2:$C$301,"&lt;="&amp;A204)</f>
        <v>212</v>
      </c>
      <c r="C204">
        <f>IF(B204=0,0,AVERAGEIF(Data!$C$2:$C$301,"&lt;="&amp;A204,Data!$K$2:$K$301))</f>
        <v>108.2928321953428</v>
      </c>
      <c r="D204">
        <f>COUNTIF(Data!$C$2:$C$301,"&gt;"&amp;A204)</f>
        <v>88</v>
      </c>
      <c r="E204">
        <f>IF(D204=0,0,AVERAGEIF(Data!$C$2:$C$301,"&gt;"&amp;A204,Data!$K$2:$K$301))</f>
        <v>114.93082727187185</v>
      </c>
      <c r="F204">
        <f>SUMPRODUCT(--(Data!$C$2:$C$301&lt;=A204),(Data!$K$2:$K$301-C204)^2)+SUMPRODUCT(--(Data!$C$2:$C$301&gt;A204),(Data!$K$2:$K$301-E204)^2)</f>
        <v>534533.77532637282</v>
      </c>
      <c r="G204">
        <f>IF(B204=0,0,SUMPRODUCT(--(Data!$C$2:$C$301&lt;=A204),SQRT(Data!$K$2:$K$301))/B204)</f>
        <v>10.238914021322245</v>
      </c>
      <c r="H204">
        <f>IF(D204=0,0,SUMPRODUCT(--(Data!$C$2:$C$301&gt;A204),SQRT(Data!$K$2:$K$301))/D204)</f>
        <v>10.54177704014274</v>
      </c>
      <c r="I204">
        <f>SUMPRODUCT(--(Data!$C$2:$C$301&lt;=A204),(SQRT(Data!$K$2:$K$301)-G204)^2)+SUMPRODUCT(--(Data!$C$2:$C$301&gt;A204),(SQRT(Data!$K$2:$K$301)-H204)^2)</f>
        <v>1067.5392756600895</v>
      </c>
      <c r="J204">
        <f t="shared" si="9"/>
        <v>1</v>
      </c>
      <c r="K204">
        <f t="shared" si="10"/>
        <v>534533.77532637282</v>
      </c>
      <c r="L204">
        <f t="shared" si="11"/>
        <v>1067.5392756600895</v>
      </c>
    </row>
    <row r="205" spans="1:12" x14ac:dyDescent="0.2">
      <c r="A205">
        <f>Data!C205</f>
        <v>22</v>
      </c>
      <c r="B205">
        <f>COUNTIF(Data!$C$2:$C$301,"&lt;="&amp;A205)</f>
        <v>10</v>
      </c>
      <c r="C205">
        <f>IF(B205=0,0,AVERAGEIF(Data!$C$2:$C$301,"&lt;="&amp;A205,Data!$K$2:$K$301))</f>
        <v>65.30519371621908</v>
      </c>
      <c r="D205">
        <f>COUNTIF(Data!$C$2:$C$301,"&gt;"&amp;A205)</f>
        <v>290</v>
      </c>
      <c r="E205">
        <f>IF(D205=0,0,AVERAGEIF(Data!$C$2:$C$301,"&gt;"&amp;A205,Data!$K$2:$K$301))</f>
        <v>111.78945271784551</v>
      </c>
      <c r="F205">
        <f>SUMPRODUCT(--(Data!$C$2:$C$301&lt;=A205),(Data!$K$2:$K$301-C205)^2)+SUMPRODUCT(--(Data!$C$2:$C$301&gt;A205),(Data!$K$2:$K$301-E205)^2)</f>
        <v>516386.30385349214</v>
      </c>
      <c r="G205">
        <f>IF(B205=0,0,SUMPRODUCT(--(Data!$C$2:$C$301&lt;=A205),SQRT(Data!$K$2:$K$301))/B205)</f>
        <v>8.015119012201783</v>
      </c>
      <c r="H205">
        <f>IF(D205=0,0,SUMPRODUCT(--(Data!$C$2:$C$301&gt;A205),SQRT(Data!$K$2:$K$301))/D205)</f>
        <v>10.407499868727104</v>
      </c>
      <c r="I205">
        <f>SUMPRODUCT(--(Data!$C$2:$C$301&lt;=A205),(SQRT(Data!$K$2:$K$301)-G205)^2)+SUMPRODUCT(--(Data!$C$2:$C$301&gt;A205),(SQRT(Data!$K$2:$K$301)-H205)^2)</f>
        <v>1017.9163774489665</v>
      </c>
      <c r="J205">
        <f t="shared" si="9"/>
        <v>1</v>
      </c>
      <c r="K205">
        <f t="shared" si="10"/>
        <v>516386.30385349214</v>
      </c>
      <c r="L205">
        <f t="shared" si="11"/>
        <v>1017.9163774489665</v>
      </c>
    </row>
    <row r="206" spans="1:12" x14ac:dyDescent="0.2">
      <c r="A206">
        <f>Data!C206</f>
        <v>45</v>
      </c>
      <c r="B206">
        <f>COUNTIF(Data!$C$2:$C$301,"&lt;="&amp;A206)</f>
        <v>176</v>
      </c>
      <c r="C206">
        <f>IF(B206=0,0,AVERAGEIF(Data!$C$2:$C$301,"&lt;="&amp;A206,Data!$K$2:$K$301))</f>
        <v>107.19122936601325</v>
      </c>
      <c r="D206">
        <f>COUNTIF(Data!$C$2:$C$301,"&gt;"&amp;A206)</f>
        <v>124</v>
      </c>
      <c r="E206">
        <f>IF(D206=0,0,AVERAGEIF(Data!$C$2:$C$301,"&gt;"&amp;A206,Data!$K$2:$K$301))</f>
        <v>114.56723271708925</v>
      </c>
      <c r="F206">
        <f>SUMPRODUCT(--(Data!$C$2:$C$301&lt;=A206),(Data!$K$2:$K$301-C206)^2)+SUMPRODUCT(--(Data!$C$2:$C$301&gt;A206),(Data!$K$2:$K$301-E206)^2)</f>
        <v>533316.09174216771</v>
      </c>
      <c r="G206">
        <f>IF(B206=0,0,SUMPRODUCT(--(Data!$C$2:$C$301&lt;=A206),SQRT(Data!$K$2:$K$301))/B206)</f>
        <v>10.178829622446425</v>
      </c>
      <c r="H206">
        <f>IF(D206=0,0,SUMPRODUCT(--(Data!$C$2:$C$301&gt;A206),SQRT(Data!$K$2:$K$301))/D206)</f>
        <v>10.539130149212143</v>
      </c>
      <c r="I206">
        <f>SUMPRODUCT(--(Data!$C$2:$C$301&lt;=A206),(SQRT(Data!$K$2:$K$301)-G206)^2)+SUMPRODUCT(--(Data!$C$2:$C$301&gt;A206),(SQRT(Data!$K$2:$K$301)-H206)^2)</f>
        <v>1063.7996949138264</v>
      </c>
      <c r="J206">
        <f t="shared" si="9"/>
        <v>1</v>
      </c>
      <c r="K206">
        <f t="shared" si="10"/>
        <v>533316.09174216771</v>
      </c>
      <c r="L206">
        <f t="shared" si="11"/>
        <v>1063.7996949138264</v>
      </c>
    </row>
    <row r="207" spans="1:12" x14ac:dyDescent="0.2">
      <c r="A207">
        <f>Data!C207</f>
        <v>33</v>
      </c>
      <c r="B207">
        <f>COUNTIF(Data!$C$2:$C$301,"&lt;="&amp;A207)</f>
        <v>68</v>
      </c>
      <c r="C207">
        <f>IF(B207=0,0,AVERAGEIF(Data!$C$2:$C$301,"&lt;="&amp;A207,Data!$K$2:$K$301))</f>
        <v>88.550422202336463</v>
      </c>
      <c r="D207">
        <f>COUNTIF(Data!$C$2:$C$301,"&gt;"&amp;A207)</f>
        <v>232</v>
      </c>
      <c r="E207">
        <f>IF(D207=0,0,AVERAGEIF(Data!$C$2:$C$301,"&gt;"&amp;A207,Data!$K$2:$K$301))</f>
        <v>116.59726084301083</v>
      </c>
      <c r="F207">
        <f>SUMPRODUCT(--(Data!$C$2:$C$301&lt;=A207),(Data!$K$2:$K$301-C207)^2)+SUMPRODUCT(--(Data!$C$2:$C$301&gt;A207),(Data!$K$2:$K$301-E207)^2)</f>
        <v>495907.91012967401</v>
      </c>
      <c r="G207">
        <f>IF(B207=0,0,SUMPRODUCT(--(Data!$C$2:$C$301&lt;=A207),SQRT(Data!$K$2:$K$301))/B207)</f>
        <v>9.2953615607760653</v>
      </c>
      <c r="H207">
        <f>IF(D207=0,0,SUMPRODUCT(--(Data!$C$2:$C$301&gt;A207),SQRT(Data!$K$2:$K$301))/D207)</f>
        <v>10.630351577241834</v>
      </c>
      <c r="I207">
        <f>SUMPRODUCT(--(Data!$C$2:$C$301&lt;=A207),(SQRT(Data!$K$2:$K$301)-G207)^2)+SUMPRODUCT(--(Data!$C$2:$C$301&gt;A207),(SQRT(Data!$K$2:$K$301)-H207)^2)</f>
        <v>979.52354010162389</v>
      </c>
      <c r="J207">
        <f t="shared" si="9"/>
        <v>1</v>
      </c>
      <c r="K207">
        <f t="shared" si="10"/>
        <v>495907.91012967401</v>
      </c>
      <c r="L207">
        <f t="shared" si="11"/>
        <v>979.52354010162389</v>
      </c>
    </row>
    <row r="208" spans="1:12" x14ac:dyDescent="0.2">
      <c r="A208">
        <f>Data!C208</f>
        <v>63</v>
      </c>
      <c r="B208">
        <f>COUNTIF(Data!$C$2:$C$301,"&lt;="&amp;A208)</f>
        <v>291</v>
      </c>
      <c r="C208">
        <f>IF(B208=0,0,AVERAGEIF(Data!$C$2:$C$301,"&lt;="&amp;A208,Data!$K$2:$K$301))</f>
        <v>110.89400376410005</v>
      </c>
      <c r="D208">
        <f>COUNTIF(Data!$C$2:$C$301,"&gt;"&amp;A208)</f>
        <v>9</v>
      </c>
      <c r="E208">
        <f>IF(D208=0,0,AVERAGEIF(Data!$C$2:$C$301,"&gt;"&amp;A208,Data!$K$2:$K$301))</f>
        <v>89.09312555380734</v>
      </c>
      <c r="F208">
        <f>SUMPRODUCT(--(Data!$C$2:$C$301&lt;=A208),(Data!$K$2:$K$301-C208)^2)+SUMPRODUCT(--(Data!$C$2:$C$301&gt;A208),(Data!$K$2:$K$301-E208)^2)</f>
        <v>533124.72561299102</v>
      </c>
      <c r="G208">
        <f>IF(B208=0,0,SUMPRODUCT(--(Data!$C$2:$C$301&lt;=A208),SQRT(Data!$K$2:$K$301))/B208)</f>
        <v>10.357171856636104</v>
      </c>
      <c r="H208">
        <f>IF(D208=0,0,SUMPRODUCT(--(Data!$C$2:$C$301&gt;A208),SQRT(Data!$K$2:$K$301))/D208)</f>
        <v>9.3765713079746789</v>
      </c>
      <c r="I208">
        <f>SUMPRODUCT(--(Data!$C$2:$C$301&lt;=A208),(SQRT(Data!$K$2:$K$301)-G208)^2)+SUMPRODUCT(--(Data!$C$2:$C$301&gt;A208),(SQRT(Data!$K$2:$K$301)-H208)^2)</f>
        <v>1064.8488393381779</v>
      </c>
      <c r="J208">
        <f t="shared" si="9"/>
        <v>1</v>
      </c>
      <c r="K208">
        <f t="shared" si="10"/>
        <v>533124.72561299102</v>
      </c>
      <c r="L208">
        <f t="shared" si="11"/>
        <v>1064.8488393381779</v>
      </c>
    </row>
    <row r="209" spans="1:12" x14ac:dyDescent="0.2">
      <c r="A209">
        <f>Data!C209</f>
        <v>49</v>
      </c>
      <c r="B209">
        <f>COUNTIF(Data!$C$2:$C$301,"&lt;="&amp;A209)</f>
        <v>212</v>
      </c>
      <c r="C209">
        <f>IF(B209=0,0,AVERAGEIF(Data!$C$2:$C$301,"&lt;="&amp;A209,Data!$K$2:$K$301))</f>
        <v>108.2928321953428</v>
      </c>
      <c r="D209">
        <f>COUNTIF(Data!$C$2:$C$301,"&gt;"&amp;A209)</f>
        <v>88</v>
      </c>
      <c r="E209">
        <f>IF(D209=0,0,AVERAGEIF(Data!$C$2:$C$301,"&gt;"&amp;A209,Data!$K$2:$K$301))</f>
        <v>114.93082727187185</v>
      </c>
      <c r="F209">
        <f>SUMPRODUCT(--(Data!$C$2:$C$301&lt;=A209),(Data!$K$2:$K$301-C209)^2)+SUMPRODUCT(--(Data!$C$2:$C$301&gt;A209),(Data!$K$2:$K$301-E209)^2)</f>
        <v>534533.77532637282</v>
      </c>
      <c r="G209">
        <f>IF(B209=0,0,SUMPRODUCT(--(Data!$C$2:$C$301&lt;=A209),SQRT(Data!$K$2:$K$301))/B209)</f>
        <v>10.238914021322245</v>
      </c>
      <c r="H209">
        <f>IF(D209=0,0,SUMPRODUCT(--(Data!$C$2:$C$301&gt;A209),SQRT(Data!$K$2:$K$301))/D209)</f>
        <v>10.54177704014274</v>
      </c>
      <c r="I209">
        <f>SUMPRODUCT(--(Data!$C$2:$C$301&lt;=A209),(SQRT(Data!$K$2:$K$301)-G209)^2)+SUMPRODUCT(--(Data!$C$2:$C$301&gt;A209),(SQRT(Data!$K$2:$K$301)-H209)^2)</f>
        <v>1067.5392756600895</v>
      </c>
      <c r="J209">
        <f t="shared" si="9"/>
        <v>1</v>
      </c>
      <c r="K209">
        <f t="shared" si="10"/>
        <v>534533.77532637282</v>
      </c>
      <c r="L209">
        <f t="shared" si="11"/>
        <v>1067.5392756600895</v>
      </c>
    </row>
    <row r="210" spans="1:12" x14ac:dyDescent="0.2">
      <c r="A210">
        <f>Data!C210</f>
        <v>39</v>
      </c>
      <c r="B210">
        <f>COUNTIF(Data!$C$2:$C$301,"&lt;="&amp;A210)</f>
        <v>124</v>
      </c>
      <c r="C210">
        <f>IF(B210=0,0,AVERAGEIF(Data!$C$2:$C$301,"&lt;="&amp;A210,Data!$K$2:$K$301))</f>
        <v>102.61244696541844</v>
      </c>
      <c r="D210">
        <f>COUNTIF(Data!$C$2:$C$301,"&gt;"&amp;A210)</f>
        <v>176</v>
      </c>
      <c r="E210">
        <f>IF(D210=0,0,AVERAGEIF(Data!$C$2:$C$301,"&gt;"&amp;A210,Data!$K$2:$K$301))</f>
        <v>115.61391932741766</v>
      </c>
      <c r="F210">
        <f>SUMPRODUCT(--(Data!$C$2:$C$301&lt;=A210),(Data!$K$2:$K$301-C210)^2)+SUMPRODUCT(--(Data!$C$2:$C$301&gt;A210),(Data!$K$2:$K$301-E210)^2)</f>
        <v>524976.93342166441</v>
      </c>
      <c r="G210">
        <f>IF(B210=0,0,SUMPRODUCT(--(Data!$C$2:$C$301&lt;=A210),SQRT(Data!$K$2:$K$301))/B210)</f>
        <v>9.9647092312663439</v>
      </c>
      <c r="H210">
        <f>IF(D210=0,0,SUMPRODUCT(--(Data!$C$2:$C$301&gt;A210),SQRT(Data!$K$2:$K$301))/D210)</f>
        <v>10.583535269180963</v>
      </c>
      <c r="I210">
        <f>SUMPRODUCT(--(Data!$C$2:$C$301&lt;=A210),(SQRT(Data!$K$2:$K$301)-G210)^2)+SUMPRODUCT(--(Data!$C$2:$C$301&gt;A210),(SQRT(Data!$K$2:$K$301)-H210)^2)</f>
        <v>1045.385389696934</v>
      </c>
      <c r="J210">
        <f t="shared" si="9"/>
        <v>1</v>
      </c>
      <c r="K210">
        <f t="shared" si="10"/>
        <v>524976.93342166441</v>
      </c>
      <c r="L210">
        <f t="shared" si="11"/>
        <v>1045.385389696934</v>
      </c>
    </row>
    <row r="211" spans="1:12" x14ac:dyDescent="0.2">
      <c r="A211">
        <f>Data!C211</f>
        <v>25</v>
      </c>
      <c r="B211">
        <f>COUNTIF(Data!$C$2:$C$301,"&lt;="&amp;A211)</f>
        <v>25</v>
      </c>
      <c r="C211">
        <f>IF(B211=0,0,AVERAGEIF(Data!$C$2:$C$301,"&lt;="&amp;A211,Data!$K$2:$K$301))</f>
        <v>71.145225507852857</v>
      </c>
      <c r="D211">
        <f>COUNTIF(Data!$C$2:$C$301,"&gt;"&amp;A211)</f>
        <v>275</v>
      </c>
      <c r="E211">
        <f>IF(D211=0,0,AVERAGEIF(Data!$C$2:$C$301,"&gt;"&amp;A211,Data!$K$2:$K$301))</f>
        <v>113.79404577324024</v>
      </c>
      <c r="F211">
        <f>SUMPRODUCT(--(Data!$C$2:$C$301&lt;=A211),(Data!$K$2:$K$301-C211)^2)+SUMPRODUCT(--(Data!$C$2:$C$301&gt;A211),(Data!$K$2:$K$301-E211)^2)</f>
        <v>495590.27890297974</v>
      </c>
      <c r="G211">
        <f>IF(B211=0,0,SUMPRODUCT(--(Data!$C$2:$C$301&lt;=A211),SQRT(Data!$K$2:$K$301))/B211)</f>
        <v>8.3640861015010071</v>
      </c>
      <c r="H211">
        <f>IF(D211=0,0,SUMPRODUCT(--(Data!$C$2:$C$301&gt;A211),SQRT(Data!$K$2:$K$301))/D211)</f>
        <v>10.506269089146738</v>
      </c>
      <c r="I211">
        <f>SUMPRODUCT(--(Data!$C$2:$C$301&lt;=A211),(SQRT(Data!$K$2:$K$301)-G211)^2)+SUMPRODUCT(--(Data!$C$2:$C$301&gt;A211),(SQRT(Data!$K$2:$K$301)-H211)^2)</f>
        <v>968.08001977529261</v>
      </c>
      <c r="J211">
        <f t="shared" si="9"/>
        <v>1</v>
      </c>
      <c r="K211">
        <f t="shared" si="10"/>
        <v>495590.27890297974</v>
      </c>
      <c r="L211">
        <f t="shared" si="11"/>
        <v>968.08001977529261</v>
      </c>
    </row>
    <row r="212" spans="1:12" x14ac:dyDescent="0.2">
      <c r="A212">
        <f>Data!C212</f>
        <v>29</v>
      </c>
      <c r="B212">
        <f>COUNTIF(Data!$C$2:$C$301,"&lt;="&amp;A212)</f>
        <v>48</v>
      </c>
      <c r="C212">
        <f>IF(B212=0,0,AVERAGEIF(Data!$C$2:$C$301,"&lt;="&amp;A212,Data!$K$2:$K$301))</f>
        <v>84.22154017655933</v>
      </c>
      <c r="D212">
        <f>COUNTIF(Data!$C$2:$C$301,"&gt;"&amp;A212)</f>
        <v>252</v>
      </c>
      <c r="E212">
        <f>IF(D212=0,0,AVERAGEIF(Data!$C$2:$C$301,"&gt;"&amp;A212,Data!$K$2:$K$301))</f>
        <v>115.19587022564501</v>
      </c>
      <c r="F212">
        <f>SUMPRODUCT(--(Data!$C$2:$C$301&lt;=A212),(Data!$K$2:$K$301-C212)^2)+SUMPRODUCT(--(Data!$C$2:$C$301&gt;A212),(Data!$K$2:$K$301-E212)^2)</f>
        <v>498590.52929252753</v>
      </c>
      <c r="G212">
        <f>IF(B212=0,0,SUMPRODUCT(--(Data!$C$2:$C$301&lt;=A212),SQRT(Data!$K$2:$K$301))/B212)</f>
        <v>9.0494853810478695</v>
      </c>
      <c r="H212">
        <f>IF(D212=0,0,SUMPRODUCT(--(Data!$C$2:$C$301&gt;A212),SQRT(Data!$K$2:$K$301))/D212)</f>
        <v>10.571233546676904</v>
      </c>
      <c r="I212">
        <f>SUMPRODUCT(--(Data!$C$2:$C$301&lt;=A212),(SQRT(Data!$K$2:$K$301)-G212)^2)+SUMPRODUCT(--(Data!$C$2:$C$301&gt;A212),(SQRT(Data!$K$2:$K$301)-H212)^2)</f>
        <v>979.87368157747937</v>
      </c>
      <c r="J212">
        <f t="shared" si="9"/>
        <v>1</v>
      </c>
      <c r="K212">
        <f t="shared" si="10"/>
        <v>498590.52929252753</v>
      </c>
      <c r="L212">
        <f t="shared" si="11"/>
        <v>979.87368157747937</v>
      </c>
    </row>
    <row r="213" spans="1:12" x14ac:dyDescent="0.2">
      <c r="A213">
        <f>Data!C213</f>
        <v>37</v>
      </c>
      <c r="B213">
        <f>COUNTIF(Data!$C$2:$C$301,"&lt;="&amp;A213)</f>
        <v>106</v>
      </c>
      <c r="C213">
        <f>IF(B213=0,0,AVERAGEIF(Data!$C$2:$C$301,"&lt;="&amp;A213,Data!$K$2:$K$301))</f>
        <v>97.276622779475886</v>
      </c>
      <c r="D213">
        <f>COUNTIF(Data!$C$2:$C$301,"&gt;"&amp;A213)</f>
        <v>194</v>
      </c>
      <c r="E213">
        <f>IF(D213=0,0,AVERAGEIF(Data!$C$2:$C$301,"&gt;"&amp;A213,Data!$K$2:$K$301))</f>
        <v>117.32304747790181</v>
      </c>
      <c r="F213">
        <f>SUMPRODUCT(--(Data!$C$2:$C$301&lt;=A213),(Data!$K$2:$K$301-C213)^2)+SUMPRODUCT(--(Data!$C$2:$C$301&gt;A213),(Data!$K$2:$K$301-E213)^2)</f>
        <v>509727.80035597854</v>
      </c>
      <c r="G213">
        <f>IF(B213=0,0,SUMPRODUCT(--(Data!$C$2:$C$301&lt;=A213),SQRT(Data!$K$2:$K$301))/B213)</f>
        <v>9.717465630869949</v>
      </c>
      <c r="H213">
        <f>IF(D213=0,0,SUMPRODUCT(--(Data!$C$2:$C$301&gt;A213),SQRT(Data!$K$2:$K$301))/D213)</f>
        <v>10.661210284436402</v>
      </c>
      <c r="I213">
        <f>SUMPRODUCT(--(Data!$C$2:$C$301&lt;=A213),(SQRT(Data!$K$2:$K$301)-G213)^2)+SUMPRODUCT(--(Data!$C$2:$C$301&gt;A213),(SQRT(Data!$K$2:$K$301)-H213)^2)</f>
        <v>1012.1920494800115</v>
      </c>
      <c r="J213">
        <f t="shared" si="9"/>
        <v>1</v>
      </c>
      <c r="K213">
        <f t="shared" si="10"/>
        <v>509727.80035597854</v>
      </c>
      <c r="L213">
        <f t="shared" si="11"/>
        <v>1012.1920494800115</v>
      </c>
    </row>
    <row r="214" spans="1:12" x14ac:dyDescent="0.2">
      <c r="A214">
        <f>Data!C214</f>
        <v>35</v>
      </c>
      <c r="B214">
        <f>COUNTIF(Data!$C$2:$C$301,"&lt;="&amp;A214)</f>
        <v>90</v>
      </c>
      <c r="C214">
        <f>IF(B214=0,0,AVERAGEIF(Data!$C$2:$C$301,"&lt;="&amp;A214,Data!$K$2:$K$301))</f>
        <v>94.577555019098696</v>
      </c>
      <c r="D214">
        <f>COUNTIF(Data!$C$2:$C$301,"&gt;"&amp;A214)</f>
        <v>210</v>
      </c>
      <c r="E214">
        <f>IF(D214=0,0,AVERAGEIF(Data!$C$2:$C$301,"&gt;"&amp;A214,Data!$K$2:$K$301))</f>
        <v>116.95244416008815</v>
      </c>
      <c r="F214">
        <f>SUMPRODUCT(--(Data!$C$2:$C$301&lt;=A214),(Data!$K$2:$K$301-C214)^2)+SUMPRODUCT(--(Data!$C$2:$C$301&gt;A214),(Data!$K$2:$K$301-E214)^2)</f>
        <v>505733.85825464316</v>
      </c>
      <c r="G214">
        <f>IF(B214=0,0,SUMPRODUCT(--(Data!$C$2:$C$301&lt;=A214),SQRT(Data!$K$2:$K$301))/B214)</f>
        <v>9.5793805119208457</v>
      </c>
      <c r="H214">
        <f>IF(D214=0,0,SUMPRODUCT(--(Data!$C$2:$C$301&gt;A214),SQRT(Data!$K$2:$K$301))/D214)</f>
        <v>10.648485266571434</v>
      </c>
      <c r="I214">
        <f>SUMPRODUCT(--(Data!$C$2:$C$301&lt;=A214),(SQRT(Data!$K$2:$K$301)-G214)^2)+SUMPRODUCT(--(Data!$C$2:$C$301&gt;A214),(SQRT(Data!$K$2:$K$301)-H214)^2)</f>
        <v>1001.2353568405237</v>
      </c>
      <c r="J214">
        <f t="shared" si="9"/>
        <v>1</v>
      </c>
      <c r="K214">
        <f t="shared" si="10"/>
        <v>505733.85825464316</v>
      </c>
      <c r="L214">
        <f t="shared" si="11"/>
        <v>1001.2353568405237</v>
      </c>
    </row>
    <row r="215" spans="1:12" x14ac:dyDescent="0.2">
      <c r="A215">
        <f>Data!C215</f>
        <v>46</v>
      </c>
      <c r="B215">
        <f>COUNTIF(Data!$C$2:$C$301,"&lt;="&amp;A215)</f>
        <v>185</v>
      </c>
      <c r="C215">
        <f>IF(B215=0,0,AVERAGEIF(Data!$C$2:$C$301,"&lt;="&amp;A215,Data!$K$2:$K$301))</f>
        <v>106.69663835771891</v>
      </c>
      <c r="D215">
        <f>COUNTIF(Data!$C$2:$C$301,"&gt;"&amp;A215)</f>
        <v>115</v>
      </c>
      <c r="E215">
        <f>IF(D215=0,0,AVERAGEIF(Data!$C$2:$C$301,"&gt;"&amp;A215,Data!$K$2:$K$301))</f>
        <v>115.94013155790782</v>
      </c>
      <c r="F215">
        <f>SUMPRODUCT(--(Data!$C$2:$C$301&lt;=A215),(Data!$K$2:$K$301-C215)^2)+SUMPRODUCT(--(Data!$C$2:$C$301&gt;A215),(Data!$K$2:$K$301-E215)^2)</f>
        <v>531214.63144721917</v>
      </c>
      <c r="G215">
        <f>IF(B215=0,0,SUMPRODUCT(--(Data!$C$2:$C$301&lt;=A215),SQRT(Data!$K$2:$K$301))/B215)</f>
        <v>10.160082556497867</v>
      </c>
      <c r="H215">
        <f>IF(D215=0,0,SUMPRODUCT(--(Data!$C$2:$C$301&gt;A215),SQRT(Data!$K$2:$K$301))/D215)</f>
        <v>10.597485905224096</v>
      </c>
      <c r="I215">
        <f>SUMPRODUCT(--(Data!$C$2:$C$301&lt;=A215),(SQRT(Data!$K$2:$K$301)-G215)^2)+SUMPRODUCT(--(Data!$C$2:$C$301&gt;A215),(SQRT(Data!$K$2:$K$301)-H215)^2)</f>
        <v>1059.675513876025</v>
      </c>
      <c r="J215">
        <f t="shared" si="9"/>
        <v>1</v>
      </c>
      <c r="K215">
        <f t="shared" si="10"/>
        <v>531214.63144721917</v>
      </c>
      <c r="L215">
        <f t="shared" si="11"/>
        <v>1059.675513876025</v>
      </c>
    </row>
    <row r="216" spans="1:12" x14ac:dyDescent="0.2">
      <c r="A216">
        <f>Data!C216</f>
        <v>58</v>
      </c>
      <c r="B216">
        <f>COUNTIF(Data!$C$2:$C$301,"&lt;="&amp;A216)</f>
        <v>272</v>
      </c>
      <c r="C216">
        <f>IF(B216=0,0,AVERAGEIF(Data!$C$2:$C$301,"&lt;="&amp;A216,Data!$K$2:$K$301))</f>
        <v>109.41135476595819</v>
      </c>
      <c r="D216">
        <f>COUNTIF(Data!$C$2:$C$301,"&gt;"&amp;A216)</f>
        <v>28</v>
      </c>
      <c r="E216">
        <f>IF(D216=0,0,AVERAGEIF(Data!$C$2:$C$301,"&gt;"&amp;A216,Data!$K$2:$K$301))</f>
        <v>118.28945460702718</v>
      </c>
      <c r="F216">
        <f>SUMPRODUCT(--(Data!$C$2:$C$301&lt;=A216),(Data!$K$2:$K$301-C216)^2)+SUMPRODUCT(--(Data!$C$2:$C$301&gt;A216),(Data!$K$2:$K$301-E216)^2)</f>
        <v>535272.91135082708</v>
      </c>
      <c r="G216">
        <f>IF(B216=0,0,SUMPRODUCT(--(Data!$C$2:$C$301&lt;=A216),SQRT(Data!$K$2:$K$301))/B216)</f>
        <v>10.298937442089837</v>
      </c>
      <c r="H216">
        <f>IF(D216=0,0,SUMPRODUCT(--(Data!$C$2:$C$301&gt;A216),SQRT(Data!$K$2:$K$301))/D216)</f>
        <v>10.607684564444401</v>
      </c>
      <c r="I216">
        <f>SUMPRODUCT(--(Data!$C$2:$C$301&lt;=A216),(SQRT(Data!$K$2:$K$301)-G216)^2)+SUMPRODUCT(--(Data!$C$2:$C$301&gt;A216),(SQRT(Data!$K$2:$K$301)-H216)^2)</f>
        <v>1070.8234317986235</v>
      </c>
      <c r="J216">
        <f t="shared" si="9"/>
        <v>1</v>
      </c>
      <c r="K216">
        <f t="shared" si="10"/>
        <v>535272.91135082708</v>
      </c>
      <c r="L216">
        <f t="shared" si="11"/>
        <v>1070.8234317986235</v>
      </c>
    </row>
    <row r="217" spans="1:12" x14ac:dyDescent="0.2">
      <c r="A217">
        <f>Data!C217</f>
        <v>39</v>
      </c>
      <c r="B217">
        <f>COUNTIF(Data!$C$2:$C$301,"&lt;="&amp;A217)</f>
        <v>124</v>
      </c>
      <c r="C217">
        <f>IF(B217=0,0,AVERAGEIF(Data!$C$2:$C$301,"&lt;="&amp;A217,Data!$K$2:$K$301))</f>
        <v>102.61244696541844</v>
      </c>
      <c r="D217">
        <f>COUNTIF(Data!$C$2:$C$301,"&gt;"&amp;A217)</f>
        <v>176</v>
      </c>
      <c r="E217">
        <f>IF(D217=0,0,AVERAGEIF(Data!$C$2:$C$301,"&gt;"&amp;A217,Data!$K$2:$K$301))</f>
        <v>115.61391932741766</v>
      </c>
      <c r="F217">
        <f>SUMPRODUCT(--(Data!$C$2:$C$301&lt;=A217),(Data!$K$2:$K$301-C217)^2)+SUMPRODUCT(--(Data!$C$2:$C$301&gt;A217),(Data!$K$2:$K$301-E217)^2)</f>
        <v>524976.93342166441</v>
      </c>
      <c r="G217">
        <f>IF(B217=0,0,SUMPRODUCT(--(Data!$C$2:$C$301&lt;=A217),SQRT(Data!$K$2:$K$301))/B217)</f>
        <v>9.9647092312663439</v>
      </c>
      <c r="H217">
        <f>IF(D217=0,0,SUMPRODUCT(--(Data!$C$2:$C$301&gt;A217),SQRT(Data!$K$2:$K$301))/D217)</f>
        <v>10.583535269180963</v>
      </c>
      <c r="I217">
        <f>SUMPRODUCT(--(Data!$C$2:$C$301&lt;=A217),(SQRT(Data!$K$2:$K$301)-G217)^2)+SUMPRODUCT(--(Data!$C$2:$C$301&gt;A217),(SQRT(Data!$K$2:$K$301)-H217)^2)</f>
        <v>1045.385389696934</v>
      </c>
      <c r="J217">
        <f t="shared" si="9"/>
        <v>1</v>
      </c>
      <c r="K217">
        <f t="shared" si="10"/>
        <v>524976.93342166441</v>
      </c>
      <c r="L217">
        <f t="shared" si="11"/>
        <v>1045.385389696934</v>
      </c>
    </row>
    <row r="218" spans="1:12" x14ac:dyDescent="0.2">
      <c r="A218">
        <f>Data!C218</f>
        <v>41</v>
      </c>
      <c r="B218">
        <f>COUNTIF(Data!$C$2:$C$301,"&lt;="&amp;A218)</f>
        <v>143</v>
      </c>
      <c r="C218">
        <f>IF(B218=0,0,AVERAGEIF(Data!$C$2:$C$301,"&lt;="&amp;A218,Data!$K$2:$K$301))</f>
        <v>103.77382919941138</v>
      </c>
      <c r="D218">
        <f>COUNTIF(Data!$C$2:$C$301,"&gt;"&amp;A218)</f>
        <v>157</v>
      </c>
      <c r="E218">
        <f>IF(D218=0,0,AVERAGEIF(Data!$C$2:$C$301,"&gt;"&amp;A218,Data!$K$2:$K$301))</f>
        <v>116.12952643198452</v>
      </c>
      <c r="F218">
        <f>SUMPRODUCT(--(Data!$C$2:$C$301&lt;=A218),(Data!$K$2:$K$301-C218)^2)+SUMPRODUCT(--(Data!$C$2:$C$301&gt;A218),(Data!$K$2:$K$301-E218)^2)</f>
        <v>525849.09603159584</v>
      </c>
      <c r="G218">
        <f>IF(B218=0,0,SUMPRODUCT(--(Data!$C$2:$C$301&lt;=A218),SQRT(Data!$K$2:$K$301))/B218)</f>
        <v>10.028926081129624</v>
      </c>
      <c r="H218">
        <f>IF(D218=0,0,SUMPRODUCT(--(Data!$C$2:$C$301&gt;A218),SQRT(Data!$K$2:$K$301))/D218)</f>
        <v>10.599934537906627</v>
      </c>
      <c r="I218">
        <f>SUMPRODUCT(--(Data!$C$2:$C$301&lt;=A218),(SQRT(Data!$K$2:$K$301)-G218)^2)+SUMPRODUCT(--(Data!$C$2:$C$301&gt;A218),(SQRT(Data!$K$2:$K$301)-H218)^2)</f>
        <v>1048.8428659672084</v>
      </c>
      <c r="J218">
        <f t="shared" si="9"/>
        <v>1</v>
      </c>
      <c r="K218">
        <f t="shared" si="10"/>
        <v>525849.09603159584</v>
      </c>
      <c r="L218">
        <f t="shared" si="11"/>
        <v>1048.8428659672084</v>
      </c>
    </row>
    <row r="219" spans="1:12" x14ac:dyDescent="0.2">
      <c r="A219">
        <f>Data!C219</f>
        <v>29</v>
      </c>
      <c r="B219">
        <f>COUNTIF(Data!$C$2:$C$301,"&lt;="&amp;A219)</f>
        <v>48</v>
      </c>
      <c r="C219">
        <f>IF(B219=0,0,AVERAGEIF(Data!$C$2:$C$301,"&lt;="&amp;A219,Data!$K$2:$K$301))</f>
        <v>84.22154017655933</v>
      </c>
      <c r="D219">
        <f>COUNTIF(Data!$C$2:$C$301,"&gt;"&amp;A219)</f>
        <v>252</v>
      </c>
      <c r="E219">
        <f>IF(D219=0,0,AVERAGEIF(Data!$C$2:$C$301,"&gt;"&amp;A219,Data!$K$2:$K$301))</f>
        <v>115.19587022564501</v>
      </c>
      <c r="F219">
        <f>SUMPRODUCT(--(Data!$C$2:$C$301&lt;=A219),(Data!$K$2:$K$301-C219)^2)+SUMPRODUCT(--(Data!$C$2:$C$301&gt;A219),(Data!$K$2:$K$301-E219)^2)</f>
        <v>498590.52929252753</v>
      </c>
      <c r="G219">
        <f>IF(B219=0,0,SUMPRODUCT(--(Data!$C$2:$C$301&lt;=A219),SQRT(Data!$K$2:$K$301))/B219)</f>
        <v>9.0494853810478695</v>
      </c>
      <c r="H219">
        <f>IF(D219=0,0,SUMPRODUCT(--(Data!$C$2:$C$301&gt;A219),SQRT(Data!$K$2:$K$301))/D219)</f>
        <v>10.571233546676904</v>
      </c>
      <c r="I219">
        <f>SUMPRODUCT(--(Data!$C$2:$C$301&lt;=A219),(SQRT(Data!$K$2:$K$301)-G219)^2)+SUMPRODUCT(--(Data!$C$2:$C$301&gt;A219),(SQRT(Data!$K$2:$K$301)-H219)^2)</f>
        <v>979.87368157747937</v>
      </c>
      <c r="J219">
        <f t="shared" si="9"/>
        <v>1</v>
      </c>
      <c r="K219">
        <f t="shared" si="10"/>
        <v>498590.52929252753</v>
      </c>
      <c r="L219">
        <f t="shared" si="11"/>
        <v>979.87368157747937</v>
      </c>
    </row>
    <row r="220" spans="1:12" x14ac:dyDescent="0.2">
      <c r="A220">
        <f>Data!C220</f>
        <v>37</v>
      </c>
      <c r="B220">
        <f>COUNTIF(Data!$C$2:$C$301,"&lt;="&amp;A220)</f>
        <v>106</v>
      </c>
      <c r="C220">
        <f>IF(B220=0,0,AVERAGEIF(Data!$C$2:$C$301,"&lt;="&amp;A220,Data!$K$2:$K$301))</f>
        <v>97.276622779475886</v>
      </c>
      <c r="D220">
        <f>COUNTIF(Data!$C$2:$C$301,"&gt;"&amp;A220)</f>
        <v>194</v>
      </c>
      <c r="E220">
        <f>IF(D220=0,0,AVERAGEIF(Data!$C$2:$C$301,"&gt;"&amp;A220,Data!$K$2:$K$301))</f>
        <v>117.32304747790181</v>
      </c>
      <c r="F220">
        <f>SUMPRODUCT(--(Data!$C$2:$C$301&lt;=A220),(Data!$K$2:$K$301-C220)^2)+SUMPRODUCT(--(Data!$C$2:$C$301&gt;A220),(Data!$K$2:$K$301-E220)^2)</f>
        <v>509727.80035597854</v>
      </c>
      <c r="G220">
        <f>IF(B220=0,0,SUMPRODUCT(--(Data!$C$2:$C$301&lt;=A220),SQRT(Data!$K$2:$K$301))/B220)</f>
        <v>9.717465630869949</v>
      </c>
      <c r="H220">
        <f>IF(D220=0,0,SUMPRODUCT(--(Data!$C$2:$C$301&gt;A220),SQRT(Data!$K$2:$K$301))/D220)</f>
        <v>10.661210284436402</v>
      </c>
      <c r="I220">
        <f>SUMPRODUCT(--(Data!$C$2:$C$301&lt;=A220),(SQRT(Data!$K$2:$K$301)-G220)^2)+SUMPRODUCT(--(Data!$C$2:$C$301&gt;A220),(SQRT(Data!$K$2:$K$301)-H220)^2)</f>
        <v>1012.1920494800115</v>
      </c>
      <c r="J220">
        <f t="shared" si="9"/>
        <v>1</v>
      </c>
      <c r="K220">
        <f t="shared" si="10"/>
        <v>509727.80035597854</v>
      </c>
      <c r="L220">
        <f t="shared" si="11"/>
        <v>1012.1920494800115</v>
      </c>
    </row>
    <row r="221" spans="1:12" x14ac:dyDescent="0.2">
      <c r="A221">
        <f>Data!C221</f>
        <v>62</v>
      </c>
      <c r="B221">
        <f>COUNTIF(Data!$C$2:$C$301,"&lt;="&amp;A221)</f>
        <v>288</v>
      </c>
      <c r="C221">
        <f>IF(B221=0,0,AVERAGEIF(Data!$C$2:$C$301,"&lt;="&amp;A221,Data!$K$2:$K$301))</f>
        <v>110.32628881425765</v>
      </c>
      <c r="D221">
        <f>COUNTIF(Data!$C$2:$C$301,"&gt;"&amp;A221)</f>
        <v>12</v>
      </c>
      <c r="E221">
        <f>IF(D221=0,0,AVERAGEIF(Data!$C$2:$C$301,"&gt;"&amp;A221,Data!$K$2:$K$301))</f>
        <v>108.16850390259823</v>
      </c>
      <c r="F221">
        <f>SUMPRODUCT(--(Data!$C$2:$C$301&lt;=A221),(Data!$K$2:$K$301-C221)^2)+SUMPRODUCT(--(Data!$C$2:$C$301&gt;A221),(Data!$K$2:$K$301-E221)^2)</f>
        <v>537220.26755960041</v>
      </c>
      <c r="G221">
        <f>IF(B221=0,0,SUMPRODUCT(--(Data!$C$2:$C$301&lt;=A221),SQRT(Data!$K$2:$K$301))/B221)</f>
        <v>10.338267151174586</v>
      </c>
      <c r="H221">
        <f>IF(D221=0,0,SUMPRODUCT(--(Data!$C$2:$C$301&gt;A221),SQRT(Data!$K$2:$K$301))/D221)</f>
        <v>10.075434376216521</v>
      </c>
      <c r="I221">
        <f>SUMPRODUCT(--(Data!$C$2:$C$301&lt;=A221),(SQRT(Data!$K$2:$K$301)-G221)^2)+SUMPRODUCT(--(Data!$C$2:$C$301&gt;A221),(SQRT(Data!$K$2:$K$301)-H221)^2)</f>
        <v>1072.4475964561018</v>
      </c>
      <c r="J221">
        <f t="shared" si="9"/>
        <v>1</v>
      </c>
      <c r="K221">
        <f t="shared" si="10"/>
        <v>537220.26755960041</v>
      </c>
      <c r="L221">
        <f t="shared" si="11"/>
        <v>1072.4475964561018</v>
      </c>
    </row>
    <row r="222" spans="1:12" x14ac:dyDescent="0.2">
      <c r="A222">
        <f>Data!C222</f>
        <v>27</v>
      </c>
      <c r="B222">
        <f>COUNTIF(Data!$C$2:$C$301,"&lt;="&amp;A222)</f>
        <v>38</v>
      </c>
      <c r="C222">
        <f>IF(B222=0,0,AVERAGEIF(Data!$C$2:$C$301,"&lt;="&amp;A222,Data!$K$2:$K$301))</f>
        <v>78.423980333724913</v>
      </c>
      <c r="D222">
        <f>COUNTIF(Data!$C$2:$C$301,"&gt;"&amp;A222)</f>
        <v>262</v>
      </c>
      <c r="E222">
        <f>IF(D222=0,0,AVERAGEIF(Data!$C$2:$C$301,"&gt;"&amp;A222,Data!$K$2:$K$301))</f>
        <v>114.85451134601466</v>
      </c>
      <c r="F222">
        <f>SUMPRODUCT(--(Data!$C$2:$C$301&lt;=A222),(Data!$K$2:$K$301-C222)^2)+SUMPRODUCT(--(Data!$C$2:$C$301&gt;A222),(Data!$K$2:$K$301-E222)^2)</f>
        <v>493229.10568974749</v>
      </c>
      <c r="G222">
        <f>IF(B222=0,0,SUMPRODUCT(--(Data!$C$2:$C$301&lt;=A222),SQRT(Data!$K$2:$K$301))/B222)</f>
        <v>8.7678478230846917</v>
      </c>
      <c r="H222">
        <f>IF(D222=0,0,SUMPRODUCT(--(Data!$C$2:$C$301&gt;A222),SQRT(Data!$K$2:$K$301))/D222)</f>
        <v>10.553999751052134</v>
      </c>
      <c r="I222">
        <f>SUMPRODUCT(--(Data!$C$2:$C$301&lt;=A222),(SQRT(Data!$K$2:$K$301)-G222)^2)+SUMPRODUCT(--(Data!$C$2:$C$301&gt;A222),(SQRT(Data!$K$2:$K$301)-H222)^2)</f>
        <v>967.36670303947096</v>
      </c>
      <c r="J222">
        <f t="shared" si="9"/>
        <v>1</v>
      </c>
      <c r="K222">
        <f t="shared" si="10"/>
        <v>493229.10568974749</v>
      </c>
      <c r="L222">
        <f t="shared" si="11"/>
        <v>967.36670303947096</v>
      </c>
    </row>
    <row r="223" spans="1:12" x14ac:dyDescent="0.2">
      <c r="A223">
        <f>Data!C223</f>
        <v>37</v>
      </c>
      <c r="B223">
        <f>COUNTIF(Data!$C$2:$C$301,"&lt;="&amp;A223)</f>
        <v>106</v>
      </c>
      <c r="C223">
        <f>IF(B223=0,0,AVERAGEIF(Data!$C$2:$C$301,"&lt;="&amp;A223,Data!$K$2:$K$301))</f>
        <v>97.276622779475886</v>
      </c>
      <c r="D223">
        <f>COUNTIF(Data!$C$2:$C$301,"&gt;"&amp;A223)</f>
        <v>194</v>
      </c>
      <c r="E223">
        <f>IF(D223=0,0,AVERAGEIF(Data!$C$2:$C$301,"&gt;"&amp;A223,Data!$K$2:$K$301))</f>
        <v>117.32304747790181</v>
      </c>
      <c r="F223">
        <f>SUMPRODUCT(--(Data!$C$2:$C$301&lt;=A223),(Data!$K$2:$K$301-C223)^2)+SUMPRODUCT(--(Data!$C$2:$C$301&gt;A223),(Data!$K$2:$K$301-E223)^2)</f>
        <v>509727.80035597854</v>
      </c>
      <c r="G223">
        <f>IF(B223=0,0,SUMPRODUCT(--(Data!$C$2:$C$301&lt;=A223),SQRT(Data!$K$2:$K$301))/B223)</f>
        <v>9.717465630869949</v>
      </c>
      <c r="H223">
        <f>IF(D223=0,0,SUMPRODUCT(--(Data!$C$2:$C$301&gt;A223),SQRT(Data!$K$2:$K$301))/D223)</f>
        <v>10.661210284436402</v>
      </c>
      <c r="I223">
        <f>SUMPRODUCT(--(Data!$C$2:$C$301&lt;=A223),(SQRT(Data!$K$2:$K$301)-G223)^2)+SUMPRODUCT(--(Data!$C$2:$C$301&gt;A223),(SQRT(Data!$K$2:$K$301)-H223)^2)</f>
        <v>1012.1920494800115</v>
      </c>
      <c r="J223">
        <f t="shared" si="9"/>
        <v>1</v>
      </c>
      <c r="K223">
        <f t="shared" si="10"/>
        <v>509727.80035597854</v>
      </c>
      <c r="L223">
        <f t="shared" si="11"/>
        <v>1012.1920494800115</v>
      </c>
    </row>
    <row r="224" spans="1:12" x14ac:dyDescent="0.2">
      <c r="A224">
        <f>Data!C224</f>
        <v>56</v>
      </c>
      <c r="B224">
        <f>COUNTIF(Data!$C$2:$C$301,"&lt;="&amp;A224)</f>
        <v>259</v>
      </c>
      <c r="C224">
        <f>IF(B224=0,0,AVERAGEIF(Data!$C$2:$C$301,"&lt;="&amp;A224,Data!$K$2:$K$301))</f>
        <v>109.12154091053999</v>
      </c>
      <c r="D224">
        <f>COUNTIF(Data!$C$2:$C$301,"&gt;"&amp;A224)</f>
        <v>41</v>
      </c>
      <c r="E224">
        <f>IF(D224=0,0,AVERAGEIF(Data!$C$2:$C$301,"&gt;"&amp;A224,Data!$K$2:$K$301))</f>
        <v>117.30522267091543</v>
      </c>
      <c r="F224">
        <f>SUMPRODUCT(--(Data!$C$2:$C$301&lt;=A224),(Data!$K$2:$K$301-C224)^2)+SUMPRODUCT(--(Data!$C$2:$C$301&gt;A224),(Data!$K$2:$K$301-E224)^2)</f>
        <v>534903.29662401765</v>
      </c>
      <c r="G224">
        <f>IF(B224=0,0,SUMPRODUCT(--(Data!$C$2:$C$301&lt;=A224),SQRT(Data!$K$2:$K$301))/B224)</f>
        <v>10.284834630131332</v>
      </c>
      <c r="H224">
        <f>IF(D224=0,0,SUMPRODUCT(--(Data!$C$2:$C$301&gt;A224),SQRT(Data!$K$2:$K$301))/D224)</f>
        <v>10.598877630460082</v>
      </c>
      <c r="I224">
        <f>SUMPRODUCT(--(Data!$C$2:$C$301&lt;=A224),(SQRT(Data!$K$2:$K$301)-G224)^2)+SUMPRODUCT(--(Data!$C$2:$C$301&gt;A224),(SQRT(Data!$K$2:$K$301)-H224)^2)</f>
        <v>1069.7524846837523</v>
      </c>
      <c r="J224">
        <f t="shared" si="9"/>
        <v>1</v>
      </c>
      <c r="K224">
        <f t="shared" si="10"/>
        <v>534903.29662401765</v>
      </c>
      <c r="L224">
        <f t="shared" si="11"/>
        <v>1069.7524846837523</v>
      </c>
    </row>
    <row r="225" spans="1:12" x14ac:dyDescent="0.2">
      <c r="A225">
        <f>Data!C225</f>
        <v>36</v>
      </c>
      <c r="B225">
        <f>COUNTIF(Data!$C$2:$C$301,"&lt;="&amp;A225)</f>
        <v>95</v>
      </c>
      <c r="C225">
        <f>IF(B225=0,0,AVERAGEIF(Data!$C$2:$C$301,"&lt;="&amp;A225,Data!$K$2:$K$301))</f>
        <v>95.775677888572943</v>
      </c>
      <c r="D225">
        <f>COUNTIF(Data!$C$2:$C$301,"&gt;"&amp;A225)</f>
        <v>205</v>
      </c>
      <c r="E225">
        <f>IF(D225=0,0,AVERAGEIF(Data!$C$2:$C$301,"&gt;"&amp;A225,Data!$K$2:$K$301))</f>
        <v>116.94294549230715</v>
      </c>
      <c r="F225">
        <f>SUMPRODUCT(--(Data!$C$2:$C$301&lt;=A225),(Data!$K$2:$K$301-C225)^2)+SUMPRODUCT(--(Data!$C$2:$C$301&gt;A225),(Data!$K$2:$K$301-E225)^2)</f>
        <v>508187.78370177682</v>
      </c>
      <c r="G225">
        <f>IF(B225=0,0,SUMPRODUCT(--(Data!$C$2:$C$301&lt;=A225),SQRT(Data!$K$2:$K$301))/B225)</f>
        <v>9.6403742538465416</v>
      </c>
      <c r="H225">
        <f>IF(D225=0,0,SUMPRODUCT(--(Data!$C$2:$C$301&gt;A225),SQRT(Data!$K$2:$K$301))/D225)</f>
        <v>10.646295599694904</v>
      </c>
      <c r="I225">
        <f>SUMPRODUCT(--(Data!$C$2:$C$301&lt;=A225),(SQRT(Data!$K$2:$K$301)-G225)^2)+SUMPRODUCT(--(Data!$C$2:$C$301&gt;A225),(SQRT(Data!$K$2:$K$301)-H225)^2)</f>
        <v>1007.5556794887631</v>
      </c>
      <c r="J225">
        <f t="shared" si="9"/>
        <v>1</v>
      </c>
      <c r="K225">
        <f t="shared" si="10"/>
        <v>508187.78370177682</v>
      </c>
      <c r="L225">
        <f t="shared" si="11"/>
        <v>1007.5556794887631</v>
      </c>
    </row>
    <row r="226" spans="1:12" x14ac:dyDescent="0.2">
      <c r="A226">
        <f>Data!C226</f>
        <v>23</v>
      </c>
      <c r="B226">
        <f>COUNTIF(Data!$C$2:$C$301,"&lt;="&amp;A226)</f>
        <v>14</v>
      </c>
      <c r="C226">
        <f>IF(B226=0,0,AVERAGEIF(Data!$C$2:$C$301,"&lt;="&amp;A226,Data!$K$2:$K$301))</f>
        <v>64.595134391187798</v>
      </c>
      <c r="D226">
        <f>COUNTIF(Data!$C$2:$C$301,"&gt;"&amp;A226)</f>
        <v>286</v>
      </c>
      <c r="E226">
        <f>IF(D226=0,0,AVERAGEIF(Data!$C$2:$C$301,"&gt;"&amp;A226,Data!$K$2:$K$301))</f>
        <v>112.47434036314949</v>
      </c>
      <c r="F226">
        <f>SUMPRODUCT(--(Data!$C$2:$C$301&lt;=A226),(Data!$K$2:$K$301-C226)^2)+SUMPRODUCT(--(Data!$C$2:$C$301&gt;A226),(Data!$K$2:$K$301-E226)^2)</f>
        <v>506677.76131955103</v>
      </c>
      <c r="G226">
        <f>IF(B226=0,0,SUMPRODUCT(--(Data!$C$2:$C$301&lt;=A226),SQRT(Data!$K$2:$K$301))/B226)</f>
        <v>7.9640959100838851</v>
      </c>
      <c r="H226">
        <f>IF(D226=0,0,SUMPRODUCT(--(Data!$C$2:$C$301&gt;A226),SQRT(Data!$K$2:$K$301))/D226)</f>
        <v>10.443457375215749</v>
      </c>
      <c r="I226">
        <f>SUMPRODUCT(--(Data!$C$2:$C$301&lt;=A226),(SQRT(Data!$K$2:$K$301)-G226)^2)+SUMPRODUCT(--(Data!$C$2:$C$301&gt;A226),(SQRT(Data!$K$2:$K$301)-H226)^2)</f>
        <v>991.19833691402187</v>
      </c>
      <c r="J226">
        <f t="shared" si="9"/>
        <v>1</v>
      </c>
      <c r="K226">
        <f t="shared" si="10"/>
        <v>506677.76131955103</v>
      </c>
      <c r="L226">
        <f t="shared" si="11"/>
        <v>991.19833691402187</v>
      </c>
    </row>
    <row r="227" spans="1:12" x14ac:dyDescent="0.2">
      <c r="A227">
        <f>Data!C227</f>
        <v>46</v>
      </c>
      <c r="B227">
        <f>COUNTIF(Data!$C$2:$C$301,"&lt;="&amp;A227)</f>
        <v>185</v>
      </c>
      <c r="C227">
        <f>IF(B227=0,0,AVERAGEIF(Data!$C$2:$C$301,"&lt;="&amp;A227,Data!$K$2:$K$301))</f>
        <v>106.69663835771891</v>
      </c>
      <c r="D227">
        <f>COUNTIF(Data!$C$2:$C$301,"&gt;"&amp;A227)</f>
        <v>115</v>
      </c>
      <c r="E227">
        <f>IF(D227=0,0,AVERAGEIF(Data!$C$2:$C$301,"&gt;"&amp;A227,Data!$K$2:$K$301))</f>
        <v>115.94013155790782</v>
      </c>
      <c r="F227">
        <f>SUMPRODUCT(--(Data!$C$2:$C$301&lt;=A227),(Data!$K$2:$K$301-C227)^2)+SUMPRODUCT(--(Data!$C$2:$C$301&gt;A227),(Data!$K$2:$K$301-E227)^2)</f>
        <v>531214.63144721917</v>
      </c>
      <c r="G227">
        <f>IF(B227=0,0,SUMPRODUCT(--(Data!$C$2:$C$301&lt;=A227),SQRT(Data!$K$2:$K$301))/B227)</f>
        <v>10.160082556497867</v>
      </c>
      <c r="H227">
        <f>IF(D227=0,0,SUMPRODUCT(--(Data!$C$2:$C$301&gt;A227),SQRT(Data!$K$2:$K$301))/D227)</f>
        <v>10.597485905224096</v>
      </c>
      <c r="I227">
        <f>SUMPRODUCT(--(Data!$C$2:$C$301&lt;=A227),(SQRT(Data!$K$2:$K$301)-G227)^2)+SUMPRODUCT(--(Data!$C$2:$C$301&gt;A227),(SQRT(Data!$K$2:$K$301)-H227)^2)</f>
        <v>1059.675513876025</v>
      </c>
      <c r="J227">
        <f t="shared" si="9"/>
        <v>1</v>
      </c>
      <c r="K227">
        <f t="shared" si="10"/>
        <v>531214.63144721917</v>
      </c>
      <c r="L227">
        <f t="shared" si="11"/>
        <v>1059.675513876025</v>
      </c>
    </row>
    <row r="228" spans="1:12" x14ac:dyDescent="0.2">
      <c r="A228">
        <f>Data!C228</f>
        <v>26</v>
      </c>
      <c r="B228">
        <f>COUNTIF(Data!$C$2:$C$301,"&lt;="&amp;A228)</f>
        <v>29</v>
      </c>
      <c r="C228">
        <f>IF(B228=0,0,AVERAGEIF(Data!$C$2:$C$301,"&lt;="&amp;A228,Data!$K$2:$K$301))</f>
        <v>74.763854576383011</v>
      </c>
      <c r="D228">
        <f>COUNTIF(Data!$C$2:$C$301,"&gt;"&amp;A228)</f>
        <v>271</v>
      </c>
      <c r="E228">
        <f>IF(D228=0,0,AVERAGEIF(Data!$C$2:$C$301,"&gt;"&amp;A228,Data!$K$2:$K$301))</f>
        <v>114.03631528642907</v>
      </c>
      <c r="F228">
        <f>SUMPRODUCT(--(Data!$C$2:$C$301&lt;=A228),(Data!$K$2:$K$301-C228)^2)+SUMPRODUCT(--(Data!$C$2:$C$301&gt;A228),(Data!$K$2:$K$301-E228)^2)</f>
        <v>496870.10051856615</v>
      </c>
      <c r="G228">
        <f>IF(B228=0,0,SUMPRODUCT(--(Data!$C$2:$C$301&lt;=A228),SQRT(Data!$K$2:$K$301))/B228)</f>
        <v>8.5689923293930157</v>
      </c>
      <c r="H228">
        <f>IF(D228=0,0,SUMPRODUCT(--(Data!$C$2:$C$301&gt;A228),SQRT(Data!$K$2:$K$301))/D228)</f>
        <v>10.515960791514686</v>
      </c>
      <c r="I228">
        <f>SUMPRODUCT(--(Data!$C$2:$C$301&lt;=A228),(SQRT(Data!$K$2:$K$301)-G228)^2)+SUMPRODUCT(--(Data!$C$2:$C$301&gt;A228),(SQRT(Data!$K$2:$K$301)-H228)^2)</f>
        <v>973.94006773199931</v>
      </c>
      <c r="J228">
        <f t="shared" si="9"/>
        <v>1</v>
      </c>
      <c r="K228">
        <f t="shared" si="10"/>
        <v>496870.10051856615</v>
      </c>
      <c r="L228">
        <f t="shared" si="11"/>
        <v>973.94006773199931</v>
      </c>
    </row>
    <row r="229" spans="1:12" x14ac:dyDescent="0.2">
      <c r="A229">
        <f>Data!C229</f>
        <v>43</v>
      </c>
      <c r="B229">
        <f>COUNTIF(Data!$C$2:$C$301,"&lt;="&amp;A229)</f>
        <v>161</v>
      </c>
      <c r="C229">
        <f>IF(B229=0,0,AVERAGEIF(Data!$C$2:$C$301,"&lt;="&amp;A229,Data!$K$2:$K$301))</f>
        <v>105.8730068010875</v>
      </c>
      <c r="D229">
        <f>COUNTIF(Data!$C$2:$C$301,"&gt;"&amp;A229)</f>
        <v>139</v>
      </c>
      <c r="E229">
        <f>IF(D229=0,0,AVERAGEIF(Data!$C$2:$C$301,"&gt;"&amp;A229,Data!$K$2:$K$301))</f>
        <v>115.29812324001665</v>
      </c>
      <c r="F229">
        <f>SUMPRODUCT(--(Data!$C$2:$C$301&lt;=A229),(Data!$K$2:$K$301-C229)^2)+SUMPRODUCT(--(Data!$C$2:$C$301&gt;A229),(Data!$K$2:$K$301-E229)^2)</f>
        <v>530647.27283695317</v>
      </c>
      <c r="G229">
        <f>IF(B229=0,0,SUMPRODUCT(--(Data!$C$2:$C$301&lt;=A229),SQRT(Data!$K$2:$K$301))/B229)</f>
        <v>10.108069640250404</v>
      </c>
      <c r="H229">
        <f>IF(D229=0,0,SUMPRODUCT(--(Data!$C$2:$C$301&gt;A229),SQRT(Data!$K$2:$K$301))/D229)</f>
        <v>10.582208201241452</v>
      </c>
      <c r="I229">
        <f>SUMPRODUCT(--(Data!$C$2:$C$301&lt;=A229),(SQRT(Data!$K$2:$K$301)-G229)^2)+SUMPRODUCT(--(Data!$C$2:$C$301&gt;A229),(SQRT(Data!$K$2:$K$301)-H229)^2)</f>
        <v>1056.4735295362882</v>
      </c>
      <c r="J229">
        <f t="shared" si="9"/>
        <v>1</v>
      </c>
      <c r="K229">
        <f t="shared" si="10"/>
        <v>530647.27283695317</v>
      </c>
      <c r="L229">
        <f t="shared" si="11"/>
        <v>1056.4735295362882</v>
      </c>
    </row>
    <row r="230" spans="1:12" x14ac:dyDescent="0.2">
      <c r="A230">
        <f>Data!C230</f>
        <v>36</v>
      </c>
      <c r="B230">
        <f>COUNTIF(Data!$C$2:$C$301,"&lt;="&amp;A230)</f>
        <v>95</v>
      </c>
      <c r="C230">
        <f>IF(B230=0,0,AVERAGEIF(Data!$C$2:$C$301,"&lt;="&amp;A230,Data!$K$2:$K$301))</f>
        <v>95.775677888572943</v>
      </c>
      <c r="D230">
        <f>COUNTIF(Data!$C$2:$C$301,"&gt;"&amp;A230)</f>
        <v>205</v>
      </c>
      <c r="E230">
        <f>IF(D230=0,0,AVERAGEIF(Data!$C$2:$C$301,"&gt;"&amp;A230,Data!$K$2:$K$301))</f>
        <v>116.94294549230715</v>
      </c>
      <c r="F230">
        <f>SUMPRODUCT(--(Data!$C$2:$C$301&lt;=A230),(Data!$K$2:$K$301-C230)^2)+SUMPRODUCT(--(Data!$C$2:$C$301&gt;A230),(Data!$K$2:$K$301-E230)^2)</f>
        <v>508187.78370177682</v>
      </c>
      <c r="G230">
        <f>IF(B230=0,0,SUMPRODUCT(--(Data!$C$2:$C$301&lt;=A230),SQRT(Data!$K$2:$K$301))/B230)</f>
        <v>9.6403742538465416</v>
      </c>
      <c r="H230">
        <f>IF(D230=0,0,SUMPRODUCT(--(Data!$C$2:$C$301&gt;A230),SQRT(Data!$K$2:$K$301))/D230)</f>
        <v>10.646295599694904</v>
      </c>
      <c r="I230">
        <f>SUMPRODUCT(--(Data!$C$2:$C$301&lt;=A230),(SQRT(Data!$K$2:$K$301)-G230)^2)+SUMPRODUCT(--(Data!$C$2:$C$301&gt;A230),(SQRT(Data!$K$2:$K$301)-H230)^2)</f>
        <v>1007.5556794887631</v>
      </c>
      <c r="J230">
        <f t="shared" si="9"/>
        <v>1</v>
      </c>
      <c r="K230">
        <f t="shared" si="10"/>
        <v>508187.78370177682</v>
      </c>
      <c r="L230">
        <f t="shared" si="11"/>
        <v>1007.5556794887631</v>
      </c>
    </row>
    <row r="231" spans="1:12" x14ac:dyDescent="0.2">
      <c r="A231">
        <f>Data!C231</f>
        <v>54</v>
      </c>
      <c r="B231">
        <f>COUNTIF(Data!$C$2:$C$301,"&lt;="&amp;A231)</f>
        <v>245</v>
      </c>
      <c r="C231">
        <f>IF(B231=0,0,AVERAGEIF(Data!$C$2:$C$301,"&lt;="&amp;A231,Data!$K$2:$K$301))</f>
        <v>108.7043715775597</v>
      </c>
      <c r="D231">
        <f>COUNTIF(Data!$C$2:$C$301,"&gt;"&amp;A231)</f>
        <v>55</v>
      </c>
      <c r="E231">
        <f>IF(D231=0,0,AVERAGEIF(Data!$C$2:$C$301,"&gt;"&amp;A231,Data!$K$2:$K$301))</f>
        <v>117.08040343336856</v>
      </c>
      <c r="F231">
        <f>SUMPRODUCT(--(Data!$C$2:$C$301&lt;=A231),(Data!$K$2:$K$301-C231)^2)+SUMPRODUCT(--(Data!$C$2:$C$301&gt;A231),(Data!$K$2:$K$301-E231)^2)</f>
        <v>534122.64564939437</v>
      </c>
      <c r="G231">
        <f>IF(B231=0,0,SUMPRODUCT(--(Data!$C$2:$C$301&lt;=A231),SQRT(Data!$K$2:$K$301))/B231)</f>
        <v>10.262431153987036</v>
      </c>
      <c r="H231">
        <f>IF(D231=0,0,SUMPRODUCT(--(Data!$C$2:$C$301&gt;A231),SQRT(Data!$K$2:$K$301))/D231)</f>
        <v>10.618736715019176</v>
      </c>
      <c r="I231">
        <f>SUMPRODUCT(--(Data!$C$2:$C$301&lt;=A231),(SQRT(Data!$K$2:$K$301)-G231)^2)+SUMPRODUCT(--(Data!$C$2:$C$301&gt;A231),(SQRT(Data!$K$2:$K$301)-H231)^2)</f>
        <v>1067.5410754488223</v>
      </c>
      <c r="J231">
        <f t="shared" si="9"/>
        <v>1</v>
      </c>
      <c r="K231">
        <f t="shared" si="10"/>
        <v>534122.64564939437</v>
      </c>
      <c r="L231">
        <f t="shared" si="11"/>
        <v>1067.5410754488223</v>
      </c>
    </row>
    <row r="232" spans="1:12" x14ac:dyDescent="0.2">
      <c r="A232">
        <f>Data!C232</f>
        <v>62</v>
      </c>
      <c r="B232">
        <f>COUNTIF(Data!$C$2:$C$301,"&lt;="&amp;A232)</f>
        <v>288</v>
      </c>
      <c r="C232">
        <f>IF(B232=0,0,AVERAGEIF(Data!$C$2:$C$301,"&lt;="&amp;A232,Data!$K$2:$K$301))</f>
        <v>110.32628881425765</v>
      </c>
      <c r="D232">
        <f>COUNTIF(Data!$C$2:$C$301,"&gt;"&amp;A232)</f>
        <v>12</v>
      </c>
      <c r="E232">
        <f>IF(D232=0,0,AVERAGEIF(Data!$C$2:$C$301,"&gt;"&amp;A232,Data!$K$2:$K$301))</f>
        <v>108.16850390259823</v>
      </c>
      <c r="F232">
        <f>SUMPRODUCT(--(Data!$C$2:$C$301&lt;=A232),(Data!$K$2:$K$301-C232)^2)+SUMPRODUCT(--(Data!$C$2:$C$301&gt;A232),(Data!$K$2:$K$301-E232)^2)</f>
        <v>537220.26755960041</v>
      </c>
      <c r="G232">
        <f>IF(B232=0,0,SUMPRODUCT(--(Data!$C$2:$C$301&lt;=A232),SQRT(Data!$K$2:$K$301))/B232)</f>
        <v>10.338267151174586</v>
      </c>
      <c r="H232">
        <f>IF(D232=0,0,SUMPRODUCT(--(Data!$C$2:$C$301&gt;A232),SQRT(Data!$K$2:$K$301))/D232)</f>
        <v>10.075434376216521</v>
      </c>
      <c r="I232">
        <f>SUMPRODUCT(--(Data!$C$2:$C$301&lt;=A232),(SQRT(Data!$K$2:$K$301)-G232)^2)+SUMPRODUCT(--(Data!$C$2:$C$301&gt;A232),(SQRT(Data!$K$2:$K$301)-H232)^2)</f>
        <v>1072.4475964561018</v>
      </c>
      <c r="J232">
        <f t="shared" si="9"/>
        <v>1</v>
      </c>
      <c r="K232">
        <f t="shared" si="10"/>
        <v>537220.26755960041</v>
      </c>
      <c r="L232">
        <f t="shared" si="11"/>
        <v>1072.4475964561018</v>
      </c>
    </row>
    <row r="233" spans="1:12" x14ac:dyDescent="0.2">
      <c r="A233">
        <f>Data!C233</f>
        <v>40</v>
      </c>
      <c r="B233">
        <f>COUNTIF(Data!$C$2:$C$301,"&lt;="&amp;A233)</f>
        <v>135</v>
      </c>
      <c r="C233">
        <f>IF(B233=0,0,AVERAGEIF(Data!$C$2:$C$301,"&lt;="&amp;A233,Data!$K$2:$K$301))</f>
        <v>103.38613121677049</v>
      </c>
      <c r="D233">
        <f>COUNTIF(Data!$C$2:$C$301,"&gt;"&amp;A233)</f>
        <v>165</v>
      </c>
      <c r="E233">
        <f>IF(D233=0,0,AVERAGEIF(Data!$C$2:$C$301,"&gt;"&amp;A233,Data!$K$2:$K$301))</f>
        <v>115.8476697640811</v>
      </c>
      <c r="F233">
        <f>SUMPRODUCT(--(Data!$C$2:$C$301&lt;=A233),(Data!$K$2:$K$301-C233)^2)+SUMPRODUCT(--(Data!$C$2:$C$301&gt;A233),(Data!$K$2:$K$301-E233)^2)</f>
        <v>525743.62682591786</v>
      </c>
      <c r="G233">
        <f>IF(B233=0,0,SUMPRODUCT(--(Data!$C$2:$C$301&lt;=A233),SQRT(Data!$K$2:$K$301))/B233)</f>
        <v>10.003662056878664</v>
      </c>
      <c r="H233">
        <f>IF(D233=0,0,SUMPRODUCT(--(Data!$C$2:$C$301&gt;A233),SQRT(Data!$K$2:$K$301))/D233)</f>
        <v>10.592919844692464</v>
      </c>
      <c r="I233">
        <f>SUMPRODUCT(--(Data!$C$2:$C$301&lt;=A233),(SQRT(Data!$K$2:$K$301)-G233)^2)+SUMPRODUCT(--(Data!$C$2:$C$301&gt;A233),(SQRT(Data!$K$2:$K$301)-H233)^2)</f>
        <v>1047.4619733726961</v>
      </c>
      <c r="J233">
        <f t="shared" si="9"/>
        <v>1</v>
      </c>
      <c r="K233">
        <f t="shared" si="10"/>
        <v>525743.62682591786</v>
      </c>
      <c r="L233">
        <f t="shared" si="11"/>
        <v>1047.4619733726961</v>
      </c>
    </row>
    <row r="234" spans="1:12" x14ac:dyDescent="0.2">
      <c r="A234">
        <f>Data!C234</f>
        <v>53</v>
      </c>
      <c r="B234">
        <f>COUNTIF(Data!$C$2:$C$301,"&lt;="&amp;A234)</f>
        <v>239</v>
      </c>
      <c r="C234">
        <f>IF(B234=0,0,AVERAGEIF(Data!$C$2:$C$301,"&lt;="&amp;A234,Data!$K$2:$K$301))</f>
        <v>108.63614069535083</v>
      </c>
      <c r="D234">
        <f>COUNTIF(Data!$C$2:$C$301,"&gt;"&amp;A234)</f>
        <v>61</v>
      </c>
      <c r="E234">
        <f>IF(D234=0,0,AVERAGEIF(Data!$C$2:$C$301,"&gt;"&amp;A234,Data!$K$2:$K$301))</f>
        <v>116.52386228112373</v>
      </c>
      <c r="F234">
        <f>SUMPRODUCT(--(Data!$C$2:$C$301&lt;=A234),(Data!$K$2:$K$301-C234)^2)+SUMPRODUCT(--(Data!$C$2:$C$301&gt;A234),(Data!$K$2:$K$301-E234)^2)</f>
        <v>534250.40750013164</v>
      </c>
      <c r="G234">
        <f>IF(B234=0,0,SUMPRODUCT(--(Data!$C$2:$C$301&lt;=A234),SQRT(Data!$K$2:$K$301))/B234)</f>
        <v>10.256052543296615</v>
      </c>
      <c r="H234">
        <f>IF(D234=0,0,SUMPRODUCT(--(Data!$C$2:$C$301&gt;A234),SQRT(Data!$K$2:$K$301))/D234)</f>
        <v>10.608681872212918</v>
      </c>
      <c r="I234">
        <f>SUMPRODUCT(--(Data!$C$2:$C$301&lt;=A234),(SQRT(Data!$K$2:$K$301)-G234)^2)+SUMPRODUCT(--(Data!$C$2:$C$301&gt;A234),(SQRT(Data!$K$2:$K$301)-H234)^2)</f>
        <v>1067.2005390867</v>
      </c>
      <c r="J234">
        <f t="shared" si="9"/>
        <v>1</v>
      </c>
      <c r="K234">
        <f t="shared" si="10"/>
        <v>534250.40750013164</v>
      </c>
      <c r="L234">
        <f t="shared" si="11"/>
        <v>1067.2005390867</v>
      </c>
    </row>
    <row r="235" spans="1:12" x14ac:dyDescent="0.2">
      <c r="A235">
        <f>Data!C235</f>
        <v>48</v>
      </c>
      <c r="B235">
        <f>COUNTIF(Data!$C$2:$C$301,"&lt;="&amp;A235)</f>
        <v>201</v>
      </c>
      <c r="C235">
        <f>IF(B235=0,0,AVERAGEIF(Data!$C$2:$C$301,"&lt;="&amp;A235,Data!$K$2:$K$301))</f>
        <v>107.52848274057251</v>
      </c>
      <c r="D235">
        <f>COUNTIF(Data!$C$2:$C$301,"&gt;"&amp;A235)</f>
        <v>99</v>
      </c>
      <c r="E235">
        <f>IF(D235=0,0,AVERAGEIF(Data!$C$2:$C$301,"&gt;"&amp;A235,Data!$K$2:$K$301))</f>
        <v>115.74513327759915</v>
      </c>
      <c r="F235">
        <f>SUMPRODUCT(--(Data!$C$2:$C$301&lt;=A235),(Data!$K$2:$K$301-C235)^2)+SUMPRODUCT(--(Data!$C$2:$C$301&gt;A235),(Data!$K$2:$K$301-E235)^2)</f>
        <v>532795.7448478135</v>
      </c>
      <c r="G235">
        <f>IF(B235=0,0,SUMPRODUCT(--(Data!$C$2:$C$301&lt;=A235),SQRT(Data!$K$2:$K$301))/B235)</f>
        <v>10.206713367266193</v>
      </c>
      <c r="H235">
        <f>IF(D235=0,0,SUMPRODUCT(--(Data!$C$2:$C$301&gt;A235),SQRT(Data!$K$2:$K$301))/D235)</f>
        <v>10.573502679114871</v>
      </c>
      <c r="I235">
        <f>SUMPRODUCT(--(Data!$C$2:$C$301&lt;=A235),(SQRT(Data!$K$2:$K$301)-G235)^2)+SUMPRODUCT(--(Data!$C$2:$C$301&gt;A235),(SQRT(Data!$K$2:$K$301)-H235)^2)</f>
        <v>1064.3197436500957</v>
      </c>
      <c r="J235">
        <f t="shared" si="9"/>
        <v>1</v>
      </c>
      <c r="K235">
        <f t="shared" si="10"/>
        <v>532795.7448478135</v>
      </c>
      <c r="L235">
        <f t="shared" si="11"/>
        <v>1064.3197436500957</v>
      </c>
    </row>
    <row r="236" spans="1:12" x14ac:dyDescent="0.2">
      <c r="A236">
        <f>Data!C236</f>
        <v>23</v>
      </c>
      <c r="B236">
        <f>COUNTIF(Data!$C$2:$C$301,"&lt;="&amp;A236)</f>
        <v>14</v>
      </c>
      <c r="C236">
        <f>IF(B236=0,0,AVERAGEIF(Data!$C$2:$C$301,"&lt;="&amp;A236,Data!$K$2:$K$301))</f>
        <v>64.595134391187798</v>
      </c>
      <c r="D236">
        <f>COUNTIF(Data!$C$2:$C$301,"&gt;"&amp;A236)</f>
        <v>286</v>
      </c>
      <c r="E236">
        <f>IF(D236=0,0,AVERAGEIF(Data!$C$2:$C$301,"&gt;"&amp;A236,Data!$K$2:$K$301))</f>
        <v>112.47434036314949</v>
      </c>
      <c r="F236">
        <f>SUMPRODUCT(--(Data!$C$2:$C$301&lt;=A236),(Data!$K$2:$K$301-C236)^2)+SUMPRODUCT(--(Data!$C$2:$C$301&gt;A236),(Data!$K$2:$K$301-E236)^2)</f>
        <v>506677.76131955103</v>
      </c>
      <c r="G236">
        <f>IF(B236=0,0,SUMPRODUCT(--(Data!$C$2:$C$301&lt;=A236),SQRT(Data!$K$2:$K$301))/B236)</f>
        <v>7.9640959100838851</v>
      </c>
      <c r="H236">
        <f>IF(D236=0,0,SUMPRODUCT(--(Data!$C$2:$C$301&gt;A236),SQRT(Data!$K$2:$K$301))/D236)</f>
        <v>10.443457375215749</v>
      </c>
      <c r="I236">
        <f>SUMPRODUCT(--(Data!$C$2:$C$301&lt;=A236),(SQRT(Data!$K$2:$K$301)-G236)^2)+SUMPRODUCT(--(Data!$C$2:$C$301&gt;A236),(SQRT(Data!$K$2:$K$301)-H236)^2)</f>
        <v>991.19833691402187</v>
      </c>
      <c r="J236">
        <f t="shared" si="9"/>
        <v>1</v>
      </c>
      <c r="K236">
        <f t="shared" si="10"/>
        <v>506677.76131955103</v>
      </c>
      <c r="L236">
        <f t="shared" si="11"/>
        <v>991.19833691402187</v>
      </c>
    </row>
    <row r="237" spans="1:12" x14ac:dyDescent="0.2">
      <c r="A237">
        <f>Data!C237</f>
        <v>34</v>
      </c>
      <c r="B237">
        <f>COUNTIF(Data!$C$2:$C$301,"&lt;="&amp;A237)</f>
        <v>79</v>
      </c>
      <c r="C237">
        <f>IF(B237=0,0,AVERAGEIF(Data!$C$2:$C$301,"&lt;="&amp;A237,Data!$K$2:$K$301))</f>
        <v>89.239688213542237</v>
      </c>
      <c r="D237">
        <f>COUNTIF(Data!$C$2:$C$301,"&gt;"&amp;A237)</f>
        <v>221</v>
      </c>
      <c r="E237">
        <f>IF(D237=0,0,AVERAGEIF(Data!$C$2:$C$301,"&gt;"&amp;A237,Data!$K$2:$K$301))</f>
        <v>117.74686812881249</v>
      </c>
      <c r="F237">
        <f>SUMPRODUCT(--(Data!$C$2:$C$301&lt;=A237),(Data!$K$2:$K$301-C237)^2)+SUMPRODUCT(--(Data!$C$2:$C$301&gt;A237),(Data!$K$2:$K$301-E237)^2)</f>
        <v>489979.84230431152</v>
      </c>
      <c r="G237">
        <f>IF(B237=0,0,SUMPRODUCT(--(Data!$C$2:$C$301&lt;=A237),SQRT(Data!$K$2:$K$301))/B237)</f>
        <v>9.3403512203320922</v>
      </c>
      <c r="H237">
        <f>IF(D237=0,0,SUMPRODUCT(--(Data!$C$2:$C$301&gt;A237),SQRT(Data!$K$2:$K$301))/D237)</f>
        <v>10.680716767631866</v>
      </c>
      <c r="I237">
        <f>SUMPRODUCT(--(Data!$C$2:$C$301&lt;=A237),(SQRT(Data!$K$2:$K$301)-G237)^2)+SUMPRODUCT(--(Data!$C$2:$C$301&gt;A237),(SQRT(Data!$K$2:$K$301)-H237)^2)</f>
        <v>968.68845457150394</v>
      </c>
      <c r="J237">
        <f t="shared" si="9"/>
        <v>1</v>
      </c>
      <c r="K237">
        <f t="shared" si="10"/>
        <v>489979.84230431152</v>
      </c>
      <c r="L237">
        <f t="shared" si="11"/>
        <v>968.68845457150394</v>
      </c>
    </row>
    <row r="238" spans="1:12" x14ac:dyDescent="0.2">
      <c r="A238">
        <f>Data!C238</f>
        <v>43</v>
      </c>
      <c r="B238">
        <f>COUNTIF(Data!$C$2:$C$301,"&lt;="&amp;A238)</f>
        <v>161</v>
      </c>
      <c r="C238">
        <f>IF(B238=0,0,AVERAGEIF(Data!$C$2:$C$301,"&lt;="&amp;A238,Data!$K$2:$K$301))</f>
        <v>105.8730068010875</v>
      </c>
      <c r="D238">
        <f>COUNTIF(Data!$C$2:$C$301,"&gt;"&amp;A238)</f>
        <v>139</v>
      </c>
      <c r="E238">
        <f>IF(D238=0,0,AVERAGEIF(Data!$C$2:$C$301,"&gt;"&amp;A238,Data!$K$2:$K$301))</f>
        <v>115.29812324001665</v>
      </c>
      <c r="F238">
        <f>SUMPRODUCT(--(Data!$C$2:$C$301&lt;=A238),(Data!$K$2:$K$301-C238)^2)+SUMPRODUCT(--(Data!$C$2:$C$301&gt;A238),(Data!$K$2:$K$301-E238)^2)</f>
        <v>530647.27283695317</v>
      </c>
      <c r="G238">
        <f>IF(B238=0,0,SUMPRODUCT(--(Data!$C$2:$C$301&lt;=A238),SQRT(Data!$K$2:$K$301))/B238)</f>
        <v>10.108069640250404</v>
      </c>
      <c r="H238">
        <f>IF(D238=0,0,SUMPRODUCT(--(Data!$C$2:$C$301&gt;A238),SQRT(Data!$K$2:$K$301))/D238)</f>
        <v>10.582208201241452</v>
      </c>
      <c r="I238">
        <f>SUMPRODUCT(--(Data!$C$2:$C$301&lt;=A238),(SQRT(Data!$K$2:$K$301)-G238)^2)+SUMPRODUCT(--(Data!$C$2:$C$301&gt;A238),(SQRT(Data!$K$2:$K$301)-H238)^2)</f>
        <v>1056.4735295362882</v>
      </c>
      <c r="J238">
        <f t="shared" si="9"/>
        <v>1</v>
      </c>
      <c r="K238">
        <f t="shared" si="10"/>
        <v>530647.27283695317</v>
      </c>
      <c r="L238">
        <f t="shared" si="11"/>
        <v>1056.4735295362882</v>
      </c>
    </row>
    <row r="239" spans="1:12" x14ac:dyDescent="0.2">
      <c r="A239">
        <f>Data!C239</f>
        <v>55</v>
      </c>
      <c r="B239">
        <f>COUNTIF(Data!$C$2:$C$301,"&lt;="&amp;A239)</f>
        <v>254</v>
      </c>
      <c r="C239">
        <f>IF(B239=0,0,AVERAGEIF(Data!$C$2:$C$301,"&lt;="&amp;A239,Data!$K$2:$K$301))</f>
        <v>109.04767359994145</v>
      </c>
      <c r="D239">
        <f>COUNTIF(Data!$C$2:$C$301,"&gt;"&amp;A239)</f>
        <v>46</v>
      </c>
      <c r="E239">
        <f>IF(D239=0,0,AVERAGEIF(Data!$C$2:$C$301,"&gt;"&amp;A239,Data!$K$2:$K$301))</f>
        <v>116.82356806417974</v>
      </c>
      <c r="F239">
        <f>SUMPRODUCT(--(Data!$C$2:$C$301&lt;=A239),(Data!$K$2:$K$301-C239)^2)+SUMPRODUCT(--(Data!$C$2:$C$301&gt;A239),(Data!$K$2:$K$301-E239)^2)</f>
        <v>534919.01301229745</v>
      </c>
      <c r="G239">
        <f>IF(B239=0,0,SUMPRODUCT(--(Data!$C$2:$C$301&lt;=A239),SQRT(Data!$K$2:$K$301))/B239)</f>
        <v>10.278944478092541</v>
      </c>
      <c r="H239">
        <f>IF(D239=0,0,SUMPRODUCT(--(Data!$C$2:$C$301&gt;A239),SQRT(Data!$K$2:$K$301))/D239)</f>
        <v>10.597266404725501</v>
      </c>
      <c r="I239">
        <f>SUMPRODUCT(--(Data!$C$2:$C$301&lt;=A239),(SQRT(Data!$K$2:$K$301)-G239)^2)+SUMPRODUCT(--(Data!$C$2:$C$301&gt;A239),(SQRT(Data!$K$2:$K$301)-H239)^2)</f>
        <v>1069.2969894500063</v>
      </c>
      <c r="J239">
        <f t="shared" si="9"/>
        <v>1</v>
      </c>
      <c r="K239">
        <f t="shared" si="10"/>
        <v>534919.01301229745</v>
      </c>
      <c r="L239">
        <f t="shared" si="11"/>
        <v>1069.2969894500063</v>
      </c>
    </row>
    <row r="240" spans="1:12" x14ac:dyDescent="0.2">
      <c r="A240">
        <f>Data!C240</f>
        <v>59</v>
      </c>
      <c r="B240">
        <f>COUNTIF(Data!$C$2:$C$301,"&lt;="&amp;A240)</f>
        <v>275</v>
      </c>
      <c r="C240">
        <f>IF(B240=0,0,AVERAGEIF(Data!$C$2:$C$301,"&lt;="&amp;A240,Data!$K$2:$K$301))</f>
        <v>109.74883200032075</v>
      </c>
      <c r="D240">
        <f>COUNTIF(Data!$C$2:$C$301,"&gt;"&amp;A240)</f>
        <v>25</v>
      </c>
      <c r="E240">
        <f>IF(D240=0,0,AVERAGEIF(Data!$C$2:$C$301,"&gt;"&amp;A240,Data!$K$2:$K$301))</f>
        <v>115.6425770099673</v>
      </c>
      <c r="F240">
        <f>SUMPRODUCT(--(Data!$C$2:$C$301&lt;=A240),(Data!$K$2:$K$301-C240)^2)+SUMPRODUCT(--(Data!$C$2:$C$301&gt;A240),(Data!$K$2:$K$301-E240)^2)</f>
        <v>536477.86648151395</v>
      </c>
      <c r="G240">
        <f>IF(B240=0,0,SUMPRODUCT(--(Data!$C$2:$C$301&lt;=A240),SQRT(Data!$K$2:$K$301))/B240)</f>
        <v>10.313770639659154</v>
      </c>
      <c r="H240">
        <f>IF(D240=0,0,SUMPRODUCT(--(Data!$C$2:$C$301&gt;A240),SQRT(Data!$K$2:$K$301))/D240)</f>
        <v>10.48156904586445</v>
      </c>
      <c r="I240">
        <f>SUMPRODUCT(--(Data!$C$2:$C$301&lt;=A240),(SQRT(Data!$K$2:$K$301)-G240)^2)+SUMPRODUCT(--(Data!$C$2:$C$301&gt;A240),(SQRT(Data!$K$2:$K$301)-H240)^2)</f>
        <v>1072.5981616956467</v>
      </c>
      <c r="J240">
        <f t="shared" si="9"/>
        <v>1</v>
      </c>
      <c r="K240">
        <f t="shared" si="10"/>
        <v>536477.86648151395</v>
      </c>
      <c r="L240">
        <f t="shared" si="11"/>
        <v>1072.5981616956467</v>
      </c>
    </row>
    <row r="241" spans="1:12" x14ac:dyDescent="0.2">
      <c r="A241">
        <f>Data!C241</f>
        <v>60</v>
      </c>
      <c r="B241">
        <f>COUNTIF(Data!$C$2:$C$301,"&lt;="&amp;A241)</f>
        <v>280</v>
      </c>
      <c r="C241">
        <f>IF(B241=0,0,AVERAGEIF(Data!$C$2:$C$301,"&lt;="&amp;A241,Data!$K$2:$K$301))</f>
        <v>110.39629765122423</v>
      </c>
      <c r="D241">
        <f>COUNTIF(Data!$C$2:$C$301,"&gt;"&amp;A241)</f>
        <v>20</v>
      </c>
      <c r="E241">
        <f>IF(D241=0,0,AVERAGEIF(Data!$C$2:$C$301,"&gt;"&amp;A241,Data!$K$2:$K$301))</f>
        <v>108.0514941497302</v>
      </c>
      <c r="F241">
        <f>SUMPRODUCT(--(Data!$C$2:$C$301&lt;=A241),(Data!$K$2:$K$301-C241)^2)+SUMPRODUCT(--(Data!$C$2:$C$301&gt;A241),(Data!$K$2:$K$301-E241)^2)</f>
        <v>537171.27382655372</v>
      </c>
      <c r="G241">
        <f>IF(B241=0,0,SUMPRODUCT(--(Data!$C$2:$C$301&lt;=A241),SQRT(Data!$K$2:$K$301))/B241)</f>
        <v>10.339263092427972</v>
      </c>
      <c r="H241">
        <f>IF(D241=0,0,SUMPRODUCT(--(Data!$C$2:$C$301&gt;A241),SQRT(Data!$K$2:$K$301))/D241)</f>
        <v>10.166624308652338</v>
      </c>
      <c r="I241">
        <f>SUMPRODUCT(--(Data!$C$2:$C$301&lt;=A241),(SQRT(Data!$K$2:$K$301)-G241)^2)+SUMPRODUCT(--(Data!$C$2:$C$301&gt;A241),(SQRT(Data!$K$2:$K$301)-H241)^2)</f>
        <v>1072.6870662277106</v>
      </c>
      <c r="J241">
        <f t="shared" si="9"/>
        <v>1</v>
      </c>
      <c r="K241">
        <f t="shared" si="10"/>
        <v>537171.27382655372</v>
      </c>
      <c r="L241">
        <f t="shared" si="11"/>
        <v>1072.6870662277106</v>
      </c>
    </row>
    <row r="242" spans="1:12" x14ac:dyDescent="0.2">
      <c r="A242">
        <f>Data!C242</f>
        <v>49</v>
      </c>
      <c r="B242">
        <f>COUNTIF(Data!$C$2:$C$301,"&lt;="&amp;A242)</f>
        <v>212</v>
      </c>
      <c r="C242">
        <f>IF(B242=0,0,AVERAGEIF(Data!$C$2:$C$301,"&lt;="&amp;A242,Data!$K$2:$K$301))</f>
        <v>108.2928321953428</v>
      </c>
      <c r="D242">
        <f>COUNTIF(Data!$C$2:$C$301,"&gt;"&amp;A242)</f>
        <v>88</v>
      </c>
      <c r="E242">
        <f>IF(D242=0,0,AVERAGEIF(Data!$C$2:$C$301,"&gt;"&amp;A242,Data!$K$2:$K$301))</f>
        <v>114.93082727187185</v>
      </c>
      <c r="F242">
        <f>SUMPRODUCT(--(Data!$C$2:$C$301&lt;=A242),(Data!$K$2:$K$301-C242)^2)+SUMPRODUCT(--(Data!$C$2:$C$301&gt;A242),(Data!$K$2:$K$301-E242)^2)</f>
        <v>534533.77532637282</v>
      </c>
      <c r="G242">
        <f>IF(B242=0,0,SUMPRODUCT(--(Data!$C$2:$C$301&lt;=A242),SQRT(Data!$K$2:$K$301))/B242)</f>
        <v>10.238914021322245</v>
      </c>
      <c r="H242">
        <f>IF(D242=0,0,SUMPRODUCT(--(Data!$C$2:$C$301&gt;A242),SQRT(Data!$K$2:$K$301))/D242)</f>
        <v>10.54177704014274</v>
      </c>
      <c r="I242">
        <f>SUMPRODUCT(--(Data!$C$2:$C$301&lt;=A242),(SQRT(Data!$K$2:$K$301)-G242)^2)+SUMPRODUCT(--(Data!$C$2:$C$301&gt;A242),(SQRT(Data!$K$2:$K$301)-H242)^2)</f>
        <v>1067.5392756600895</v>
      </c>
      <c r="J242">
        <f t="shared" si="9"/>
        <v>1</v>
      </c>
      <c r="K242">
        <f t="shared" si="10"/>
        <v>534533.77532637282</v>
      </c>
      <c r="L242">
        <f t="shared" si="11"/>
        <v>1067.5392756600895</v>
      </c>
    </row>
    <row r="243" spans="1:12" x14ac:dyDescent="0.2">
      <c r="A243">
        <f>Data!C243</f>
        <v>45</v>
      </c>
      <c r="B243">
        <f>COUNTIF(Data!$C$2:$C$301,"&lt;="&amp;A243)</f>
        <v>176</v>
      </c>
      <c r="C243">
        <f>IF(B243=0,0,AVERAGEIF(Data!$C$2:$C$301,"&lt;="&amp;A243,Data!$K$2:$K$301))</f>
        <v>107.19122936601325</v>
      </c>
      <c r="D243">
        <f>COUNTIF(Data!$C$2:$C$301,"&gt;"&amp;A243)</f>
        <v>124</v>
      </c>
      <c r="E243">
        <f>IF(D243=0,0,AVERAGEIF(Data!$C$2:$C$301,"&gt;"&amp;A243,Data!$K$2:$K$301))</f>
        <v>114.56723271708925</v>
      </c>
      <c r="F243">
        <f>SUMPRODUCT(--(Data!$C$2:$C$301&lt;=A243),(Data!$K$2:$K$301-C243)^2)+SUMPRODUCT(--(Data!$C$2:$C$301&gt;A243),(Data!$K$2:$K$301-E243)^2)</f>
        <v>533316.09174216771</v>
      </c>
      <c r="G243">
        <f>IF(B243=0,0,SUMPRODUCT(--(Data!$C$2:$C$301&lt;=A243),SQRT(Data!$K$2:$K$301))/B243)</f>
        <v>10.178829622446425</v>
      </c>
      <c r="H243">
        <f>IF(D243=0,0,SUMPRODUCT(--(Data!$C$2:$C$301&gt;A243),SQRT(Data!$K$2:$K$301))/D243)</f>
        <v>10.539130149212143</v>
      </c>
      <c r="I243">
        <f>SUMPRODUCT(--(Data!$C$2:$C$301&lt;=A243),(SQRT(Data!$K$2:$K$301)-G243)^2)+SUMPRODUCT(--(Data!$C$2:$C$301&gt;A243),(SQRT(Data!$K$2:$K$301)-H243)^2)</f>
        <v>1063.7996949138264</v>
      </c>
      <c r="J243">
        <f t="shared" si="9"/>
        <v>1</v>
      </c>
      <c r="K243">
        <f t="shared" si="10"/>
        <v>533316.09174216771</v>
      </c>
      <c r="L243">
        <f t="shared" si="11"/>
        <v>1063.7996949138264</v>
      </c>
    </row>
    <row r="244" spans="1:12" x14ac:dyDescent="0.2">
      <c r="A244">
        <f>Data!C244</f>
        <v>31</v>
      </c>
      <c r="B244">
        <f>COUNTIF(Data!$C$2:$C$301,"&lt;="&amp;A244)</f>
        <v>55</v>
      </c>
      <c r="C244">
        <f>IF(B244=0,0,AVERAGEIF(Data!$C$2:$C$301,"&lt;="&amp;A244,Data!$K$2:$K$301))</f>
        <v>85.503219327454232</v>
      </c>
      <c r="D244">
        <f>COUNTIF(Data!$C$2:$C$301,"&gt;"&amp;A244)</f>
        <v>245</v>
      </c>
      <c r="E244">
        <f>IF(D244=0,0,AVERAGEIF(Data!$C$2:$C$301,"&gt;"&amp;A244,Data!$K$2:$K$301))</f>
        <v>115.79312719317309</v>
      </c>
      <c r="F244">
        <f>SUMPRODUCT(--(Data!$C$2:$C$301&lt;=A244),(Data!$K$2:$K$301-C244)^2)+SUMPRODUCT(--(Data!$C$2:$C$301&gt;A244),(Data!$K$2:$K$301-E244)^2)</f>
        <v>496063.82830124395</v>
      </c>
      <c r="G244">
        <f>IF(B244=0,0,SUMPRODUCT(--(Data!$C$2:$C$301&lt;=A244),SQRT(Data!$K$2:$K$301))/B244)</f>
        <v>9.121742078944763</v>
      </c>
      <c r="H244">
        <f>IF(D244=0,0,SUMPRODUCT(--(Data!$C$2:$C$301&gt;A244),SQRT(Data!$K$2:$K$301))/D244)</f>
        <v>10.598491174330269</v>
      </c>
      <c r="I244">
        <f>SUMPRODUCT(--(Data!$C$2:$C$301&lt;=A244),(SQRT(Data!$K$2:$K$301)-G244)^2)+SUMPRODUCT(--(Data!$C$2:$C$301&gt;A244),(SQRT(Data!$K$2:$K$301)-H244)^2)</f>
        <v>975.28968759650343</v>
      </c>
      <c r="J244">
        <f t="shared" si="9"/>
        <v>1</v>
      </c>
      <c r="K244">
        <f t="shared" si="10"/>
        <v>496063.82830124395</v>
      </c>
      <c r="L244">
        <f t="shared" si="11"/>
        <v>975.28968759650343</v>
      </c>
    </row>
    <row r="245" spans="1:12" x14ac:dyDescent="0.2">
      <c r="A245">
        <f>Data!C245</f>
        <v>34</v>
      </c>
      <c r="B245">
        <f>COUNTIF(Data!$C$2:$C$301,"&lt;="&amp;A245)</f>
        <v>79</v>
      </c>
      <c r="C245">
        <f>IF(B245=0,0,AVERAGEIF(Data!$C$2:$C$301,"&lt;="&amp;A245,Data!$K$2:$K$301))</f>
        <v>89.239688213542237</v>
      </c>
      <c r="D245">
        <f>COUNTIF(Data!$C$2:$C$301,"&gt;"&amp;A245)</f>
        <v>221</v>
      </c>
      <c r="E245">
        <f>IF(D245=0,0,AVERAGEIF(Data!$C$2:$C$301,"&gt;"&amp;A245,Data!$K$2:$K$301))</f>
        <v>117.74686812881249</v>
      </c>
      <c r="F245">
        <f>SUMPRODUCT(--(Data!$C$2:$C$301&lt;=A245),(Data!$K$2:$K$301-C245)^2)+SUMPRODUCT(--(Data!$C$2:$C$301&gt;A245),(Data!$K$2:$K$301-E245)^2)</f>
        <v>489979.84230431152</v>
      </c>
      <c r="G245">
        <f>IF(B245=0,0,SUMPRODUCT(--(Data!$C$2:$C$301&lt;=A245),SQRT(Data!$K$2:$K$301))/B245)</f>
        <v>9.3403512203320922</v>
      </c>
      <c r="H245">
        <f>IF(D245=0,0,SUMPRODUCT(--(Data!$C$2:$C$301&gt;A245),SQRT(Data!$K$2:$K$301))/D245)</f>
        <v>10.680716767631866</v>
      </c>
      <c r="I245">
        <f>SUMPRODUCT(--(Data!$C$2:$C$301&lt;=A245),(SQRT(Data!$K$2:$K$301)-G245)^2)+SUMPRODUCT(--(Data!$C$2:$C$301&gt;A245),(SQRT(Data!$K$2:$K$301)-H245)^2)</f>
        <v>968.68845457150394</v>
      </c>
      <c r="J245">
        <f t="shared" si="9"/>
        <v>1</v>
      </c>
      <c r="K245">
        <f t="shared" si="10"/>
        <v>489979.84230431152</v>
      </c>
      <c r="L245">
        <f t="shared" si="11"/>
        <v>968.68845457150394</v>
      </c>
    </row>
    <row r="246" spans="1:12" x14ac:dyDescent="0.2">
      <c r="A246">
        <f>Data!C246</f>
        <v>26</v>
      </c>
      <c r="B246">
        <f>COUNTIF(Data!$C$2:$C$301,"&lt;="&amp;A246)</f>
        <v>29</v>
      </c>
      <c r="C246">
        <f>IF(B246=0,0,AVERAGEIF(Data!$C$2:$C$301,"&lt;="&amp;A246,Data!$K$2:$K$301))</f>
        <v>74.763854576383011</v>
      </c>
      <c r="D246">
        <f>COUNTIF(Data!$C$2:$C$301,"&gt;"&amp;A246)</f>
        <v>271</v>
      </c>
      <c r="E246">
        <f>IF(D246=0,0,AVERAGEIF(Data!$C$2:$C$301,"&gt;"&amp;A246,Data!$K$2:$K$301))</f>
        <v>114.03631528642907</v>
      </c>
      <c r="F246">
        <f>SUMPRODUCT(--(Data!$C$2:$C$301&lt;=A246),(Data!$K$2:$K$301-C246)^2)+SUMPRODUCT(--(Data!$C$2:$C$301&gt;A246),(Data!$K$2:$K$301-E246)^2)</f>
        <v>496870.10051856615</v>
      </c>
      <c r="G246">
        <f>IF(B246=0,0,SUMPRODUCT(--(Data!$C$2:$C$301&lt;=A246),SQRT(Data!$K$2:$K$301))/B246)</f>
        <v>8.5689923293930157</v>
      </c>
      <c r="H246">
        <f>IF(D246=0,0,SUMPRODUCT(--(Data!$C$2:$C$301&gt;A246),SQRT(Data!$K$2:$K$301))/D246)</f>
        <v>10.515960791514686</v>
      </c>
      <c r="I246">
        <f>SUMPRODUCT(--(Data!$C$2:$C$301&lt;=A246),(SQRT(Data!$K$2:$K$301)-G246)^2)+SUMPRODUCT(--(Data!$C$2:$C$301&gt;A246),(SQRT(Data!$K$2:$K$301)-H246)^2)</f>
        <v>973.94006773199931</v>
      </c>
      <c r="J246">
        <f t="shared" si="9"/>
        <v>1</v>
      </c>
      <c r="K246">
        <f t="shared" si="10"/>
        <v>496870.10051856615</v>
      </c>
      <c r="L246">
        <f t="shared" si="11"/>
        <v>973.94006773199931</v>
      </c>
    </row>
    <row r="247" spans="1:12" x14ac:dyDescent="0.2">
      <c r="A247">
        <f>Data!C247</f>
        <v>22</v>
      </c>
      <c r="B247">
        <f>COUNTIF(Data!$C$2:$C$301,"&lt;="&amp;A247)</f>
        <v>10</v>
      </c>
      <c r="C247">
        <f>IF(B247=0,0,AVERAGEIF(Data!$C$2:$C$301,"&lt;="&amp;A247,Data!$K$2:$K$301))</f>
        <v>65.30519371621908</v>
      </c>
      <c r="D247">
        <f>COUNTIF(Data!$C$2:$C$301,"&gt;"&amp;A247)</f>
        <v>290</v>
      </c>
      <c r="E247">
        <f>IF(D247=0,0,AVERAGEIF(Data!$C$2:$C$301,"&gt;"&amp;A247,Data!$K$2:$K$301))</f>
        <v>111.78945271784551</v>
      </c>
      <c r="F247">
        <f>SUMPRODUCT(--(Data!$C$2:$C$301&lt;=A247),(Data!$K$2:$K$301-C247)^2)+SUMPRODUCT(--(Data!$C$2:$C$301&gt;A247),(Data!$K$2:$K$301-E247)^2)</f>
        <v>516386.30385349214</v>
      </c>
      <c r="G247">
        <f>IF(B247=0,0,SUMPRODUCT(--(Data!$C$2:$C$301&lt;=A247),SQRT(Data!$K$2:$K$301))/B247)</f>
        <v>8.015119012201783</v>
      </c>
      <c r="H247">
        <f>IF(D247=0,0,SUMPRODUCT(--(Data!$C$2:$C$301&gt;A247),SQRT(Data!$K$2:$K$301))/D247)</f>
        <v>10.407499868727104</v>
      </c>
      <c r="I247">
        <f>SUMPRODUCT(--(Data!$C$2:$C$301&lt;=A247),(SQRT(Data!$K$2:$K$301)-G247)^2)+SUMPRODUCT(--(Data!$C$2:$C$301&gt;A247),(SQRT(Data!$K$2:$K$301)-H247)^2)</f>
        <v>1017.9163774489665</v>
      </c>
      <c r="J247">
        <f t="shared" si="9"/>
        <v>1</v>
      </c>
      <c r="K247">
        <f t="shared" si="10"/>
        <v>516386.30385349214</v>
      </c>
      <c r="L247">
        <f t="shared" si="11"/>
        <v>1017.9163774489665</v>
      </c>
    </row>
    <row r="248" spans="1:12" x14ac:dyDescent="0.2">
      <c r="A248">
        <f>Data!C248</f>
        <v>40</v>
      </c>
      <c r="B248">
        <f>COUNTIF(Data!$C$2:$C$301,"&lt;="&amp;A248)</f>
        <v>135</v>
      </c>
      <c r="C248">
        <f>IF(B248=0,0,AVERAGEIF(Data!$C$2:$C$301,"&lt;="&amp;A248,Data!$K$2:$K$301))</f>
        <v>103.38613121677049</v>
      </c>
      <c r="D248">
        <f>COUNTIF(Data!$C$2:$C$301,"&gt;"&amp;A248)</f>
        <v>165</v>
      </c>
      <c r="E248">
        <f>IF(D248=0,0,AVERAGEIF(Data!$C$2:$C$301,"&gt;"&amp;A248,Data!$K$2:$K$301))</f>
        <v>115.8476697640811</v>
      </c>
      <c r="F248">
        <f>SUMPRODUCT(--(Data!$C$2:$C$301&lt;=A248),(Data!$K$2:$K$301-C248)^2)+SUMPRODUCT(--(Data!$C$2:$C$301&gt;A248),(Data!$K$2:$K$301-E248)^2)</f>
        <v>525743.62682591786</v>
      </c>
      <c r="G248">
        <f>IF(B248=0,0,SUMPRODUCT(--(Data!$C$2:$C$301&lt;=A248),SQRT(Data!$K$2:$K$301))/B248)</f>
        <v>10.003662056878664</v>
      </c>
      <c r="H248">
        <f>IF(D248=0,0,SUMPRODUCT(--(Data!$C$2:$C$301&gt;A248),SQRT(Data!$K$2:$K$301))/D248)</f>
        <v>10.592919844692464</v>
      </c>
      <c r="I248">
        <f>SUMPRODUCT(--(Data!$C$2:$C$301&lt;=A248),(SQRT(Data!$K$2:$K$301)-G248)^2)+SUMPRODUCT(--(Data!$C$2:$C$301&gt;A248),(SQRT(Data!$K$2:$K$301)-H248)^2)</f>
        <v>1047.4619733726961</v>
      </c>
      <c r="J248">
        <f t="shared" si="9"/>
        <v>1</v>
      </c>
      <c r="K248">
        <f t="shared" si="10"/>
        <v>525743.62682591786</v>
      </c>
      <c r="L248">
        <f t="shared" si="11"/>
        <v>1047.4619733726961</v>
      </c>
    </row>
    <row r="249" spans="1:12" x14ac:dyDescent="0.2">
      <c r="A249">
        <f>Data!C249</f>
        <v>41</v>
      </c>
      <c r="B249">
        <f>COUNTIF(Data!$C$2:$C$301,"&lt;="&amp;A249)</f>
        <v>143</v>
      </c>
      <c r="C249">
        <f>IF(B249=0,0,AVERAGEIF(Data!$C$2:$C$301,"&lt;="&amp;A249,Data!$K$2:$K$301))</f>
        <v>103.77382919941138</v>
      </c>
      <c r="D249">
        <f>COUNTIF(Data!$C$2:$C$301,"&gt;"&amp;A249)</f>
        <v>157</v>
      </c>
      <c r="E249">
        <f>IF(D249=0,0,AVERAGEIF(Data!$C$2:$C$301,"&gt;"&amp;A249,Data!$K$2:$K$301))</f>
        <v>116.12952643198452</v>
      </c>
      <c r="F249">
        <f>SUMPRODUCT(--(Data!$C$2:$C$301&lt;=A249),(Data!$K$2:$K$301-C249)^2)+SUMPRODUCT(--(Data!$C$2:$C$301&gt;A249),(Data!$K$2:$K$301-E249)^2)</f>
        <v>525849.09603159584</v>
      </c>
      <c r="G249">
        <f>IF(B249=0,0,SUMPRODUCT(--(Data!$C$2:$C$301&lt;=A249),SQRT(Data!$K$2:$K$301))/B249)</f>
        <v>10.028926081129624</v>
      </c>
      <c r="H249">
        <f>IF(D249=0,0,SUMPRODUCT(--(Data!$C$2:$C$301&gt;A249),SQRT(Data!$K$2:$K$301))/D249)</f>
        <v>10.599934537906627</v>
      </c>
      <c r="I249">
        <f>SUMPRODUCT(--(Data!$C$2:$C$301&lt;=A249),(SQRT(Data!$K$2:$K$301)-G249)^2)+SUMPRODUCT(--(Data!$C$2:$C$301&gt;A249),(SQRT(Data!$K$2:$K$301)-H249)^2)</f>
        <v>1048.8428659672084</v>
      </c>
      <c r="J249">
        <f t="shared" si="9"/>
        <v>1</v>
      </c>
      <c r="K249">
        <f t="shared" si="10"/>
        <v>525849.09603159584</v>
      </c>
      <c r="L249">
        <f t="shared" si="11"/>
        <v>1048.8428659672084</v>
      </c>
    </row>
    <row r="250" spans="1:12" x14ac:dyDescent="0.2">
      <c r="A250">
        <f>Data!C250</f>
        <v>36</v>
      </c>
      <c r="B250">
        <f>COUNTIF(Data!$C$2:$C$301,"&lt;="&amp;A250)</f>
        <v>95</v>
      </c>
      <c r="C250">
        <f>IF(B250=0,0,AVERAGEIF(Data!$C$2:$C$301,"&lt;="&amp;A250,Data!$K$2:$K$301))</f>
        <v>95.775677888572943</v>
      </c>
      <c r="D250">
        <f>COUNTIF(Data!$C$2:$C$301,"&gt;"&amp;A250)</f>
        <v>205</v>
      </c>
      <c r="E250">
        <f>IF(D250=0,0,AVERAGEIF(Data!$C$2:$C$301,"&gt;"&amp;A250,Data!$K$2:$K$301))</f>
        <v>116.94294549230715</v>
      </c>
      <c r="F250">
        <f>SUMPRODUCT(--(Data!$C$2:$C$301&lt;=A250),(Data!$K$2:$K$301-C250)^2)+SUMPRODUCT(--(Data!$C$2:$C$301&gt;A250),(Data!$K$2:$K$301-E250)^2)</f>
        <v>508187.78370177682</v>
      </c>
      <c r="G250">
        <f>IF(B250=0,0,SUMPRODUCT(--(Data!$C$2:$C$301&lt;=A250),SQRT(Data!$K$2:$K$301))/B250)</f>
        <v>9.6403742538465416</v>
      </c>
      <c r="H250">
        <f>IF(D250=0,0,SUMPRODUCT(--(Data!$C$2:$C$301&gt;A250),SQRT(Data!$K$2:$K$301))/D250)</f>
        <v>10.646295599694904</v>
      </c>
      <c r="I250">
        <f>SUMPRODUCT(--(Data!$C$2:$C$301&lt;=A250),(SQRT(Data!$K$2:$K$301)-G250)^2)+SUMPRODUCT(--(Data!$C$2:$C$301&gt;A250),(SQRT(Data!$K$2:$K$301)-H250)^2)</f>
        <v>1007.5556794887631</v>
      </c>
      <c r="J250">
        <f t="shared" si="9"/>
        <v>1</v>
      </c>
      <c r="K250">
        <f t="shared" si="10"/>
        <v>508187.78370177682</v>
      </c>
      <c r="L250">
        <f t="shared" si="11"/>
        <v>1007.5556794887631</v>
      </c>
    </row>
    <row r="251" spans="1:12" x14ac:dyDescent="0.2">
      <c r="A251">
        <f>Data!C251</f>
        <v>38</v>
      </c>
      <c r="B251">
        <f>COUNTIF(Data!$C$2:$C$301,"&lt;="&amp;A251)</f>
        <v>115</v>
      </c>
      <c r="C251">
        <f>IF(B251=0,0,AVERAGEIF(Data!$C$2:$C$301,"&lt;="&amp;A251,Data!$K$2:$K$301))</f>
        <v>101.18701694547781</v>
      </c>
      <c r="D251">
        <f>COUNTIF(Data!$C$2:$C$301,"&gt;"&amp;A251)</f>
        <v>185</v>
      </c>
      <c r="E251">
        <f>IF(D251=0,0,AVERAGEIF(Data!$C$2:$C$301,"&gt;"&amp;A251,Data!$K$2:$K$301))</f>
        <v>115.86749338706728</v>
      </c>
      <c r="F251">
        <f>SUMPRODUCT(--(Data!$C$2:$C$301&lt;=A251),(Data!$K$2:$K$301-C251)^2)+SUMPRODUCT(--(Data!$C$2:$C$301&gt;A251),(Data!$K$2:$K$301-E251)^2)</f>
        <v>521990.20120300131</v>
      </c>
      <c r="G251">
        <f>IF(B251=0,0,SUMPRODUCT(--(Data!$C$2:$C$301&lt;=A251),SQRT(Data!$K$2:$K$301))/B251)</f>
        <v>9.8881543625854409</v>
      </c>
      <c r="H251">
        <f>IF(D251=0,0,SUMPRODUCT(--(Data!$C$2:$C$301&gt;A251),SQRT(Data!$K$2:$K$301))/D251)</f>
        <v>10.601018380300271</v>
      </c>
      <c r="I251">
        <f>SUMPRODUCT(--(Data!$C$2:$C$301&lt;=A251),(SQRT(Data!$K$2:$K$301)-G251)^2)+SUMPRODUCT(--(Data!$C$2:$C$301&gt;A251),(SQRT(Data!$K$2:$K$301)-H251)^2)</f>
        <v>1037.2053256299796</v>
      </c>
      <c r="J251">
        <f t="shared" si="9"/>
        <v>1</v>
      </c>
      <c r="K251">
        <f t="shared" si="10"/>
        <v>521990.20120300131</v>
      </c>
      <c r="L251">
        <f t="shared" si="11"/>
        <v>1037.2053256299796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1"/>
  <sheetViews>
    <sheetView workbookViewId="0"/>
  </sheetViews>
  <sheetFormatPr baseColWidth="10" defaultColWidth="8.83203125" defaultRowHeight="15" x14ac:dyDescent="0.2"/>
  <cols>
    <col min="1" max="1" width="15" customWidth="1"/>
    <col min="2" max="2" width="14" customWidth="1"/>
    <col min="3" max="3" width="16" customWidth="1"/>
    <col min="4" max="4" width="15" customWidth="1"/>
    <col min="5" max="5" width="17" customWidth="1"/>
    <col min="6" max="7" width="13" customWidth="1"/>
    <col min="8" max="8" width="15" customWidth="1"/>
    <col min="9" max="10" width="13" customWidth="1"/>
    <col min="12" max="12" width="20" customWidth="1"/>
    <col min="14" max="18" width="13" customWidth="1"/>
  </cols>
  <sheetData>
    <row r="1" spans="1:18" x14ac:dyDescent="0.2">
      <c r="A1" t="s">
        <v>70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79</v>
      </c>
      <c r="J1" t="s">
        <v>92</v>
      </c>
      <c r="L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">
      <c r="A2">
        <f>Data!C2</f>
        <v>18</v>
      </c>
      <c r="B2">
        <f>COUNTIFS(Data!$M$2:$M$301,"Train",Data!$C$2:$C$301,"&lt;="&amp;A2)</f>
        <v>2</v>
      </c>
      <c r="C2">
        <f>SUMIFS(Data!$L$2:$L$301,Data!$M$2:$M$301,"Train",Data!$C$2:$C$301,"&lt;="&amp;A2)</f>
        <v>0</v>
      </c>
      <c r="D2">
        <f>COUNTIFS(Data!$M$2:$M$301,"Train",Data!$C$2:$C$301,"&gt;"&amp;A2)</f>
        <v>208</v>
      </c>
      <c r="E2">
        <f>SUMIFS(Data!$L$2:$L$301,Data!$M$2:$M$301,"Train",Data!$C$2:$C$301,"&gt;"&amp;A2)</f>
        <v>110</v>
      </c>
      <c r="F2">
        <f t="shared" ref="F2:F65" si="0">IF(B2=0,0,1-(C2/B2)^2-(1-C2/B2)^2)</f>
        <v>0</v>
      </c>
      <c r="G2">
        <f t="shared" ref="G2:G65" si="1">IF(D2=0,0,1-(E2/D2)^2-(1-E2/D2)^2)</f>
        <v>0.49833579881656809</v>
      </c>
      <c r="H2">
        <f t="shared" ref="H2:H65" si="2">IF(B2+D2=0,1,(B2*F2+D2*G2)/(B2+D2))</f>
        <v>0.49358974358974361</v>
      </c>
      <c r="I2">
        <f t="shared" ref="I2:I65" si="3">IF(AND(B2&gt;0,D2&gt;0),1,0)</f>
        <v>1</v>
      </c>
      <c r="J2">
        <f t="shared" ref="J2:J65" si="4">IF(I2=1,H2,1E+99)</f>
        <v>0.49358974358974361</v>
      </c>
      <c r="L2">
        <f>INDEX(A2:A251,MATCH(MIN(J2:J251),J2:J251,0))</f>
        <v>26</v>
      </c>
      <c r="N2">
        <f>Data!A206</f>
        <v>205</v>
      </c>
      <c r="O2">
        <f>Data!L206</f>
        <v>1</v>
      </c>
      <c r="P2">
        <f>IF(Data!C206&lt;=$L$2,$L$4,$L$6)</f>
        <v>0.57978723404255317</v>
      </c>
      <c r="Q2">
        <f>IF(P2&gt;=Controls!$B$2,1,0)</f>
        <v>1</v>
      </c>
      <c r="R2">
        <f t="shared" ref="R2:R33" si="5">--(Q2=O2)</f>
        <v>1</v>
      </c>
    </row>
    <row r="3" spans="1:18" x14ac:dyDescent="0.2">
      <c r="A3">
        <f>Data!C3</f>
        <v>24</v>
      </c>
      <c r="B3">
        <f>COUNTIFS(Data!$M$2:$M$301,"Train",Data!$C$2:$C$301,"&lt;="&amp;A3)</f>
        <v>12</v>
      </c>
      <c r="C3">
        <f>SUMIFS(Data!$L$2:$L$301,Data!$M$2:$M$301,"Train",Data!$C$2:$C$301,"&lt;="&amp;A3)</f>
        <v>0</v>
      </c>
      <c r="D3">
        <f>COUNTIFS(Data!$M$2:$M$301,"Train",Data!$C$2:$C$301,"&gt;"&amp;A3)</f>
        <v>198</v>
      </c>
      <c r="E3">
        <f>SUMIFS(Data!$L$2:$L$301,Data!$M$2:$M$301,"Train",Data!$C$2:$C$301,"&gt;"&amp;A3)</f>
        <v>110</v>
      </c>
      <c r="F3">
        <f t="shared" si="0"/>
        <v>0</v>
      </c>
      <c r="G3">
        <f t="shared" si="1"/>
        <v>0.49382716049382713</v>
      </c>
      <c r="H3">
        <f t="shared" si="2"/>
        <v>0.46560846560846558</v>
      </c>
      <c r="I3">
        <f t="shared" si="3"/>
        <v>1</v>
      </c>
      <c r="J3">
        <f t="shared" si="4"/>
        <v>0.46560846560846558</v>
      </c>
      <c r="L3" t="s">
        <v>99</v>
      </c>
      <c r="N3">
        <f>Data!A208</f>
        <v>207</v>
      </c>
      <c r="O3">
        <f>Data!L208</f>
        <v>1</v>
      </c>
      <c r="P3">
        <f>IF(Data!C208&lt;=$L$2,$L$4,$L$6)</f>
        <v>0.57978723404255317</v>
      </c>
      <c r="Q3">
        <f>IF(P3&gt;=Controls!$B$2,1,0)</f>
        <v>1</v>
      </c>
      <c r="R3">
        <f t="shared" si="5"/>
        <v>1</v>
      </c>
    </row>
    <row r="4" spans="1:18" x14ac:dyDescent="0.2">
      <c r="A4">
        <f>Data!C4</f>
        <v>45</v>
      </c>
      <c r="B4">
        <f>COUNTIFS(Data!$M$2:$M$301,"Train",Data!$C$2:$C$301,"&lt;="&amp;A4)</f>
        <v>123</v>
      </c>
      <c r="C4">
        <f>SUMIFS(Data!$L$2:$L$301,Data!$M$2:$M$301,"Train",Data!$C$2:$C$301,"&lt;="&amp;A4)</f>
        <v>55</v>
      </c>
      <c r="D4">
        <f>COUNTIFS(Data!$M$2:$M$301,"Train",Data!$C$2:$C$301,"&gt;"&amp;A4)</f>
        <v>87</v>
      </c>
      <c r="E4">
        <f>SUMIFS(Data!$L$2:$L$301,Data!$M$2:$M$301,"Train",Data!$C$2:$C$301,"&gt;"&amp;A4)</f>
        <v>55</v>
      </c>
      <c r="F4">
        <f t="shared" si="0"/>
        <v>0.49441470024456341</v>
      </c>
      <c r="G4">
        <f t="shared" si="1"/>
        <v>0.46505482890738531</v>
      </c>
      <c r="H4">
        <f t="shared" si="2"/>
        <v>0.48225132497630396</v>
      </c>
      <c r="I4">
        <f t="shared" si="3"/>
        <v>1</v>
      </c>
      <c r="J4">
        <f t="shared" si="4"/>
        <v>0.48225132497630396</v>
      </c>
      <c r="L4">
        <f>IFERROR(AVERAGEIFS(Data!$L$2:$L$301,Data!$M$2:$M$301,"Train",Data!$C$2:$C$301,"&lt;="&amp;$L$2),0)</f>
        <v>4.5454545454545456E-2</v>
      </c>
      <c r="N4">
        <f>Data!A209</f>
        <v>208</v>
      </c>
      <c r="O4">
        <f>Data!L209</f>
        <v>1</v>
      </c>
      <c r="P4">
        <f>IF(Data!C209&lt;=$L$2,$L$4,$L$6)</f>
        <v>0.57978723404255317</v>
      </c>
      <c r="Q4">
        <f>IF(P4&gt;=Controls!$B$2,1,0)</f>
        <v>1</v>
      </c>
      <c r="R4">
        <f t="shared" si="5"/>
        <v>1</v>
      </c>
    </row>
    <row r="5" spans="1:18" x14ac:dyDescent="0.2">
      <c r="A5">
        <f>Data!C5</f>
        <v>43</v>
      </c>
      <c r="B5">
        <f>COUNTIFS(Data!$M$2:$M$301,"Train",Data!$C$2:$C$301,"&lt;="&amp;A5)</f>
        <v>113</v>
      </c>
      <c r="C5">
        <f>SUMIFS(Data!$L$2:$L$301,Data!$M$2:$M$301,"Train",Data!$C$2:$C$301,"&lt;="&amp;A5)</f>
        <v>48</v>
      </c>
      <c r="D5">
        <f>COUNTIFS(Data!$M$2:$M$301,"Train",Data!$C$2:$C$301,"&gt;"&amp;A5)</f>
        <v>97</v>
      </c>
      <c r="E5">
        <f>SUMIFS(Data!$L$2:$L$301,Data!$M$2:$M$301,"Train",Data!$C$2:$C$301,"&gt;"&amp;A5)</f>
        <v>62</v>
      </c>
      <c r="F5">
        <f t="shared" si="0"/>
        <v>0.48868353042524865</v>
      </c>
      <c r="G5">
        <f t="shared" si="1"/>
        <v>0.46126049527048574</v>
      </c>
      <c r="H5">
        <f t="shared" si="2"/>
        <v>0.47601669990138196</v>
      </c>
      <c r="I5">
        <f t="shared" si="3"/>
        <v>1</v>
      </c>
      <c r="J5">
        <f t="shared" si="4"/>
        <v>0.47601669990138196</v>
      </c>
      <c r="L5" t="s">
        <v>100</v>
      </c>
      <c r="N5">
        <f>Data!A210</f>
        <v>209</v>
      </c>
      <c r="O5">
        <f>Data!L210</f>
        <v>1</v>
      </c>
      <c r="P5">
        <f>IF(Data!C210&lt;=$L$2,$L$4,$L$6)</f>
        <v>0.57978723404255317</v>
      </c>
      <c r="Q5">
        <f>IF(P5&gt;=Controls!$B$2,1,0)</f>
        <v>1</v>
      </c>
      <c r="R5">
        <f t="shared" si="5"/>
        <v>1</v>
      </c>
    </row>
    <row r="6" spans="1:18" x14ac:dyDescent="0.2">
      <c r="A6">
        <f>Data!C6</f>
        <v>50</v>
      </c>
      <c r="B6">
        <f>COUNTIFS(Data!$M$2:$M$301,"Train",Data!$C$2:$C$301,"&lt;="&amp;A6)</f>
        <v>149</v>
      </c>
      <c r="C6">
        <f>SUMIFS(Data!$L$2:$L$301,Data!$M$2:$M$301,"Train",Data!$C$2:$C$301,"&lt;="&amp;A6)</f>
        <v>74</v>
      </c>
      <c r="D6">
        <f>COUNTIFS(Data!$M$2:$M$301,"Train",Data!$C$2:$C$301,"&gt;"&amp;A6)</f>
        <v>61</v>
      </c>
      <c r="E6">
        <f>SUMIFS(Data!$L$2:$L$301,Data!$M$2:$M$301,"Train",Data!$C$2:$C$301,"&gt;"&amp;A6)</f>
        <v>36</v>
      </c>
      <c r="F6">
        <f t="shared" si="0"/>
        <v>0.49997747849195978</v>
      </c>
      <c r="G6">
        <f t="shared" si="1"/>
        <v>0.48374092985756523</v>
      </c>
      <c r="H6">
        <f t="shared" si="2"/>
        <v>0.49526114769815943</v>
      </c>
      <c r="I6">
        <f t="shared" si="3"/>
        <v>1</v>
      </c>
      <c r="J6">
        <f t="shared" si="4"/>
        <v>0.49526114769815943</v>
      </c>
      <c r="L6">
        <f>IFERROR(AVERAGEIFS(Data!$L$2:$L$301,Data!$M$2:$M$301,"Train",Data!$C$2:$C$301,"&gt;"&amp;$L$2),0)</f>
        <v>0.57978723404255317</v>
      </c>
      <c r="N6">
        <f>Data!A212</f>
        <v>211</v>
      </c>
      <c r="O6">
        <f>Data!L212</f>
        <v>1</v>
      </c>
      <c r="P6">
        <f>IF(Data!C212&lt;=$L$2,$L$4,$L$6)</f>
        <v>0.57978723404255317</v>
      </c>
      <c r="Q6">
        <f>IF(P6&gt;=Controls!$B$2,1,0)</f>
        <v>1</v>
      </c>
      <c r="R6">
        <f t="shared" si="5"/>
        <v>1</v>
      </c>
    </row>
    <row r="7" spans="1:18" x14ac:dyDescent="0.2">
      <c r="A7">
        <f>Data!C7</f>
        <v>54</v>
      </c>
      <c r="B7">
        <f>COUNTIFS(Data!$M$2:$M$301,"Train",Data!$C$2:$C$301,"&lt;="&amp;A7)</f>
        <v>169</v>
      </c>
      <c r="C7">
        <f>SUMIFS(Data!$L$2:$L$301,Data!$M$2:$M$301,"Train",Data!$C$2:$C$301,"&lt;="&amp;A7)</f>
        <v>87</v>
      </c>
      <c r="D7">
        <f>COUNTIFS(Data!$M$2:$M$301,"Train",Data!$C$2:$C$301,"&gt;"&amp;A7)</f>
        <v>41</v>
      </c>
      <c r="E7">
        <f>SUMIFS(Data!$L$2:$L$301,Data!$M$2:$M$301,"Train",Data!$C$2:$C$301,"&gt;"&amp;A7)</f>
        <v>23</v>
      </c>
      <c r="F7">
        <f t="shared" si="0"/>
        <v>0.49956234025419283</v>
      </c>
      <c r="G7">
        <f t="shared" si="1"/>
        <v>0.49256395002974424</v>
      </c>
      <c r="H7">
        <f t="shared" si="2"/>
        <v>0.49819598787703856</v>
      </c>
      <c r="I7">
        <f t="shared" si="3"/>
        <v>1</v>
      </c>
      <c r="J7">
        <f t="shared" si="4"/>
        <v>0.49819598787703856</v>
      </c>
      <c r="L7" t="s">
        <v>101</v>
      </c>
      <c r="N7">
        <f>Data!A214</f>
        <v>213</v>
      </c>
      <c r="O7">
        <f>Data!L214</f>
        <v>1</v>
      </c>
      <c r="P7">
        <f>IF(Data!C214&lt;=$L$2,$L$4,$L$6)</f>
        <v>0.57978723404255317</v>
      </c>
      <c r="Q7">
        <f>IF(P7&gt;=Controls!$B$2,1,0)</f>
        <v>1</v>
      </c>
      <c r="R7">
        <f t="shared" si="5"/>
        <v>1</v>
      </c>
    </row>
    <row r="8" spans="1:18" x14ac:dyDescent="0.2">
      <c r="A8">
        <f>Data!C8</f>
        <v>44</v>
      </c>
      <c r="B8">
        <f>COUNTIFS(Data!$M$2:$M$301,"Train",Data!$C$2:$C$301,"&lt;="&amp;A8)</f>
        <v>119</v>
      </c>
      <c r="C8">
        <f>SUMIFS(Data!$L$2:$L$301,Data!$M$2:$M$301,"Train",Data!$C$2:$C$301,"&lt;="&amp;A8)</f>
        <v>52</v>
      </c>
      <c r="D8">
        <f>COUNTIFS(Data!$M$2:$M$301,"Train",Data!$C$2:$C$301,"&gt;"&amp;A8)</f>
        <v>91</v>
      </c>
      <c r="E8">
        <f>SUMIFS(Data!$L$2:$L$301,Data!$M$2:$M$301,"Train",Data!$C$2:$C$301,"&gt;"&amp;A8)</f>
        <v>58</v>
      </c>
      <c r="F8">
        <f t="shared" si="0"/>
        <v>0.49205564578772693</v>
      </c>
      <c r="G8">
        <f t="shared" si="1"/>
        <v>0.46226301171356127</v>
      </c>
      <c r="H8">
        <f t="shared" si="2"/>
        <v>0.47914550435558845</v>
      </c>
      <c r="I8">
        <f t="shared" si="3"/>
        <v>1</v>
      </c>
      <c r="J8">
        <f t="shared" si="4"/>
        <v>0.47914550435558845</v>
      </c>
      <c r="L8">
        <f>IF(L4&gt;=Controls!$B$2,1,0)</f>
        <v>0</v>
      </c>
      <c r="N8">
        <f>Data!A215</f>
        <v>214</v>
      </c>
      <c r="O8">
        <f>Data!L215</f>
        <v>1</v>
      </c>
      <c r="P8">
        <f>IF(Data!C215&lt;=$L$2,$L$4,$L$6)</f>
        <v>0.57978723404255317</v>
      </c>
      <c r="Q8">
        <f>IF(P8&gt;=Controls!$B$2,1,0)</f>
        <v>1</v>
      </c>
      <c r="R8">
        <f t="shared" si="5"/>
        <v>1</v>
      </c>
    </row>
    <row r="9" spans="1:18" x14ac:dyDescent="0.2">
      <c r="A9">
        <f>Data!C9</f>
        <v>30</v>
      </c>
      <c r="B9">
        <f>COUNTIFS(Data!$M$2:$M$301,"Train",Data!$C$2:$C$301,"&lt;="&amp;A9)</f>
        <v>35</v>
      </c>
      <c r="C9">
        <f>SUMIFS(Data!$L$2:$L$301,Data!$M$2:$M$301,"Train",Data!$C$2:$C$301,"&lt;="&amp;A9)</f>
        <v>9</v>
      </c>
      <c r="D9">
        <f>COUNTIFS(Data!$M$2:$M$301,"Train",Data!$C$2:$C$301,"&gt;"&amp;A9)</f>
        <v>175</v>
      </c>
      <c r="E9">
        <f>SUMIFS(Data!$L$2:$L$301,Data!$M$2:$M$301,"Train",Data!$C$2:$C$301,"&gt;"&amp;A9)</f>
        <v>101</v>
      </c>
      <c r="F9">
        <f t="shared" si="0"/>
        <v>0.38204081632653053</v>
      </c>
      <c r="G9">
        <f t="shared" si="1"/>
        <v>0.48809795918367349</v>
      </c>
      <c r="H9">
        <f t="shared" si="2"/>
        <v>0.47042176870748298</v>
      </c>
      <c r="I9">
        <f t="shared" si="3"/>
        <v>1</v>
      </c>
      <c r="J9">
        <f t="shared" si="4"/>
        <v>0.47042176870748298</v>
      </c>
      <c r="L9" t="s">
        <v>102</v>
      </c>
      <c r="N9">
        <f>Data!A217</f>
        <v>216</v>
      </c>
      <c r="O9">
        <f>Data!L217</f>
        <v>1</v>
      </c>
      <c r="P9">
        <f>IF(Data!C217&lt;=$L$2,$L$4,$L$6)</f>
        <v>0.57978723404255317</v>
      </c>
      <c r="Q9">
        <f>IF(P9&gt;=Controls!$B$2,1,0)</f>
        <v>1</v>
      </c>
      <c r="R9">
        <f t="shared" si="5"/>
        <v>1</v>
      </c>
    </row>
    <row r="10" spans="1:18" x14ac:dyDescent="0.2">
      <c r="A10">
        <f>Data!C10</f>
        <v>41</v>
      </c>
      <c r="B10">
        <f>COUNTIFS(Data!$M$2:$M$301,"Train",Data!$C$2:$C$301,"&lt;="&amp;A10)</f>
        <v>99</v>
      </c>
      <c r="C10">
        <f>SUMIFS(Data!$L$2:$L$301,Data!$M$2:$M$301,"Train",Data!$C$2:$C$301,"&lt;="&amp;A10)</f>
        <v>41</v>
      </c>
      <c r="D10">
        <f>COUNTIFS(Data!$M$2:$M$301,"Train",Data!$C$2:$C$301,"&gt;"&amp;A10)</f>
        <v>111</v>
      </c>
      <c r="E10">
        <f>SUMIFS(Data!$L$2:$L$301,Data!$M$2:$M$301,"Train",Data!$C$2:$C$301,"&gt;"&amp;A10)</f>
        <v>69</v>
      </c>
      <c r="F10">
        <f t="shared" si="0"/>
        <v>0.48525660646872776</v>
      </c>
      <c r="G10">
        <f t="shared" si="1"/>
        <v>0.47041636230825423</v>
      </c>
      <c r="H10">
        <f t="shared" si="2"/>
        <v>0.47741247741247744</v>
      </c>
      <c r="I10">
        <f t="shared" si="3"/>
        <v>1</v>
      </c>
      <c r="J10">
        <f t="shared" si="4"/>
        <v>0.47741247741247744</v>
      </c>
      <c r="L10">
        <f>IF(L6&gt;=Controls!$B$2,1,0)</f>
        <v>1</v>
      </c>
      <c r="N10">
        <f>Data!A218</f>
        <v>217</v>
      </c>
      <c r="O10">
        <f>Data!L218</f>
        <v>1</v>
      </c>
      <c r="P10">
        <f>IF(Data!C218&lt;=$L$2,$L$4,$L$6)</f>
        <v>0.57978723404255317</v>
      </c>
      <c r="Q10">
        <f>IF(P10&gt;=Controls!$B$2,1,0)</f>
        <v>1</v>
      </c>
      <c r="R10">
        <f t="shared" si="5"/>
        <v>1</v>
      </c>
    </row>
    <row r="11" spans="1:18" x14ac:dyDescent="0.2">
      <c r="A11">
        <f>Data!C11</f>
        <v>52</v>
      </c>
      <c r="B11">
        <f>COUNTIFS(Data!$M$2:$M$301,"Train",Data!$C$2:$C$301,"&lt;="&amp;A11)</f>
        <v>160</v>
      </c>
      <c r="C11">
        <f>SUMIFS(Data!$L$2:$L$301,Data!$M$2:$M$301,"Train",Data!$C$2:$C$301,"&lt;="&amp;A11)</f>
        <v>81</v>
      </c>
      <c r="D11">
        <f>COUNTIFS(Data!$M$2:$M$301,"Train",Data!$C$2:$C$301,"&gt;"&amp;A11)</f>
        <v>50</v>
      </c>
      <c r="E11">
        <f>SUMIFS(Data!$L$2:$L$301,Data!$M$2:$M$301,"Train",Data!$C$2:$C$301,"&gt;"&amp;A11)</f>
        <v>29</v>
      </c>
      <c r="F11">
        <f t="shared" si="0"/>
        <v>0.49992187499999996</v>
      </c>
      <c r="G11">
        <f t="shared" si="1"/>
        <v>0.48719999999999997</v>
      </c>
      <c r="H11">
        <f t="shared" si="2"/>
        <v>0.49689285714285714</v>
      </c>
      <c r="I11">
        <f t="shared" si="3"/>
        <v>1</v>
      </c>
      <c r="J11">
        <f t="shared" si="4"/>
        <v>0.49689285714285714</v>
      </c>
      <c r="N11">
        <f>Data!A220</f>
        <v>219</v>
      </c>
      <c r="O11">
        <f>Data!L220</f>
        <v>1</v>
      </c>
      <c r="P11">
        <f>IF(Data!C220&lt;=$L$2,$L$4,$L$6)</f>
        <v>0.57978723404255317</v>
      </c>
      <c r="Q11">
        <f>IF(P11&gt;=Controls!$B$2,1,0)</f>
        <v>1</v>
      </c>
      <c r="R11">
        <f t="shared" si="5"/>
        <v>1</v>
      </c>
    </row>
    <row r="12" spans="1:18" x14ac:dyDescent="0.2">
      <c r="A12">
        <f>Data!C12</f>
        <v>45</v>
      </c>
      <c r="B12">
        <f>COUNTIFS(Data!$M$2:$M$301,"Train",Data!$C$2:$C$301,"&lt;="&amp;A12)</f>
        <v>123</v>
      </c>
      <c r="C12">
        <f>SUMIFS(Data!$L$2:$L$301,Data!$M$2:$M$301,"Train",Data!$C$2:$C$301,"&lt;="&amp;A12)</f>
        <v>55</v>
      </c>
      <c r="D12">
        <f>COUNTIFS(Data!$M$2:$M$301,"Train",Data!$C$2:$C$301,"&gt;"&amp;A12)</f>
        <v>87</v>
      </c>
      <c r="E12">
        <f>SUMIFS(Data!$L$2:$L$301,Data!$M$2:$M$301,"Train",Data!$C$2:$C$301,"&gt;"&amp;A12)</f>
        <v>55</v>
      </c>
      <c r="F12">
        <f t="shared" si="0"/>
        <v>0.49441470024456341</v>
      </c>
      <c r="G12">
        <f t="shared" si="1"/>
        <v>0.46505482890738531</v>
      </c>
      <c r="H12">
        <f t="shared" si="2"/>
        <v>0.48225132497630396</v>
      </c>
      <c r="I12">
        <f t="shared" si="3"/>
        <v>1</v>
      </c>
      <c r="J12">
        <f t="shared" si="4"/>
        <v>0.48225132497630396</v>
      </c>
      <c r="N12">
        <f>Data!A222</f>
        <v>221</v>
      </c>
      <c r="O12">
        <f>Data!L222</f>
        <v>0</v>
      </c>
      <c r="P12">
        <f>IF(Data!C222&lt;=$L$2,$L$4,$L$6)</f>
        <v>0.57978723404255317</v>
      </c>
      <c r="Q12">
        <f>IF(P12&gt;=Controls!$B$2,1,0)</f>
        <v>1</v>
      </c>
      <c r="R12">
        <f t="shared" si="5"/>
        <v>0</v>
      </c>
    </row>
    <row r="13" spans="1:18" x14ac:dyDescent="0.2">
      <c r="A13">
        <f>Data!C13</f>
        <v>34</v>
      </c>
      <c r="B13">
        <f>COUNTIFS(Data!$M$2:$M$301,"Train",Data!$C$2:$C$301,"&lt;="&amp;A13)</f>
        <v>55</v>
      </c>
      <c r="C13">
        <f>SUMIFS(Data!$L$2:$L$301,Data!$M$2:$M$301,"Train",Data!$C$2:$C$301,"&lt;="&amp;A13)</f>
        <v>17</v>
      </c>
      <c r="D13">
        <f>COUNTIFS(Data!$M$2:$M$301,"Train",Data!$C$2:$C$301,"&gt;"&amp;A13)</f>
        <v>155</v>
      </c>
      <c r="E13">
        <f>SUMIFS(Data!$L$2:$L$301,Data!$M$2:$M$301,"Train",Data!$C$2:$C$301,"&gt;"&amp;A13)</f>
        <v>93</v>
      </c>
      <c r="F13">
        <f t="shared" si="0"/>
        <v>0.42710743801652895</v>
      </c>
      <c r="G13">
        <f t="shared" si="1"/>
        <v>0.48</v>
      </c>
      <c r="H13">
        <f t="shared" si="2"/>
        <v>0.46614718614718609</v>
      </c>
      <c r="I13">
        <f t="shared" si="3"/>
        <v>1</v>
      </c>
      <c r="J13">
        <f t="shared" si="4"/>
        <v>0.46614718614718609</v>
      </c>
      <c r="N13">
        <f>Data!A223</f>
        <v>222</v>
      </c>
      <c r="O13">
        <f>Data!L223</f>
        <v>0</v>
      </c>
      <c r="P13">
        <f>IF(Data!C223&lt;=$L$2,$L$4,$L$6)</f>
        <v>0.57978723404255317</v>
      </c>
      <c r="Q13">
        <f>IF(P13&gt;=Controls!$B$2,1,0)</f>
        <v>1</v>
      </c>
      <c r="R13">
        <f t="shared" si="5"/>
        <v>0</v>
      </c>
    </row>
    <row r="14" spans="1:18" x14ac:dyDescent="0.2">
      <c r="A14">
        <f>Data!C14</f>
        <v>35</v>
      </c>
      <c r="B14">
        <f>COUNTIFS(Data!$M$2:$M$301,"Train",Data!$C$2:$C$301,"&lt;="&amp;A14)</f>
        <v>64</v>
      </c>
      <c r="C14">
        <f>SUMIFS(Data!$L$2:$L$301,Data!$M$2:$M$301,"Train",Data!$C$2:$C$301,"&lt;="&amp;A14)</f>
        <v>22</v>
      </c>
      <c r="D14">
        <f>COUNTIFS(Data!$M$2:$M$301,"Train",Data!$C$2:$C$301,"&gt;"&amp;A14)</f>
        <v>146</v>
      </c>
      <c r="E14">
        <f>SUMIFS(Data!$L$2:$L$301,Data!$M$2:$M$301,"Train",Data!$C$2:$C$301,"&gt;"&amp;A14)</f>
        <v>88</v>
      </c>
      <c r="F14">
        <f t="shared" si="0"/>
        <v>0.451171875</v>
      </c>
      <c r="G14">
        <f t="shared" si="1"/>
        <v>0.47888909739163077</v>
      </c>
      <c r="H14">
        <f t="shared" si="2"/>
        <v>0.47044194390084809</v>
      </c>
      <c r="I14">
        <f t="shared" si="3"/>
        <v>1</v>
      </c>
      <c r="J14">
        <f t="shared" si="4"/>
        <v>0.47044194390084809</v>
      </c>
      <c r="N14">
        <f>Data!A224</f>
        <v>223</v>
      </c>
      <c r="O14">
        <f>Data!L224</f>
        <v>0</v>
      </c>
      <c r="P14">
        <f>IF(Data!C224&lt;=$L$2,$L$4,$L$6)</f>
        <v>0.57978723404255317</v>
      </c>
      <c r="Q14">
        <f>IF(P14&gt;=Controls!$B$2,1,0)</f>
        <v>1</v>
      </c>
      <c r="R14">
        <f t="shared" si="5"/>
        <v>0</v>
      </c>
    </row>
    <row r="15" spans="1:18" x14ac:dyDescent="0.2">
      <c r="A15">
        <f>Data!C15</f>
        <v>39</v>
      </c>
      <c r="B15">
        <f>COUNTIFS(Data!$M$2:$M$301,"Train",Data!$C$2:$C$301,"&lt;="&amp;A15)</f>
        <v>87</v>
      </c>
      <c r="C15">
        <f>SUMIFS(Data!$L$2:$L$301,Data!$M$2:$M$301,"Train",Data!$C$2:$C$301,"&lt;="&amp;A15)</f>
        <v>36</v>
      </c>
      <c r="D15">
        <f>COUNTIFS(Data!$M$2:$M$301,"Train",Data!$C$2:$C$301,"&gt;"&amp;A15)</f>
        <v>123</v>
      </c>
      <c r="E15">
        <f>SUMIFS(Data!$L$2:$L$301,Data!$M$2:$M$301,"Train",Data!$C$2:$C$301,"&gt;"&amp;A15)</f>
        <v>74</v>
      </c>
      <c r="F15">
        <f t="shared" si="0"/>
        <v>0.4851367419738406</v>
      </c>
      <c r="G15">
        <f t="shared" si="1"/>
        <v>0.47934430563817831</v>
      </c>
      <c r="H15">
        <f t="shared" si="2"/>
        <v>0.48174402926295273</v>
      </c>
      <c r="I15">
        <f t="shared" si="3"/>
        <v>1</v>
      </c>
      <c r="J15">
        <f t="shared" si="4"/>
        <v>0.48174402926295273</v>
      </c>
      <c r="N15">
        <f>Data!A225</f>
        <v>224</v>
      </c>
      <c r="O15">
        <f>Data!L225</f>
        <v>1</v>
      </c>
      <c r="P15">
        <f>IF(Data!C225&lt;=$L$2,$L$4,$L$6)</f>
        <v>0.57978723404255317</v>
      </c>
      <c r="Q15">
        <f>IF(P15&gt;=Controls!$B$2,1,0)</f>
        <v>1</v>
      </c>
      <c r="R15">
        <f t="shared" si="5"/>
        <v>1</v>
      </c>
    </row>
    <row r="16" spans="1:18" x14ac:dyDescent="0.2">
      <c r="A16">
        <f>Data!C16</f>
        <v>54</v>
      </c>
      <c r="B16">
        <f>COUNTIFS(Data!$M$2:$M$301,"Train",Data!$C$2:$C$301,"&lt;="&amp;A16)</f>
        <v>169</v>
      </c>
      <c r="C16">
        <f>SUMIFS(Data!$L$2:$L$301,Data!$M$2:$M$301,"Train",Data!$C$2:$C$301,"&lt;="&amp;A16)</f>
        <v>87</v>
      </c>
      <c r="D16">
        <f>COUNTIFS(Data!$M$2:$M$301,"Train",Data!$C$2:$C$301,"&gt;"&amp;A16)</f>
        <v>41</v>
      </c>
      <c r="E16">
        <f>SUMIFS(Data!$L$2:$L$301,Data!$M$2:$M$301,"Train",Data!$C$2:$C$301,"&gt;"&amp;A16)</f>
        <v>23</v>
      </c>
      <c r="F16">
        <f t="shared" si="0"/>
        <v>0.49956234025419283</v>
      </c>
      <c r="G16">
        <f t="shared" si="1"/>
        <v>0.49256395002974424</v>
      </c>
      <c r="H16">
        <f t="shared" si="2"/>
        <v>0.49819598787703856</v>
      </c>
      <c r="I16">
        <f t="shared" si="3"/>
        <v>1</v>
      </c>
      <c r="J16">
        <f t="shared" si="4"/>
        <v>0.49819598787703856</v>
      </c>
      <c r="N16">
        <f>Data!A226</f>
        <v>225</v>
      </c>
      <c r="O16">
        <f>Data!L226</f>
        <v>0</v>
      </c>
      <c r="P16">
        <f>IF(Data!C226&lt;=$L$2,$L$4,$L$6)</f>
        <v>4.5454545454545456E-2</v>
      </c>
      <c r="Q16">
        <f>IF(P16&gt;=Controls!$B$2,1,0)</f>
        <v>0</v>
      </c>
      <c r="R16">
        <f t="shared" si="5"/>
        <v>1</v>
      </c>
    </row>
    <row r="17" spans="1:18" x14ac:dyDescent="0.2">
      <c r="A17">
        <f>Data!C17</f>
        <v>51</v>
      </c>
      <c r="B17">
        <f>COUNTIFS(Data!$M$2:$M$301,"Train",Data!$C$2:$C$301,"&lt;="&amp;A17)</f>
        <v>155</v>
      </c>
      <c r="C17">
        <f>SUMIFS(Data!$L$2:$L$301,Data!$M$2:$M$301,"Train",Data!$C$2:$C$301,"&lt;="&amp;A17)</f>
        <v>77</v>
      </c>
      <c r="D17">
        <f>COUNTIFS(Data!$M$2:$M$301,"Train",Data!$C$2:$C$301,"&gt;"&amp;A17)</f>
        <v>55</v>
      </c>
      <c r="E17">
        <f>SUMIFS(Data!$L$2:$L$301,Data!$M$2:$M$301,"Train",Data!$C$2:$C$301,"&gt;"&amp;A17)</f>
        <v>33</v>
      </c>
      <c r="F17">
        <f t="shared" si="0"/>
        <v>0.49997918834547356</v>
      </c>
      <c r="G17">
        <f t="shared" si="1"/>
        <v>0.48</v>
      </c>
      <c r="H17">
        <f t="shared" si="2"/>
        <v>0.49474654377880189</v>
      </c>
      <c r="I17">
        <f t="shared" si="3"/>
        <v>1</v>
      </c>
      <c r="J17">
        <f t="shared" si="4"/>
        <v>0.49474654377880189</v>
      </c>
      <c r="N17">
        <f>Data!A227</f>
        <v>226</v>
      </c>
      <c r="O17">
        <f>Data!L227</f>
        <v>0</v>
      </c>
      <c r="P17">
        <f>IF(Data!C227&lt;=$L$2,$L$4,$L$6)</f>
        <v>0.57978723404255317</v>
      </c>
      <c r="Q17">
        <f>IF(P17&gt;=Controls!$B$2,1,0)</f>
        <v>1</v>
      </c>
      <c r="R17">
        <f t="shared" si="5"/>
        <v>0</v>
      </c>
    </row>
    <row r="18" spans="1:18" x14ac:dyDescent="0.2">
      <c r="A18">
        <f>Data!C18</f>
        <v>37</v>
      </c>
      <c r="B18">
        <f>COUNTIFS(Data!$M$2:$M$301,"Train",Data!$C$2:$C$301,"&lt;="&amp;A18)</f>
        <v>74</v>
      </c>
      <c r="C18">
        <f>SUMIFS(Data!$L$2:$L$301,Data!$M$2:$M$301,"Train",Data!$C$2:$C$301,"&lt;="&amp;A18)</f>
        <v>26</v>
      </c>
      <c r="D18">
        <f>COUNTIFS(Data!$M$2:$M$301,"Train",Data!$C$2:$C$301,"&gt;"&amp;A18)</f>
        <v>136</v>
      </c>
      <c r="E18">
        <f>SUMIFS(Data!$L$2:$L$301,Data!$M$2:$M$301,"Train",Data!$C$2:$C$301,"&gt;"&amp;A18)</f>
        <v>84</v>
      </c>
      <c r="F18">
        <f t="shared" si="0"/>
        <v>0.45580715850986114</v>
      </c>
      <c r="G18">
        <f t="shared" si="1"/>
        <v>0.47231833910034604</v>
      </c>
      <c r="H18">
        <f t="shared" si="2"/>
        <v>0.46650011355893706</v>
      </c>
      <c r="I18">
        <f t="shared" si="3"/>
        <v>1</v>
      </c>
      <c r="J18">
        <f t="shared" si="4"/>
        <v>0.46650011355893706</v>
      </c>
      <c r="N18">
        <f>Data!A228</f>
        <v>227</v>
      </c>
      <c r="O18">
        <f>Data!L228</f>
        <v>0</v>
      </c>
      <c r="P18">
        <f>IF(Data!C228&lt;=$L$2,$L$4,$L$6)</f>
        <v>4.5454545454545456E-2</v>
      </c>
      <c r="Q18">
        <f>IF(P18&gt;=Controls!$B$2,1,0)</f>
        <v>0</v>
      </c>
      <c r="R18">
        <f t="shared" si="5"/>
        <v>1</v>
      </c>
    </row>
    <row r="19" spans="1:18" x14ac:dyDescent="0.2">
      <c r="A19">
        <f>Data!C19</f>
        <v>50</v>
      </c>
      <c r="B19">
        <f>COUNTIFS(Data!$M$2:$M$301,"Train",Data!$C$2:$C$301,"&lt;="&amp;A19)</f>
        <v>149</v>
      </c>
      <c r="C19">
        <f>SUMIFS(Data!$L$2:$L$301,Data!$M$2:$M$301,"Train",Data!$C$2:$C$301,"&lt;="&amp;A19)</f>
        <v>74</v>
      </c>
      <c r="D19">
        <f>COUNTIFS(Data!$M$2:$M$301,"Train",Data!$C$2:$C$301,"&gt;"&amp;A19)</f>
        <v>61</v>
      </c>
      <c r="E19">
        <f>SUMIFS(Data!$L$2:$L$301,Data!$M$2:$M$301,"Train",Data!$C$2:$C$301,"&gt;"&amp;A19)</f>
        <v>36</v>
      </c>
      <c r="F19">
        <f t="shared" si="0"/>
        <v>0.49997747849195978</v>
      </c>
      <c r="G19">
        <f t="shared" si="1"/>
        <v>0.48374092985756523</v>
      </c>
      <c r="H19">
        <f t="shared" si="2"/>
        <v>0.49526114769815943</v>
      </c>
      <c r="I19">
        <f t="shared" si="3"/>
        <v>1</v>
      </c>
      <c r="J19">
        <f t="shared" si="4"/>
        <v>0.49526114769815943</v>
      </c>
      <c r="N19">
        <f>Data!A229</f>
        <v>228</v>
      </c>
      <c r="O19">
        <f>Data!L229</f>
        <v>0</v>
      </c>
      <c r="P19">
        <f>IF(Data!C229&lt;=$L$2,$L$4,$L$6)</f>
        <v>0.57978723404255317</v>
      </c>
      <c r="Q19">
        <f>IF(P19&gt;=Controls!$B$2,1,0)</f>
        <v>1</v>
      </c>
      <c r="R19">
        <f t="shared" si="5"/>
        <v>0</v>
      </c>
    </row>
    <row r="20" spans="1:18" x14ac:dyDescent="0.2">
      <c r="A20">
        <f>Data!C20</f>
        <v>56</v>
      </c>
      <c r="B20">
        <f>COUNTIFS(Data!$M$2:$M$301,"Train",Data!$C$2:$C$301,"&lt;="&amp;A20)</f>
        <v>178</v>
      </c>
      <c r="C20">
        <f>SUMIFS(Data!$L$2:$L$301,Data!$M$2:$M$301,"Train",Data!$C$2:$C$301,"&lt;="&amp;A20)</f>
        <v>92</v>
      </c>
      <c r="D20">
        <f>COUNTIFS(Data!$M$2:$M$301,"Train",Data!$C$2:$C$301,"&gt;"&amp;A20)</f>
        <v>32</v>
      </c>
      <c r="E20">
        <f>SUMIFS(Data!$L$2:$L$301,Data!$M$2:$M$301,"Train",Data!$C$2:$C$301,"&gt;"&amp;A20)</f>
        <v>18</v>
      </c>
      <c r="F20">
        <f t="shared" si="0"/>
        <v>0.49943188991288978</v>
      </c>
      <c r="G20">
        <f t="shared" si="1"/>
        <v>0.4921875</v>
      </c>
      <c r="H20">
        <f t="shared" si="2"/>
        <v>0.49832798287854468</v>
      </c>
      <c r="I20">
        <f t="shared" si="3"/>
        <v>1</v>
      </c>
      <c r="J20">
        <f t="shared" si="4"/>
        <v>0.49832798287854468</v>
      </c>
      <c r="N20">
        <f>Data!A230</f>
        <v>229</v>
      </c>
      <c r="O20">
        <f>Data!L230</f>
        <v>1</v>
      </c>
      <c r="P20">
        <f>IF(Data!C230&lt;=$L$2,$L$4,$L$6)</f>
        <v>0.57978723404255317</v>
      </c>
      <c r="Q20">
        <f>IF(P20&gt;=Controls!$B$2,1,0)</f>
        <v>1</v>
      </c>
      <c r="R20">
        <f t="shared" si="5"/>
        <v>1</v>
      </c>
    </row>
    <row r="21" spans="1:18" x14ac:dyDescent="0.2">
      <c r="A21">
        <f>Data!C21</f>
        <v>37</v>
      </c>
      <c r="B21">
        <f>COUNTIFS(Data!$M$2:$M$301,"Train",Data!$C$2:$C$301,"&lt;="&amp;A21)</f>
        <v>74</v>
      </c>
      <c r="C21">
        <f>SUMIFS(Data!$L$2:$L$301,Data!$M$2:$M$301,"Train",Data!$C$2:$C$301,"&lt;="&amp;A21)</f>
        <v>26</v>
      </c>
      <c r="D21">
        <f>COUNTIFS(Data!$M$2:$M$301,"Train",Data!$C$2:$C$301,"&gt;"&amp;A21)</f>
        <v>136</v>
      </c>
      <c r="E21">
        <f>SUMIFS(Data!$L$2:$L$301,Data!$M$2:$M$301,"Train",Data!$C$2:$C$301,"&gt;"&amp;A21)</f>
        <v>84</v>
      </c>
      <c r="F21">
        <f t="shared" si="0"/>
        <v>0.45580715850986114</v>
      </c>
      <c r="G21">
        <f t="shared" si="1"/>
        <v>0.47231833910034604</v>
      </c>
      <c r="H21">
        <f t="shared" si="2"/>
        <v>0.46650011355893706</v>
      </c>
      <c r="I21">
        <f t="shared" si="3"/>
        <v>1</v>
      </c>
      <c r="J21">
        <f t="shared" si="4"/>
        <v>0.46650011355893706</v>
      </c>
      <c r="N21">
        <f>Data!A231</f>
        <v>230</v>
      </c>
      <c r="O21">
        <f>Data!L231</f>
        <v>0</v>
      </c>
      <c r="P21">
        <f>IF(Data!C231&lt;=$L$2,$L$4,$L$6)</f>
        <v>0.57978723404255317</v>
      </c>
      <c r="Q21">
        <f>IF(P21&gt;=Controls!$B$2,1,0)</f>
        <v>1</v>
      </c>
      <c r="R21">
        <f t="shared" si="5"/>
        <v>0</v>
      </c>
    </row>
    <row r="22" spans="1:18" x14ac:dyDescent="0.2">
      <c r="A22">
        <f>Data!C22</f>
        <v>38</v>
      </c>
      <c r="B22">
        <f>COUNTIFS(Data!$M$2:$M$301,"Train",Data!$C$2:$C$301,"&lt;="&amp;A22)</f>
        <v>81</v>
      </c>
      <c r="C22">
        <f>SUMIFS(Data!$L$2:$L$301,Data!$M$2:$M$301,"Train",Data!$C$2:$C$301,"&lt;="&amp;A22)</f>
        <v>32</v>
      </c>
      <c r="D22">
        <f>COUNTIFS(Data!$M$2:$M$301,"Train",Data!$C$2:$C$301,"&gt;"&amp;A22)</f>
        <v>129</v>
      </c>
      <c r="E22">
        <f>SUMIFS(Data!$L$2:$L$301,Data!$M$2:$M$301,"Train",Data!$C$2:$C$301,"&gt;"&amp;A22)</f>
        <v>78</v>
      </c>
      <c r="F22">
        <f t="shared" si="0"/>
        <v>0.47797591830513642</v>
      </c>
      <c r="G22">
        <f t="shared" si="1"/>
        <v>0.4780962682531098</v>
      </c>
      <c r="H22">
        <f t="shared" si="2"/>
        <v>0.47804984755889152</v>
      </c>
      <c r="I22">
        <f t="shared" si="3"/>
        <v>1</v>
      </c>
      <c r="J22">
        <f t="shared" si="4"/>
        <v>0.47804984755889152</v>
      </c>
      <c r="N22">
        <f>Data!A232</f>
        <v>231</v>
      </c>
      <c r="O22">
        <f>Data!L232</f>
        <v>0</v>
      </c>
      <c r="P22">
        <f>IF(Data!C232&lt;=$L$2,$L$4,$L$6)</f>
        <v>0.57978723404255317</v>
      </c>
      <c r="Q22">
        <f>IF(P22&gt;=Controls!$B$2,1,0)</f>
        <v>1</v>
      </c>
      <c r="R22">
        <f t="shared" si="5"/>
        <v>0</v>
      </c>
    </row>
    <row r="23" spans="1:18" x14ac:dyDescent="0.2">
      <c r="A23">
        <f>Data!C23</f>
        <v>40</v>
      </c>
      <c r="B23">
        <f>COUNTIFS(Data!$M$2:$M$301,"Train",Data!$C$2:$C$301,"&lt;="&amp;A23)</f>
        <v>95</v>
      </c>
      <c r="C23">
        <f>SUMIFS(Data!$L$2:$L$301,Data!$M$2:$M$301,"Train",Data!$C$2:$C$301,"&lt;="&amp;A23)</f>
        <v>40</v>
      </c>
      <c r="D23">
        <f>COUNTIFS(Data!$M$2:$M$301,"Train",Data!$C$2:$C$301,"&gt;"&amp;A23)</f>
        <v>115</v>
      </c>
      <c r="E23">
        <f>SUMIFS(Data!$L$2:$L$301,Data!$M$2:$M$301,"Train",Data!$C$2:$C$301,"&gt;"&amp;A23)</f>
        <v>70</v>
      </c>
      <c r="F23">
        <f t="shared" si="0"/>
        <v>0.48753462603878117</v>
      </c>
      <c r="G23">
        <f t="shared" si="1"/>
        <v>0.47637051039697548</v>
      </c>
      <c r="H23">
        <f t="shared" si="2"/>
        <v>0.48142094366350663</v>
      </c>
      <c r="I23">
        <f t="shared" si="3"/>
        <v>1</v>
      </c>
      <c r="J23">
        <f t="shared" si="4"/>
        <v>0.48142094366350663</v>
      </c>
      <c r="N23">
        <f>Data!A233</f>
        <v>232</v>
      </c>
      <c r="O23">
        <f>Data!L233</f>
        <v>1</v>
      </c>
      <c r="P23">
        <f>IF(Data!C233&lt;=$L$2,$L$4,$L$6)</f>
        <v>0.57978723404255317</v>
      </c>
      <c r="Q23">
        <f>IF(P23&gt;=Controls!$B$2,1,0)</f>
        <v>1</v>
      </c>
      <c r="R23">
        <f t="shared" si="5"/>
        <v>1</v>
      </c>
    </row>
    <row r="24" spans="1:18" x14ac:dyDescent="0.2">
      <c r="A24">
        <f>Data!C24</f>
        <v>75</v>
      </c>
      <c r="B24">
        <f>COUNTIFS(Data!$M$2:$M$301,"Train",Data!$C$2:$C$301,"&lt;="&amp;A24)</f>
        <v>210</v>
      </c>
      <c r="C24">
        <f>SUMIFS(Data!$L$2:$L$301,Data!$M$2:$M$301,"Train",Data!$C$2:$C$301,"&lt;="&amp;A24)</f>
        <v>110</v>
      </c>
      <c r="D24">
        <f>COUNTIFS(Data!$M$2:$M$301,"Train",Data!$C$2:$C$301,"&gt;"&amp;A24)</f>
        <v>0</v>
      </c>
      <c r="E24">
        <f>SUMIFS(Data!$L$2:$L$301,Data!$M$2:$M$301,"Train",Data!$C$2:$C$301,"&gt;"&amp;A24)</f>
        <v>0</v>
      </c>
      <c r="F24">
        <f t="shared" si="0"/>
        <v>0.49886621315192747</v>
      </c>
      <c r="G24">
        <f t="shared" si="1"/>
        <v>0</v>
      </c>
      <c r="H24">
        <f t="shared" si="2"/>
        <v>0.49886621315192747</v>
      </c>
      <c r="I24">
        <f t="shared" si="3"/>
        <v>0</v>
      </c>
      <c r="J24">
        <f t="shared" si="4"/>
        <v>9.9999999999999997E+98</v>
      </c>
      <c r="N24">
        <f>Data!A234</f>
        <v>233</v>
      </c>
      <c r="O24">
        <f>Data!L234</f>
        <v>1</v>
      </c>
      <c r="P24">
        <f>IF(Data!C234&lt;=$L$2,$L$4,$L$6)</f>
        <v>0.57978723404255317</v>
      </c>
      <c r="Q24">
        <f>IF(P24&gt;=Controls!$B$2,1,0)</f>
        <v>1</v>
      </c>
      <c r="R24">
        <f t="shared" si="5"/>
        <v>1</v>
      </c>
    </row>
    <row r="25" spans="1:18" x14ac:dyDescent="0.2">
      <c r="A25">
        <f>Data!C25</f>
        <v>40</v>
      </c>
      <c r="B25">
        <f>COUNTIFS(Data!$M$2:$M$301,"Train",Data!$C$2:$C$301,"&lt;="&amp;A25)</f>
        <v>95</v>
      </c>
      <c r="C25">
        <f>SUMIFS(Data!$L$2:$L$301,Data!$M$2:$M$301,"Train",Data!$C$2:$C$301,"&lt;="&amp;A25)</f>
        <v>40</v>
      </c>
      <c r="D25">
        <f>COUNTIFS(Data!$M$2:$M$301,"Train",Data!$C$2:$C$301,"&gt;"&amp;A25)</f>
        <v>115</v>
      </c>
      <c r="E25">
        <f>SUMIFS(Data!$L$2:$L$301,Data!$M$2:$M$301,"Train",Data!$C$2:$C$301,"&gt;"&amp;A25)</f>
        <v>70</v>
      </c>
      <c r="F25">
        <f t="shared" si="0"/>
        <v>0.48753462603878117</v>
      </c>
      <c r="G25">
        <f t="shared" si="1"/>
        <v>0.47637051039697548</v>
      </c>
      <c r="H25">
        <f t="shared" si="2"/>
        <v>0.48142094366350663</v>
      </c>
      <c r="I25">
        <f t="shared" si="3"/>
        <v>1</v>
      </c>
      <c r="J25">
        <f t="shared" si="4"/>
        <v>0.48142094366350663</v>
      </c>
      <c r="N25">
        <f>Data!A235</f>
        <v>234</v>
      </c>
      <c r="O25">
        <f>Data!L235</f>
        <v>1</v>
      </c>
      <c r="P25">
        <f>IF(Data!C235&lt;=$L$2,$L$4,$L$6)</f>
        <v>0.57978723404255317</v>
      </c>
      <c r="Q25">
        <f>IF(P25&gt;=Controls!$B$2,1,0)</f>
        <v>1</v>
      </c>
      <c r="R25">
        <f t="shared" si="5"/>
        <v>1</v>
      </c>
    </row>
    <row r="26" spans="1:18" x14ac:dyDescent="0.2">
      <c r="A26">
        <f>Data!C26</f>
        <v>38</v>
      </c>
      <c r="B26">
        <f>COUNTIFS(Data!$M$2:$M$301,"Train",Data!$C$2:$C$301,"&lt;="&amp;A26)</f>
        <v>81</v>
      </c>
      <c r="C26">
        <f>SUMIFS(Data!$L$2:$L$301,Data!$M$2:$M$301,"Train",Data!$C$2:$C$301,"&lt;="&amp;A26)</f>
        <v>32</v>
      </c>
      <c r="D26">
        <f>COUNTIFS(Data!$M$2:$M$301,"Train",Data!$C$2:$C$301,"&gt;"&amp;A26)</f>
        <v>129</v>
      </c>
      <c r="E26">
        <f>SUMIFS(Data!$L$2:$L$301,Data!$M$2:$M$301,"Train",Data!$C$2:$C$301,"&gt;"&amp;A26)</f>
        <v>78</v>
      </c>
      <c r="F26">
        <f t="shared" si="0"/>
        <v>0.47797591830513642</v>
      </c>
      <c r="G26">
        <f t="shared" si="1"/>
        <v>0.4780962682531098</v>
      </c>
      <c r="H26">
        <f t="shared" si="2"/>
        <v>0.47804984755889152</v>
      </c>
      <c r="I26">
        <f t="shared" si="3"/>
        <v>1</v>
      </c>
      <c r="J26">
        <f t="shared" si="4"/>
        <v>0.47804984755889152</v>
      </c>
      <c r="N26">
        <f>Data!A236</f>
        <v>235</v>
      </c>
      <c r="O26">
        <f>Data!L236</f>
        <v>0</v>
      </c>
      <c r="P26">
        <f>IF(Data!C236&lt;=$L$2,$L$4,$L$6)</f>
        <v>4.5454545454545456E-2</v>
      </c>
      <c r="Q26">
        <f>IF(P26&gt;=Controls!$B$2,1,0)</f>
        <v>0</v>
      </c>
      <c r="R26">
        <f t="shared" si="5"/>
        <v>1</v>
      </c>
    </row>
    <row r="27" spans="1:18" x14ac:dyDescent="0.2">
      <c r="A27">
        <f>Data!C27</f>
        <v>49</v>
      </c>
      <c r="B27">
        <f>COUNTIFS(Data!$M$2:$M$301,"Train",Data!$C$2:$C$301,"&lt;="&amp;A27)</f>
        <v>143</v>
      </c>
      <c r="C27">
        <f>SUMIFS(Data!$L$2:$L$301,Data!$M$2:$M$301,"Train",Data!$C$2:$C$301,"&lt;="&amp;A27)</f>
        <v>70</v>
      </c>
      <c r="D27">
        <f>COUNTIFS(Data!$M$2:$M$301,"Train",Data!$C$2:$C$301,"&gt;"&amp;A27)</f>
        <v>67</v>
      </c>
      <c r="E27">
        <f>SUMIFS(Data!$L$2:$L$301,Data!$M$2:$M$301,"Train",Data!$C$2:$C$301,"&gt;"&amp;A27)</f>
        <v>40</v>
      </c>
      <c r="F27">
        <f t="shared" si="0"/>
        <v>0.49977994033938095</v>
      </c>
      <c r="G27">
        <f t="shared" si="1"/>
        <v>0.48117620850969045</v>
      </c>
      <c r="H27">
        <f t="shared" si="2"/>
        <v>0.49384446399371779</v>
      </c>
      <c r="I27">
        <f t="shared" si="3"/>
        <v>1</v>
      </c>
      <c r="J27">
        <f t="shared" si="4"/>
        <v>0.49384446399371779</v>
      </c>
      <c r="N27">
        <f>Data!A237</f>
        <v>236</v>
      </c>
      <c r="O27">
        <f>Data!L237</f>
        <v>0</v>
      </c>
      <c r="P27">
        <f>IF(Data!C237&lt;=$L$2,$L$4,$L$6)</f>
        <v>0.57978723404255317</v>
      </c>
      <c r="Q27">
        <f>IF(P27&gt;=Controls!$B$2,1,0)</f>
        <v>1</v>
      </c>
      <c r="R27">
        <f t="shared" si="5"/>
        <v>0</v>
      </c>
    </row>
    <row r="28" spans="1:18" x14ac:dyDescent="0.2">
      <c r="A28">
        <f>Data!C28</f>
        <v>43</v>
      </c>
      <c r="B28">
        <f>COUNTIFS(Data!$M$2:$M$301,"Train",Data!$C$2:$C$301,"&lt;="&amp;A28)</f>
        <v>113</v>
      </c>
      <c r="C28">
        <f>SUMIFS(Data!$L$2:$L$301,Data!$M$2:$M$301,"Train",Data!$C$2:$C$301,"&lt;="&amp;A28)</f>
        <v>48</v>
      </c>
      <c r="D28">
        <f>COUNTIFS(Data!$M$2:$M$301,"Train",Data!$C$2:$C$301,"&gt;"&amp;A28)</f>
        <v>97</v>
      </c>
      <c r="E28">
        <f>SUMIFS(Data!$L$2:$L$301,Data!$M$2:$M$301,"Train",Data!$C$2:$C$301,"&gt;"&amp;A28)</f>
        <v>62</v>
      </c>
      <c r="F28">
        <f t="shared" si="0"/>
        <v>0.48868353042524865</v>
      </c>
      <c r="G28">
        <f t="shared" si="1"/>
        <v>0.46126049527048574</v>
      </c>
      <c r="H28">
        <f t="shared" si="2"/>
        <v>0.47601669990138196</v>
      </c>
      <c r="I28">
        <f t="shared" si="3"/>
        <v>1</v>
      </c>
      <c r="J28">
        <f t="shared" si="4"/>
        <v>0.47601669990138196</v>
      </c>
      <c r="N28">
        <f>Data!A238</f>
        <v>237</v>
      </c>
      <c r="O28">
        <f>Data!L238</f>
        <v>1</v>
      </c>
      <c r="P28">
        <f>IF(Data!C238&lt;=$L$2,$L$4,$L$6)</f>
        <v>0.57978723404255317</v>
      </c>
      <c r="Q28">
        <f>IF(P28&gt;=Controls!$B$2,1,0)</f>
        <v>1</v>
      </c>
      <c r="R28">
        <f t="shared" si="5"/>
        <v>1</v>
      </c>
    </row>
    <row r="29" spans="1:18" x14ac:dyDescent="0.2">
      <c r="A29">
        <f>Data!C29</f>
        <v>34</v>
      </c>
      <c r="B29">
        <f>COUNTIFS(Data!$M$2:$M$301,"Train",Data!$C$2:$C$301,"&lt;="&amp;A29)</f>
        <v>55</v>
      </c>
      <c r="C29">
        <f>SUMIFS(Data!$L$2:$L$301,Data!$M$2:$M$301,"Train",Data!$C$2:$C$301,"&lt;="&amp;A29)</f>
        <v>17</v>
      </c>
      <c r="D29">
        <f>COUNTIFS(Data!$M$2:$M$301,"Train",Data!$C$2:$C$301,"&gt;"&amp;A29)</f>
        <v>155</v>
      </c>
      <c r="E29">
        <f>SUMIFS(Data!$L$2:$L$301,Data!$M$2:$M$301,"Train",Data!$C$2:$C$301,"&gt;"&amp;A29)</f>
        <v>93</v>
      </c>
      <c r="F29">
        <f t="shared" si="0"/>
        <v>0.42710743801652895</v>
      </c>
      <c r="G29">
        <f t="shared" si="1"/>
        <v>0.48</v>
      </c>
      <c r="H29">
        <f t="shared" si="2"/>
        <v>0.46614718614718609</v>
      </c>
      <c r="I29">
        <f t="shared" si="3"/>
        <v>1</v>
      </c>
      <c r="J29">
        <f t="shared" si="4"/>
        <v>0.46614718614718609</v>
      </c>
      <c r="N29">
        <f>Data!A239</f>
        <v>238</v>
      </c>
      <c r="O29">
        <f>Data!L239</f>
        <v>0</v>
      </c>
      <c r="P29">
        <f>IF(Data!C239&lt;=$L$2,$L$4,$L$6)</f>
        <v>0.57978723404255317</v>
      </c>
      <c r="Q29">
        <f>IF(P29&gt;=Controls!$B$2,1,0)</f>
        <v>1</v>
      </c>
      <c r="R29">
        <f t="shared" si="5"/>
        <v>0</v>
      </c>
    </row>
    <row r="30" spans="1:18" x14ac:dyDescent="0.2">
      <c r="A30">
        <f>Data!C30</f>
        <v>57</v>
      </c>
      <c r="B30">
        <f>COUNTIFS(Data!$M$2:$M$301,"Train",Data!$C$2:$C$301,"&lt;="&amp;A30)</f>
        <v>183</v>
      </c>
      <c r="C30">
        <f>SUMIFS(Data!$L$2:$L$301,Data!$M$2:$M$301,"Train",Data!$C$2:$C$301,"&lt;="&amp;A30)</f>
        <v>96</v>
      </c>
      <c r="D30">
        <f>COUNTIFS(Data!$M$2:$M$301,"Train",Data!$C$2:$C$301,"&gt;"&amp;A30)</f>
        <v>27</v>
      </c>
      <c r="E30">
        <f>SUMIFS(Data!$L$2:$L$301,Data!$M$2:$M$301,"Train",Data!$C$2:$C$301,"&gt;"&amp;A30)</f>
        <v>14</v>
      </c>
      <c r="F30">
        <f t="shared" si="0"/>
        <v>0.49879064767535608</v>
      </c>
      <c r="G30">
        <f t="shared" si="1"/>
        <v>0.4993141289437586</v>
      </c>
      <c r="H30">
        <f t="shared" si="2"/>
        <v>0.49885795240986497</v>
      </c>
      <c r="I30">
        <f t="shared" si="3"/>
        <v>1</v>
      </c>
      <c r="J30">
        <f t="shared" si="4"/>
        <v>0.49885795240986497</v>
      </c>
      <c r="N30">
        <f>Data!A240</f>
        <v>239</v>
      </c>
      <c r="O30">
        <f>Data!L240</f>
        <v>0</v>
      </c>
      <c r="P30">
        <f>IF(Data!C240&lt;=$L$2,$L$4,$L$6)</f>
        <v>0.57978723404255317</v>
      </c>
      <c r="Q30">
        <f>IF(P30&gt;=Controls!$B$2,1,0)</f>
        <v>1</v>
      </c>
      <c r="R30">
        <f t="shared" si="5"/>
        <v>0</v>
      </c>
    </row>
    <row r="31" spans="1:18" x14ac:dyDescent="0.2">
      <c r="A31">
        <f>Data!C31</f>
        <v>18</v>
      </c>
      <c r="B31">
        <f>COUNTIFS(Data!$M$2:$M$301,"Train",Data!$C$2:$C$301,"&lt;="&amp;A31)</f>
        <v>2</v>
      </c>
      <c r="C31">
        <f>SUMIFS(Data!$L$2:$L$301,Data!$M$2:$M$301,"Train",Data!$C$2:$C$301,"&lt;="&amp;A31)</f>
        <v>0</v>
      </c>
      <c r="D31">
        <f>COUNTIFS(Data!$M$2:$M$301,"Train",Data!$C$2:$C$301,"&gt;"&amp;A31)</f>
        <v>208</v>
      </c>
      <c r="E31">
        <f>SUMIFS(Data!$L$2:$L$301,Data!$M$2:$M$301,"Train",Data!$C$2:$C$301,"&gt;"&amp;A31)</f>
        <v>110</v>
      </c>
      <c r="F31">
        <f t="shared" si="0"/>
        <v>0</v>
      </c>
      <c r="G31">
        <f t="shared" si="1"/>
        <v>0.49833579881656809</v>
      </c>
      <c r="H31">
        <f t="shared" si="2"/>
        <v>0.49358974358974361</v>
      </c>
      <c r="I31">
        <f t="shared" si="3"/>
        <v>1</v>
      </c>
      <c r="J31">
        <f t="shared" si="4"/>
        <v>0.49358974358974361</v>
      </c>
      <c r="N31">
        <f>Data!A241</f>
        <v>240</v>
      </c>
      <c r="O31">
        <f>Data!L241</f>
        <v>0</v>
      </c>
      <c r="P31">
        <f>IF(Data!C241&lt;=$L$2,$L$4,$L$6)</f>
        <v>0.57978723404255317</v>
      </c>
      <c r="Q31">
        <f>IF(P31&gt;=Controls!$B$2,1,0)</f>
        <v>1</v>
      </c>
      <c r="R31">
        <f t="shared" si="5"/>
        <v>0</v>
      </c>
    </row>
    <row r="32" spans="1:18" x14ac:dyDescent="0.2">
      <c r="A32">
        <f>Data!C32</f>
        <v>55</v>
      </c>
      <c r="B32">
        <f>COUNTIFS(Data!$M$2:$M$301,"Train",Data!$C$2:$C$301,"&lt;="&amp;A32)</f>
        <v>176</v>
      </c>
      <c r="C32">
        <f>SUMIFS(Data!$L$2:$L$301,Data!$M$2:$M$301,"Train",Data!$C$2:$C$301,"&lt;="&amp;A32)</f>
        <v>91</v>
      </c>
      <c r="D32">
        <f>COUNTIFS(Data!$M$2:$M$301,"Train",Data!$C$2:$C$301,"&gt;"&amp;A32)</f>
        <v>34</v>
      </c>
      <c r="E32">
        <f>SUMIFS(Data!$L$2:$L$301,Data!$M$2:$M$301,"Train",Data!$C$2:$C$301,"&gt;"&amp;A32)</f>
        <v>19</v>
      </c>
      <c r="F32">
        <f t="shared" si="0"/>
        <v>0.49941890495867769</v>
      </c>
      <c r="G32">
        <f t="shared" si="1"/>
        <v>0.49307958477508645</v>
      </c>
      <c r="H32">
        <f t="shared" si="2"/>
        <v>0.49839253883371537</v>
      </c>
      <c r="I32">
        <f t="shared" si="3"/>
        <v>1</v>
      </c>
      <c r="J32">
        <f t="shared" si="4"/>
        <v>0.49839253883371537</v>
      </c>
      <c r="N32">
        <f>Data!A242</f>
        <v>241</v>
      </c>
      <c r="O32">
        <f>Data!L242</f>
        <v>0</v>
      </c>
      <c r="P32">
        <f>IF(Data!C242&lt;=$L$2,$L$4,$L$6)</f>
        <v>0.57978723404255317</v>
      </c>
      <c r="Q32">
        <f>IF(P32&gt;=Controls!$B$2,1,0)</f>
        <v>1</v>
      </c>
      <c r="R32">
        <f t="shared" si="5"/>
        <v>0</v>
      </c>
    </row>
    <row r="33" spans="1:18" x14ac:dyDescent="0.2">
      <c r="A33">
        <f>Data!C33</f>
        <v>51</v>
      </c>
      <c r="B33">
        <f>COUNTIFS(Data!$M$2:$M$301,"Train",Data!$C$2:$C$301,"&lt;="&amp;A33)</f>
        <v>155</v>
      </c>
      <c r="C33">
        <f>SUMIFS(Data!$L$2:$L$301,Data!$M$2:$M$301,"Train",Data!$C$2:$C$301,"&lt;="&amp;A33)</f>
        <v>77</v>
      </c>
      <c r="D33">
        <f>COUNTIFS(Data!$M$2:$M$301,"Train",Data!$C$2:$C$301,"&gt;"&amp;A33)</f>
        <v>55</v>
      </c>
      <c r="E33">
        <f>SUMIFS(Data!$L$2:$L$301,Data!$M$2:$M$301,"Train",Data!$C$2:$C$301,"&gt;"&amp;A33)</f>
        <v>33</v>
      </c>
      <c r="F33">
        <f t="shared" si="0"/>
        <v>0.49997918834547356</v>
      </c>
      <c r="G33">
        <f t="shared" si="1"/>
        <v>0.48</v>
      </c>
      <c r="H33">
        <f t="shared" si="2"/>
        <v>0.49474654377880189</v>
      </c>
      <c r="I33">
        <f t="shared" si="3"/>
        <v>1</v>
      </c>
      <c r="J33">
        <f t="shared" si="4"/>
        <v>0.49474654377880189</v>
      </c>
      <c r="N33">
        <f>Data!A243</f>
        <v>242</v>
      </c>
      <c r="O33">
        <f>Data!L243</f>
        <v>1</v>
      </c>
      <c r="P33">
        <f>IF(Data!C243&lt;=$L$2,$L$4,$L$6)</f>
        <v>0.57978723404255317</v>
      </c>
      <c r="Q33">
        <f>IF(P33&gt;=Controls!$B$2,1,0)</f>
        <v>1</v>
      </c>
      <c r="R33">
        <f t="shared" si="5"/>
        <v>1</v>
      </c>
    </row>
    <row r="34" spans="1:18" x14ac:dyDescent="0.2">
      <c r="A34">
        <f>Data!C34</f>
        <v>33</v>
      </c>
      <c r="B34">
        <f>COUNTIFS(Data!$M$2:$M$301,"Train",Data!$C$2:$C$301,"&lt;="&amp;A34)</f>
        <v>47</v>
      </c>
      <c r="C34">
        <f>SUMIFS(Data!$L$2:$L$301,Data!$M$2:$M$301,"Train",Data!$C$2:$C$301,"&lt;="&amp;A34)</f>
        <v>14</v>
      </c>
      <c r="D34">
        <f>COUNTIFS(Data!$M$2:$M$301,"Train",Data!$C$2:$C$301,"&gt;"&amp;A34)</f>
        <v>163</v>
      </c>
      <c r="E34">
        <f>SUMIFS(Data!$L$2:$L$301,Data!$M$2:$M$301,"Train",Data!$C$2:$C$301,"&gt;"&amp;A34)</f>
        <v>96</v>
      </c>
      <c r="F34">
        <f t="shared" si="0"/>
        <v>0.41828881846989585</v>
      </c>
      <c r="G34">
        <f t="shared" si="1"/>
        <v>0.48417328465504905</v>
      </c>
      <c r="H34">
        <f t="shared" si="2"/>
        <v>0.46942771365170516</v>
      </c>
      <c r="I34">
        <f t="shared" si="3"/>
        <v>1</v>
      </c>
      <c r="J34">
        <f t="shared" si="4"/>
        <v>0.46942771365170516</v>
      </c>
      <c r="N34">
        <f>Data!A244</f>
        <v>243</v>
      </c>
      <c r="O34">
        <f>Data!L244</f>
        <v>0</v>
      </c>
      <c r="P34">
        <f>IF(Data!C244&lt;=$L$2,$L$4,$L$6)</f>
        <v>0.57978723404255317</v>
      </c>
      <c r="Q34">
        <f>IF(P34&gt;=Controls!$B$2,1,0)</f>
        <v>1</v>
      </c>
      <c r="R34">
        <f t="shared" ref="R34:R65" si="6">--(Q34=O34)</f>
        <v>0</v>
      </c>
    </row>
    <row r="35" spans="1:18" x14ac:dyDescent="0.2">
      <c r="A35">
        <f>Data!C35</f>
        <v>34</v>
      </c>
      <c r="B35">
        <f>COUNTIFS(Data!$M$2:$M$301,"Train",Data!$C$2:$C$301,"&lt;="&amp;A35)</f>
        <v>55</v>
      </c>
      <c r="C35">
        <f>SUMIFS(Data!$L$2:$L$301,Data!$M$2:$M$301,"Train",Data!$C$2:$C$301,"&lt;="&amp;A35)</f>
        <v>17</v>
      </c>
      <c r="D35">
        <f>COUNTIFS(Data!$M$2:$M$301,"Train",Data!$C$2:$C$301,"&gt;"&amp;A35)</f>
        <v>155</v>
      </c>
      <c r="E35">
        <f>SUMIFS(Data!$L$2:$L$301,Data!$M$2:$M$301,"Train",Data!$C$2:$C$301,"&gt;"&amp;A35)</f>
        <v>93</v>
      </c>
      <c r="F35">
        <f t="shared" si="0"/>
        <v>0.42710743801652895</v>
      </c>
      <c r="G35">
        <f t="shared" si="1"/>
        <v>0.48</v>
      </c>
      <c r="H35">
        <f t="shared" si="2"/>
        <v>0.46614718614718609</v>
      </c>
      <c r="I35">
        <f t="shared" si="3"/>
        <v>1</v>
      </c>
      <c r="J35">
        <f t="shared" si="4"/>
        <v>0.46614718614718609</v>
      </c>
      <c r="N35">
        <f>Data!A245</f>
        <v>244</v>
      </c>
      <c r="O35">
        <f>Data!L245</f>
        <v>1</v>
      </c>
      <c r="P35">
        <f>IF(Data!C245&lt;=$L$2,$L$4,$L$6)</f>
        <v>0.57978723404255317</v>
      </c>
      <c r="Q35">
        <f>IF(P35&gt;=Controls!$B$2,1,0)</f>
        <v>1</v>
      </c>
      <c r="R35">
        <f t="shared" si="6"/>
        <v>1</v>
      </c>
    </row>
    <row r="36" spans="1:18" x14ac:dyDescent="0.2">
      <c r="A36">
        <f>Data!C36</f>
        <v>36</v>
      </c>
      <c r="B36">
        <f>COUNTIFS(Data!$M$2:$M$301,"Train",Data!$C$2:$C$301,"&lt;="&amp;A36)</f>
        <v>65</v>
      </c>
      <c r="C36">
        <f>SUMIFS(Data!$L$2:$L$301,Data!$M$2:$M$301,"Train",Data!$C$2:$C$301,"&lt;="&amp;A36)</f>
        <v>22</v>
      </c>
      <c r="D36">
        <f>COUNTIFS(Data!$M$2:$M$301,"Train",Data!$C$2:$C$301,"&gt;"&amp;A36)</f>
        <v>145</v>
      </c>
      <c r="E36">
        <f>SUMIFS(Data!$L$2:$L$301,Data!$M$2:$M$301,"Train",Data!$C$2:$C$301,"&gt;"&amp;A36)</f>
        <v>88</v>
      </c>
      <c r="F36">
        <f t="shared" si="0"/>
        <v>0.44781065088757394</v>
      </c>
      <c r="G36">
        <f t="shared" si="1"/>
        <v>0.47714625445897746</v>
      </c>
      <c r="H36">
        <f t="shared" si="2"/>
        <v>0.46806618668687638</v>
      </c>
      <c r="I36">
        <f t="shared" si="3"/>
        <v>1</v>
      </c>
      <c r="J36">
        <f t="shared" si="4"/>
        <v>0.46806618668687638</v>
      </c>
      <c r="N36">
        <f>Data!A246</f>
        <v>245</v>
      </c>
      <c r="O36">
        <f>Data!L246</f>
        <v>1</v>
      </c>
      <c r="P36">
        <f>IF(Data!C246&lt;=$L$2,$L$4,$L$6)</f>
        <v>4.5454545454545456E-2</v>
      </c>
      <c r="Q36">
        <f>IF(P36&gt;=Controls!$B$2,1,0)</f>
        <v>0</v>
      </c>
      <c r="R36">
        <f t="shared" si="6"/>
        <v>0</v>
      </c>
    </row>
    <row r="37" spans="1:18" x14ac:dyDescent="0.2">
      <c r="A37">
        <f>Data!C37</f>
        <v>56</v>
      </c>
      <c r="B37">
        <f>COUNTIFS(Data!$M$2:$M$301,"Train",Data!$C$2:$C$301,"&lt;="&amp;A37)</f>
        <v>178</v>
      </c>
      <c r="C37">
        <f>SUMIFS(Data!$L$2:$L$301,Data!$M$2:$M$301,"Train",Data!$C$2:$C$301,"&lt;="&amp;A37)</f>
        <v>92</v>
      </c>
      <c r="D37">
        <f>COUNTIFS(Data!$M$2:$M$301,"Train",Data!$C$2:$C$301,"&gt;"&amp;A37)</f>
        <v>32</v>
      </c>
      <c r="E37">
        <f>SUMIFS(Data!$L$2:$L$301,Data!$M$2:$M$301,"Train",Data!$C$2:$C$301,"&gt;"&amp;A37)</f>
        <v>18</v>
      </c>
      <c r="F37">
        <f t="shared" si="0"/>
        <v>0.49943188991288978</v>
      </c>
      <c r="G37">
        <f t="shared" si="1"/>
        <v>0.4921875</v>
      </c>
      <c r="H37">
        <f t="shared" si="2"/>
        <v>0.49832798287854468</v>
      </c>
      <c r="I37">
        <f t="shared" si="3"/>
        <v>1</v>
      </c>
      <c r="J37">
        <f t="shared" si="4"/>
        <v>0.49832798287854468</v>
      </c>
      <c r="N37">
        <f>Data!A247</f>
        <v>246</v>
      </c>
      <c r="O37">
        <f>Data!L247</f>
        <v>0</v>
      </c>
      <c r="P37">
        <f>IF(Data!C247&lt;=$L$2,$L$4,$L$6)</f>
        <v>4.5454545454545456E-2</v>
      </c>
      <c r="Q37">
        <f>IF(P37&gt;=Controls!$B$2,1,0)</f>
        <v>0</v>
      </c>
      <c r="R37">
        <f t="shared" si="6"/>
        <v>1</v>
      </c>
    </row>
    <row r="38" spans="1:18" x14ac:dyDescent="0.2">
      <c r="A38">
        <f>Data!C38</f>
        <v>70</v>
      </c>
      <c r="B38">
        <f>COUNTIFS(Data!$M$2:$M$301,"Train",Data!$C$2:$C$301,"&lt;="&amp;A38)</f>
        <v>207</v>
      </c>
      <c r="C38">
        <f>SUMIFS(Data!$L$2:$L$301,Data!$M$2:$M$301,"Train",Data!$C$2:$C$301,"&lt;="&amp;A38)</f>
        <v>109</v>
      </c>
      <c r="D38">
        <f>COUNTIFS(Data!$M$2:$M$301,"Train",Data!$C$2:$C$301,"&gt;"&amp;A38)</f>
        <v>3</v>
      </c>
      <c r="E38">
        <f>SUMIFS(Data!$L$2:$L$301,Data!$M$2:$M$301,"Train",Data!$C$2:$C$301,"&gt;"&amp;A38)</f>
        <v>1</v>
      </c>
      <c r="F38">
        <f t="shared" si="0"/>
        <v>0.49858806506569586</v>
      </c>
      <c r="G38">
        <f t="shared" si="1"/>
        <v>0.44444444444444431</v>
      </c>
      <c r="H38">
        <f t="shared" si="2"/>
        <v>0.49781458477110652</v>
      </c>
      <c r="I38">
        <f t="shared" si="3"/>
        <v>1</v>
      </c>
      <c r="J38">
        <f t="shared" si="4"/>
        <v>0.49781458477110652</v>
      </c>
      <c r="N38">
        <f>Data!A248</f>
        <v>247</v>
      </c>
      <c r="O38">
        <f>Data!L248</f>
        <v>0</v>
      </c>
      <c r="P38">
        <f>IF(Data!C248&lt;=$L$2,$L$4,$L$6)</f>
        <v>0.57978723404255317</v>
      </c>
      <c r="Q38">
        <f>IF(P38&gt;=Controls!$B$2,1,0)</f>
        <v>1</v>
      </c>
      <c r="R38">
        <f t="shared" si="6"/>
        <v>0</v>
      </c>
    </row>
    <row r="39" spans="1:18" x14ac:dyDescent="0.2">
      <c r="A39">
        <f>Data!C39</f>
        <v>25</v>
      </c>
      <c r="B39">
        <f>COUNTIFS(Data!$M$2:$M$301,"Train",Data!$C$2:$C$301,"&lt;="&amp;A39)</f>
        <v>20</v>
      </c>
      <c r="C39">
        <f>SUMIFS(Data!$L$2:$L$301,Data!$M$2:$M$301,"Train",Data!$C$2:$C$301,"&lt;="&amp;A39)</f>
        <v>1</v>
      </c>
      <c r="D39">
        <f>COUNTIFS(Data!$M$2:$M$301,"Train",Data!$C$2:$C$301,"&gt;"&amp;A39)</f>
        <v>190</v>
      </c>
      <c r="E39">
        <f>SUMIFS(Data!$L$2:$L$301,Data!$M$2:$M$301,"Train",Data!$C$2:$C$301,"&gt;"&amp;A39)</f>
        <v>109</v>
      </c>
      <c r="F39">
        <f t="shared" si="0"/>
        <v>9.5000000000000084E-2</v>
      </c>
      <c r="G39">
        <f t="shared" si="1"/>
        <v>0.48914127423822717</v>
      </c>
      <c r="H39">
        <f t="shared" si="2"/>
        <v>0.45160401002506273</v>
      </c>
      <c r="I39">
        <f t="shared" si="3"/>
        <v>1</v>
      </c>
      <c r="J39">
        <f t="shared" si="4"/>
        <v>0.45160401002506273</v>
      </c>
      <c r="N39">
        <f>Data!A249</f>
        <v>248</v>
      </c>
      <c r="O39">
        <f>Data!L249</f>
        <v>1</v>
      </c>
      <c r="P39">
        <f>IF(Data!C249&lt;=$L$2,$L$4,$L$6)</f>
        <v>0.57978723404255317</v>
      </c>
      <c r="Q39">
        <f>IF(P39&gt;=Controls!$B$2,1,0)</f>
        <v>1</v>
      </c>
      <c r="R39">
        <f t="shared" si="6"/>
        <v>1</v>
      </c>
    </row>
    <row r="40" spans="1:18" x14ac:dyDescent="0.2">
      <c r="A40">
        <f>Data!C40</f>
        <v>32</v>
      </c>
      <c r="B40">
        <f>COUNTIFS(Data!$M$2:$M$301,"Train",Data!$C$2:$C$301,"&lt;="&amp;A40)</f>
        <v>41</v>
      </c>
      <c r="C40">
        <f>SUMIFS(Data!$L$2:$L$301,Data!$M$2:$M$301,"Train",Data!$C$2:$C$301,"&lt;="&amp;A40)</f>
        <v>12</v>
      </c>
      <c r="D40">
        <f>COUNTIFS(Data!$M$2:$M$301,"Train",Data!$C$2:$C$301,"&gt;"&amp;A40)</f>
        <v>169</v>
      </c>
      <c r="E40">
        <f>SUMIFS(Data!$L$2:$L$301,Data!$M$2:$M$301,"Train",Data!$C$2:$C$301,"&gt;"&amp;A40)</f>
        <v>98</v>
      </c>
      <c r="F40">
        <f t="shared" si="0"/>
        <v>0.41403926234384303</v>
      </c>
      <c r="G40">
        <f t="shared" si="1"/>
        <v>0.48723784181226143</v>
      </c>
      <c r="H40">
        <f t="shared" si="2"/>
        <v>0.47294669058271305</v>
      </c>
      <c r="I40">
        <f t="shared" si="3"/>
        <v>1</v>
      </c>
      <c r="J40">
        <f t="shared" si="4"/>
        <v>0.47294669058271305</v>
      </c>
      <c r="N40">
        <f>Data!A250</f>
        <v>249</v>
      </c>
      <c r="O40">
        <f>Data!L250</f>
        <v>0</v>
      </c>
      <c r="P40">
        <f>IF(Data!C250&lt;=$L$2,$L$4,$L$6)</f>
        <v>0.57978723404255317</v>
      </c>
      <c r="Q40">
        <f>IF(P40&gt;=Controls!$B$2,1,0)</f>
        <v>1</v>
      </c>
      <c r="R40">
        <f t="shared" si="6"/>
        <v>0</v>
      </c>
    </row>
    <row r="41" spans="1:18" x14ac:dyDescent="0.2">
      <c r="A41">
        <f>Data!C41</f>
        <v>27</v>
      </c>
      <c r="B41">
        <f>COUNTIFS(Data!$M$2:$M$301,"Train",Data!$C$2:$C$301,"&lt;="&amp;A41)</f>
        <v>27</v>
      </c>
      <c r="C41">
        <f>SUMIFS(Data!$L$2:$L$301,Data!$M$2:$M$301,"Train",Data!$C$2:$C$301,"&lt;="&amp;A41)</f>
        <v>3</v>
      </c>
      <c r="D41">
        <f>COUNTIFS(Data!$M$2:$M$301,"Train",Data!$C$2:$C$301,"&gt;"&amp;A41)</f>
        <v>183</v>
      </c>
      <c r="E41">
        <f>SUMIFS(Data!$L$2:$L$301,Data!$M$2:$M$301,"Train",Data!$C$2:$C$301,"&gt;"&amp;A41)</f>
        <v>107</v>
      </c>
      <c r="F41">
        <f t="shared" si="0"/>
        <v>0.19753086419753085</v>
      </c>
      <c r="G41">
        <f t="shared" si="1"/>
        <v>0.48565200513601475</v>
      </c>
      <c r="H41">
        <f t="shared" si="2"/>
        <v>0.44860785844392398</v>
      </c>
      <c r="I41">
        <f t="shared" si="3"/>
        <v>1</v>
      </c>
      <c r="J41">
        <f t="shared" si="4"/>
        <v>0.44860785844392398</v>
      </c>
      <c r="N41">
        <f>Data!A251</f>
        <v>250</v>
      </c>
      <c r="O41">
        <f>Data!L251</f>
        <v>0</v>
      </c>
      <c r="P41">
        <f>IF(Data!C251&lt;=$L$2,$L$4,$L$6)</f>
        <v>0.57978723404255317</v>
      </c>
      <c r="Q41">
        <f>IF(P41&gt;=Controls!$B$2,1,0)</f>
        <v>1</v>
      </c>
      <c r="R41">
        <f t="shared" si="6"/>
        <v>0</v>
      </c>
    </row>
    <row r="42" spans="1:18" x14ac:dyDescent="0.2">
      <c r="A42">
        <f>Data!C42</f>
        <v>28</v>
      </c>
      <c r="B42">
        <f>COUNTIFS(Data!$M$2:$M$301,"Train",Data!$C$2:$C$301,"&lt;="&amp;A42)</f>
        <v>29</v>
      </c>
      <c r="C42">
        <f>SUMIFS(Data!$L$2:$L$301,Data!$M$2:$M$301,"Train",Data!$C$2:$C$301,"&lt;="&amp;A42)</f>
        <v>4</v>
      </c>
      <c r="D42">
        <f>COUNTIFS(Data!$M$2:$M$301,"Train",Data!$C$2:$C$301,"&gt;"&amp;A42)</f>
        <v>181</v>
      </c>
      <c r="E42">
        <f>SUMIFS(Data!$L$2:$L$301,Data!$M$2:$M$301,"Train",Data!$C$2:$C$301,"&gt;"&amp;A42)</f>
        <v>106</v>
      </c>
      <c r="F42">
        <f t="shared" si="0"/>
        <v>0.23781212841854948</v>
      </c>
      <c r="G42">
        <f t="shared" si="1"/>
        <v>0.48533317053813985</v>
      </c>
      <c r="H42">
        <f t="shared" si="2"/>
        <v>0.4511516932930536</v>
      </c>
      <c r="I42">
        <f t="shared" si="3"/>
        <v>1</v>
      </c>
      <c r="J42">
        <f t="shared" si="4"/>
        <v>0.4511516932930536</v>
      </c>
      <c r="N42">
        <f>Data!A252</f>
        <v>251</v>
      </c>
      <c r="O42">
        <f>Data!L252</f>
        <v>0</v>
      </c>
      <c r="P42">
        <f>IF(Data!C252&lt;=$L$2,$L$4,$L$6)</f>
        <v>0.57978723404255317</v>
      </c>
      <c r="Q42">
        <f>IF(P42&gt;=Controls!$B$2,1,0)</f>
        <v>1</v>
      </c>
      <c r="R42">
        <f t="shared" si="6"/>
        <v>0</v>
      </c>
    </row>
    <row r="43" spans="1:18" x14ac:dyDescent="0.2">
      <c r="A43">
        <f>Data!C43</f>
        <v>27</v>
      </c>
      <c r="B43">
        <f>COUNTIFS(Data!$M$2:$M$301,"Train",Data!$C$2:$C$301,"&lt;="&amp;A43)</f>
        <v>27</v>
      </c>
      <c r="C43">
        <f>SUMIFS(Data!$L$2:$L$301,Data!$M$2:$M$301,"Train",Data!$C$2:$C$301,"&lt;="&amp;A43)</f>
        <v>3</v>
      </c>
      <c r="D43">
        <f>COUNTIFS(Data!$M$2:$M$301,"Train",Data!$C$2:$C$301,"&gt;"&amp;A43)</f>
        <v>183</v>
      </c>
      <c r="E43">
        <f>SUMIFS(Data!$L$2:$L$301,Data!$M$2:$M$301,"Train",Data!$C$2:$C$301,"&gt;"&amp;A43)</f>
        <v>107</v>
      </c>
      <c r="F43">
        <f t="shared" si="0"/>
        <v>0.19753086419753085</v>
      </c>
      <c r="G43">
        <f t="shared" si="1"/>
        <v>0.48565200513601475</v>
      </c>
      <c r="H43">
        <f t="shared" si="2"/>
        <v>0.44860785844392398</v>
      </c>
      <c r="I43">
        <f t="shared" si="3"/>
        <v>1</v>
      </c>
      <c r="J43">
        <f t="shared" si="4"/>
        <v>0.44860785844392398</v>
      </c>
      <c r="N43">
        <f>Data!A253</f>
        <v>252</v>
      </c>
      <c r="O43">
        <f>Data!L253</f>
        <v>1</v>
      </c>
      <c r="P43">
        <f>IF(Data!C253&lt;=$L$2,$L$4,$L$6)</f>
        <v>0.57978723404255317</v>
      </c>
      <c r="Q43">
        <f>IF(P43&gt;=Controls!$B$2,1,0)</f>
        <v>1</v>
      </c>
      <c r="R43">
        <f t="shared" si="6"/>
        <v>1</v>
      </c>
    </row>
    <row r="44" spans="1:18" x14ac:dyDescent="0.2">
      <c r="A44">
        <f>Data!C44</f>
        <v>43</v>
      </c>
      <c r="B44">
        <f>COUNTIFS(Data!$M$2:$M$301,"Train",Data!$C$2:$C$301,"&lt;="&amp;A44)</f>
        <v>113</v>
      </c>
      <c r="C44">
        <f>SUMIFS(Data!$L$2:$L$301,Data!$M$2:$M$301,"Train",Data!$C$2:$C$301,"&lt;="&amp;A44)</f>
        <v>48</v>
      </c>
      <c r="D44">
        <f>COUNTIFS(Data!$M$2:$M$301,"Train",Data!$C$2:$C$301,"&gt;"&amp;A44)</f>
        <v>97</v>
      </c>
      <c r="E44">
        <f>SUMIFS(Data!$L$2:$L$301,Data!$M$2:$M$301,"Train",Data!$C$2:$C$301,"&gt;"&amp;A44)</f>
        <v>62</v>
      </c>
      <c r="F44">
        <f t="shared" si="0"/>
        <v>0.48868353042524865</v>
      </c>
      <c r="G44">
        <f t="shared" si="1"/>
        <v>0.46126049527048574</v>
      </c>
      <c r="H44">
        <f t="shared" si="2"/>
        <v>0.47601669990138196</v>
      </c>
      <c r="I44">
        <f t="shared" si="3"/>
        <v>1</v>
      </c>
      <c r="J44">
        <f t="shared" si="4"/>
        <v>0.47601669990138196</v>
      </c>
      <c r="N44">
        <f>Data!A254</f>
        <v>253</v>
      </c>
      <c r="O44">
        <f>Data!L254</f>
        <v>0</v>
      </c>
      <c r="P44">
        <f>IF(Data!C254&lt;=$L$2,$L$4,$L$6)</f>
        <v>0.57978723404255317</v>
      </c>
      <c r="Q44">
        <f>IF(P44&gt;=Controls!$B$2,1,0)</f>
        <v>1</v>
      </c>
      <c r="R44">
        <f t="shared" si="6"/>
        <v>0</v>
      </c>
    </row>
    <row r="45" spans="1:18" x14ac:dyDescent="0.2">
      <c r="A45">
        <f>Data!C45</f>
        <v>50</v>
      </c>
      <c r="B45">
        <f>COUNTIFS(Data!$M$2:$M$301,"Train",Data!$C$2:$C$301,"&lt;="&amp;A45)</f>
        <v>149</v>
      </c>
      <c r="C45">
        <f>SUMIFS(Data!$L$2:$L$301,Data!$M$2:$M$301,"Train",Data!$C$2:$C$301,"&lt;="&amp;A45)</f>
        <v>74</v>
      </c>
      <c r="D45">
        <f>COUNTIFS(Data!$M$2:$M$301,"Train",Data!$C$2:$C$301,"&gt;"&amp;A45)</f>
        <v>61</v>
      </c>
      <c r="E45">
        <f>SUMIFS(Data!$L$2:$L$301,Data!$M$2:$M$301,"Train",Data!$C$2:$C$301,"&gt;"&amp;A45)</f>
        <v>36</v>
      </c>
      <c r="F45">
        <f t="shared" si="0"/>
        <v>0.49997747849195978</v>
      </c>
      <c r="G45">
        <f t="shared" si="1"/>
        <v>0.48374092985756523</v>
      </c>
      <c r="H45">
        <f t="shared" si="2"/>
        <v>0.49526114769815943</v>
      </c>
      <c r="I45">
        <f t="shared" si="3"/>
        <v>1</v>
      </c>
      <c r="J45">
        <f t="shared" si="4"/>
        <v>0.49526114769815943</v>
      </c>
      <c r="N45">
        <f>Data!A255</f>
        <v>254</v>
      </c>
      <c r="O45">
        <f>Data!L255</f>
        <v>1</v>
      </c>
      <c r="P45">
        <f>IF(Data!C255&lt;=$L$2,$L$4,$L$6)</f>
        <v>0.57978723404255317</v>
      </c>
      <c r="Q45">
        <f>IF(P45&gt;=Controls!$B$2,1,0)</f>
        <v>1</v>
      </c>
      <c r="R45">
        <f t="shared" si="6"/>
        <v>1</v>
      </c>
    </row>
    <row r="46" spans="1:18" x14ac:dyDescent="0.2">
      <c r="A46">
        <f>Data!C46</f>
        <v>39</v>
      </c>
      <c r="B46">
        <f>COUNTIFS(Data!$M$2:$M$301,"Train",Data!$C$2:$C$301,"&lt;="&amp;A46)</f>
        <v>87</v>
      </c>
      <c r="C46">
        <f>SUMIFS(Data!$L$2:$L$301,Data!$M$2:$M$301,"Train",Data!$C$2:$C$301,"&lt;="&amp;A46)</f>
        <v>36</v>
      </c>
      <c r="D46">
        <f>COUNTIFS(Data!$M$2:$M$301,"Train",Data!$C$2:$C$301,"&gt;"&amp;A46)</f>
        <v>123</v>
      </c>
      <c r="E46">
        <f>SUMIFS(Data!$L$2:$L$301,Data!$M$2:$M$301,"Train",Data!$C$2:$C$301,"&gt;"&amp;A46)</f>
        <v>74</v>
      </c>
      <c r="F46">
        <f t="shared" si="0"/>
        <v>0.4851367419738406</v>
      </c>
      <c r="G46">
        <f t="shared" si="1"/>
        <v>0.47934430563817831</v>
      </c>
      <c r="H46">
        <f t="shared" si="2"/>
        <v>0.48174402926295273</v>
      </c>
      <c r="I46">
        <f t="shared" si="3"/>
        <v>1</v>
      </c>
      <c r="J46">
        <f t="shared" si="4"/>
        <v>0.48174402926295273</v>
      </c>
      <c r="N46">
        <f>Data!A256</f>
        <v>255</v>
      </c>
      <c r="O46">
        <f>Data!L256</f>
        <v>0</v>
      </c>
      <c r="P46">
        <f>IF(Data!C256&lt;=$L$2,$L$4,$L$6)</f>
        <v>0.57978723404255317</v>
      </c>
      <c r="Q46">
        <f>IF(P46&gt;=Controls!$B$2,1,0)</f>
        <v>1</v>
      </c>
      <c r="R46">
        <f t="shared" si="6"/>
        <v>0</v>
      </c>
    </row>
    <row r="47" spans="1:18" x14ac:dyDescent="0.2">
      <c r="A47">
        <f>Data!C47</f>
        <v>52</v>
      </c>
      <c r="B47">
        <f>COUNTIFS(Data!$M$2:$M$301,"Train",Data!$C$2:$C$301,"&lt;="&amp;A47)</f>
        <v>160</v>
      </c>
      <c r="C47">
        <f>SUMIFS(Data!$L$2:$L$301,Data!$M$2:$M$301,"Train",Data!$C$2:$C$301,"&lt;="&amp;A47)</f>
        <v>81</v>
      </c>
      <c r="D47">
        <f>COUNTIFS(Data!$M$2:$M$301,"Train",Data!$C$2:$C$301,"&gt;"&amp;A47)</f>
        <v>50</v>
      </c>
      <c r="E47">
        <f>SUMIFS(Data!$L$2:$L$301,Data!$M$2:$M$301,"Train",Data!$C$2:$C$301,"&gt;"&amp;A47)</f>
        <v>29</v>
      </c>
      <c r="F47">
        <f t="shared" si="0"/>
        <v>0.49992187499999996</v>
      </c>
      <c r="G47">
        <f t="shared" si="1"/>
        <v>0.48719999999999997</v>
      </c>
      <c r="H47">
        <f t="shared" si="2"/>
        <v>0.49689285714285714</v>
      </c>
      <c r="I47">
        <f t="shared" si="3"/>
        <v>1</v>
      </c>
      <c r="J47">
        <f t="shared" si="4"/>
        <v>0.49689285714285714</v>
      </c>
      <c r="N47">
        <f>Data!A257</f>
        <v>256</v>
      </c>
      <c r="O47">
        <f>Data!L257</f>
        <v>1</v>
      </c>
      <c r="P47">
        <f>IF(Data!C257&lt;=$L$2,$L$4,$L$6)</f>
        <v>0.57978723404255317</v>
      </c>
      <c r="Q47">
        <f>IF(P47&gt;=Controls!$B$2,1,0)</f>
        <v>1</v>
      </c>
      <c r="R47">
        <f t="shared" si="6"/>
        <v>1</v>
      </c>
    </row>
    <row r="48" spans="1:18" x14ac:dyDescent="0.2">
      <c r="A48">
        <f>Data!C48</f>
        <v>35</v>
      </c>
      <c r="B48">
        <f>COUNTIFS(Data!$M$2:$M$301,"Train",Data!$C$2:$C$301,"&lt;="&amp;A48)</f>
        <v>64</v>
      </c>
      <c r="C48">
        <f>SUMIFS(Data!$L$2:$L$301,Data!$M$2:$M$301,"Train",Data!$C$2:$C$301,"&lt;="&amp;A48)</f>
        <v>22</v>
      </c>
      <c r="D48">
        <f>COUNTIFS(Data!$M$2:$M$301,"Train",Data!$C$2:$C$301,"&gt;"&amp;A48)</f>
        <v>146</v>
      </c>
      <c r="E48">
        <f>SUMIFS(Data!$L$2:$L$301,Data!$M$2:$M$301,"Train",Data!$C$2:$C$301,"&gt;"&amp;A48)</f>
        <v>88</v>
      </c>
      <c r="F48">
        <f t="shared" si="0"/>
        <v>0.451171875</v>
      </c>
      <c r="G48">
        <f t="shared" si="1"/>
        <v>0.47888909739163077</v>
      </c>
      <c r="H48">
        <f t="shared" si="2"/>
        <v>0.47044194390084809</v>
      </c>
      <c r="I48">
        <f t="shared" si="3"/>
        <v>1</v>
      </c>
      <c r="J48">
        <f t="shared" si="4"/>
        <v>0.47044194390084809</v>
      </c>
      <c r="N48">
        <f>Data!A258</f>
        <v>257</v>
      </c>
      <c r="O48">
        <f>Data!L258</f>
        <v>1</v>
      </c>
      <c r="P48">
        <f>IF(Data!C258&lt;=$L$2,$L$4,$L$6)</f>
        <v>0.57978723404255317</v>
      </c>
      <c r="Q48">
        <f>IF(P48&gt;=Controls!$B$2,1,0)</f>
        <v>1</v>
      </c>
      <c r="R48">
        <f t="shared" si="6"/>
        <v>1</v>
      </c>
    </row>
    <row r="49" spans="1:18" x14ac:dyDescent="0.2">
      <c r="A49">
        <f>Data!C49</f>
        <v>57</v>
      </c>
      <c r="B49">
        <f>COUNTIFS(Data!$M$2:$M$301,"Train",Data!$C$2:$C$301,"&lt;="&amp;A49)</f>
        <v>183</v>
      </c>
      <c r="C49">
        <f>SUMIFS(Data!$L$2:$L$301,Data!$M$2:$M$301,"Train",Data!$C$2:$C$301,"&lt;="&amp;A49)</f>
        <v>96</v>
      </c>
      <c r="D49">
        <f>COUNTIFS(Data!$M$2:$M$301,"Train",Data!$C$2:$C$301,"&gt;"&amp;A49)</f>
        <v>27</v>
      </c>
      <c r="E49">
        <f>SUMIFS(Data!$L$2:$L$301,Data!$M$2:$M$301,"Train",Data!$C$2:$C$301,"&gt;"&amp;A49)</f>
        <v>14</v>
      </c>
      <c r="F49">
        <f t="shared" si="0"/>
        <v>0.49879064767535608</v>
      </c>
      <c r="G49">
        <f t="shared" si="1"/>
        <v>0.4993141289437586</v>
      </c>
      <c r="H49">
        <f t="shared" si="2"/>
        <v>0.49885795240986497</v>
      </c>
      <c r="I49">
        <f t="shared" si="3"/>
        <v>1</v>
      </c>
      <c r="J49">
        <f t="shared" si="4"/>
        <v>0.49885795240986497</v>
      </c>
      <c r="N49">
        <f>Data!A259</f>
        <v>258</v>
      </c>
      <c r="O49">
        <f>Data!L259</f>
        <v>0</v>
      </c>
      <c r="P49">
        <f>IF(Data!C259&lt;=$L$2,$L$4,$L$6)</f>
        <v>0.57978723404255317</v>
      </c>
      <c r="Q49">
        <f>IF(P49&gt;=Controls!$B$2,1,0)</f>
        <v>1</v>
      </c>
      <c r="R49">
        <f t="shared" si="6"/>
        <v>0</v>
      </c>
    </row>
    <row r="50" spans="1:18" x14ac:dyDescent="0.2">
      <c r="A50">
        <f>Data!C50</f>
        <v>25</v>
      </c>
      <c r="B50">
        <f>COUNTIFS(Data!$M$2:$M$301,"Train",Data!$C$2:$C$301,"&lt;="&amp;A50)</f>
        <v>20</v>
      </c>
      <c r="C50">
        <f>SUMIFS(Data!$L$2:$L$301,Data!$M$2:$M$301,"Train",Data!$C$2:$C$301,"&lt;="&amp;A50)</f>
        <v>1</v>
      </c>
      <c r="D50">
        <f>COUNTIFS(Data!$M$2:$M$301,"Train",Data!$C$2:$C$301,"&gt;"&amp;A50)</f>
        <v>190</v>
      </c>
      <c r="E50">
        <f>SUMIFS(Data!$L$2:$L$301,Data!$M$2:$M$301,"Train",Data!$C$2:$C$301,"&gt;"&amp;A50)</f>
        <v>109</v>
      </c>
      <c r="F50">
        <f t="shared" si="0"/>
        <v>9.5000000000000084E-2</v>
      </c>
      <c r="G50">
        <f t="shared" si="1"/>
        <v>0.48914127423822717</v>
      </c>
      <c r="H50">
        <f t="shared" si="2"/>
        <v>0.45160401002506273</v>
      </c>
      <c r="I50">
        <f t="shared" si="3"/>
        <v>1</v>
      </c>
      <c r="J50">
        <f t="shared" si="4"/>
        <v>0.45160401002506273</v>
      </c>
      <c r="N50">
        <f>Data!A260</f>
        <v>259</v>
      </c>
      <c r="O50">
        <f>Data!L260</f>
        <v>1</v>
      </c>
      <c r="P50">
        <f>IF(Data!C260&lt;=$L$2,$L$4,$L$6)</f>
        <v>0.57978723404255317</v>
      </c>
      <c r="Q50">
        <f>IF(P50&gt;=Controls!$B$2,1,0)</f>
        <v>1</v>
      </c>
      <c r="R50">
        <f t="shared" si="6"/>
        <v>1</v>
      </c>
    </row>
    <row r="51" spans="1:18" x14ac:dyDescent="0.2">
      <c r="A51">
        <f>Data!C51</f>
        <v>33</v>
      </c>
      <c r="B51">
        <f>COUNTIFS(Data!$M$2:$M$301,"Train",Data!$C$2:$C$301,"&lt;="&amp;A51)</f>
        <v>47</v>
      </c>
      <c r="C51">
        <f>SUMIFS(Data!$L$2:$L$301,Data!$M$2:$M$301,"Train",Data!$C$2:$C$301,"&lt;="&amp;A51)</f>
        <v>14</v>
      </c>
      <c r="D51">
        <f>COUNTIFS(Data!$M$2:$M$301,"Train",Data!$C$2:$C$301,"&gt;"&amp;A51)</f>
        <v>163</v>
      </c>
      <c r="E51">
        <f>SUMIFS(Data!$L$2:$L$301,Data!$M$2:$M$301,"Train",Data!$C$2:$C$301,"&gt;"&amp;A51)</f>
        <v>96</v>
      </c>
      <c r="F51">
        <f t="shared" si="0"/>
        <v>0.41828881846989585</v>
      </c>
      <c r="G51">
        <f t="shared" si="1"/>
        <v>0.48417328465504905</v>
      </c>
      <c r="H51">
        <f t="shared" si="2"/>
        <v>0.46942771365170516</v>
      </c>
      <c r="I51">
        <f t="shared" si="3"/>
        <v>1</v>
      </c>
      <c r="J51">
        <f t="shared" si="4"/>
        <v>0.46942771365170516</v>
      </c>
      <c r="N51">
        <f>Data!A261</f>
        <v>260</v>
      </c>
      <c r="O51">
        <f>Data!L261</f>
        <v>0</v>
      </c>
      <c r="P51">
        <f>IF(Data!C261&lt;=$L$2,$L$4,$L$6)</f>
        <v>0.57978723404255317</v>
      </c>
      <c r="Q51">
        <f>IF(P51&gt;=Controls!$B$2,1,0)</f>
        <v>1</v>
      </c>
      <c r="R51">
        <f t="shared" si="6"/>
        <v>0</v>
      </c>
    </row>
    <row r="52" spans="1:18" x14ac:dyDescent="0.2">
      <c r="A52">
        <f>Data!C52</f>
        <v>57</v>
      </c>
      <c r="B52">
        <f>COUNTIFS(Data!$M$2:$M$301,"Train",Data!$C$2:$C$301,"&lt;="&amp;A52)</f>
        <v>183</v>
      </c>
      <c r="C52">
        <f>SUMIFS(Data!$L$2:$L$301,Data!$M$2:$M$301,"Train",Data!$C$2:$C$301,"&lt;="&amp;A52)</f>
        <v>96</v>
      </c>
      <c r="D52">
        <f>COUNTIFS(Data!$M$2:$M$301,"Train",Data!$C$2:$C$301,"&gt;"&amp;A52)</f>
        <v>27</v>
      </c>
      <c r="E52">
        <f>SUMIFS(Data!$L$2:$L$301,Data!$M$2:$M$301,"Train",Data!$C$2:$C$301,"&gt;"&amp;A52)</f>
        <v>14</v>
      </c>
      <c r="F52">
        <f t="shared" si="0"/>
        <v>0.49879064767535608</v>
      </c>
      <c r="G52">
        <f t="shared" si="1"/>
        <v>0.4993141289437586</v>
      </c>
      <c r="H52">
        <f t="shared" si="2"/>
        <v>0.49885795240986497</v>
      </c>
      <c r="I52">
        <f t="shared" si="3"/>
        <v>1</v>
      </c>
      <c r="J52">
        <f t="shared" si="4"/>
        <v>0.49885795240986497</v>
      </c>
      <c r="N52">
        <f>Data!A262</f>
        <v>261</v>
      </c>
      <c r="O52">
        <f>Data!L262</f>
        <v>0</v>
      </c>
      <c r="P52">
        <f>IF(Data!C262&lt;=$L$2,$L$4,$L$6)</f>
        <v>0.57978723404255317</v>
      </c>
      <c r="Q52">
        <f>IF(P52&gt;=Controls!$B$2,1,0)</f>
        <v>1</v>
      </c>
      <c r="R52">
        <f t="shared" si="6"/>
        <v>0</v>
      </c>
    </row>
    <row r="53" spans="1:18" x14ac:dyDescent="0.2">
      <c r="A53">
        <f>Data!C53</f>
        <v>71</v>
      </c>
      <c r="B53">
        <f>COUNTIFS(Data!$M$2:$M$301,"Train",Data!$C$2:$C$301,"&lt;="&amp;A53)</f>
        <v>208</v>
      </c>
      <c r="C53">
        <f>SUMIFS(Data!$L$2:$L$301,Data!$M$2:$M$301,"Train",Data!$C$2:$C$301,"&lt;="&amp;A53)</f>
        <v>110</v>
      </c>
      <c r="D53">
        <f>COUNTIFS(Data!$M$2:$M$301,"Train",Data!$C$2:$C$301,"&gt;"&amp;A53)</f>
        <v>2</v>
      </c>
      <c r="E53">
        <f>SUMIFS(Data!$L$2:$L$301,Data!$M$2:$M$301,"Train",Data!$C$2:$C$301,"&gt;"&amp;A53)</f>
        <v>0</v>
      </c>
      <c r="F53">
        <f t="shared" si="0"/>
        <v>0.49833579881656809</v>
      </c>
      <c r="G53">
        <f t="shared" si="1"/>
        <v>0</v>
      </c>
      <c r="H53">
        <f t="shared" si="2"/>
        <v>0.49358974358974361</v>
      </c>
      <c r="I53">
        <f t="shared" si="3"/>
        <v>1</v>
      </c>
      <c r="J53">
        <f t="shared" si="4"/>
        <v>0.49358974358974361</v>
      </c>
      <c r="N53">
        <f>Data!A263</f>
        <v>262</v>
      </c>
      <c r="O53">
        <f>Data!L263</f>
        <v>1</v>
      </c>
      <c r="P53">
        <f>IF(Data!C263&lt;=$L$2,$L$4,$L$6)</f>
        <v>0.57978723404255317</v>
      </c>
      <c r="Q53">
        <f>IF(P53&gt;=Controls!$B$2,1,0)</f>
        <v>1</v>
      </c>
      <c r="R53">
        <f t="shared" si="6"/>
        <v>1</v>
      </c>
    </row>
    <row r="54" spans="1:18" x14ac:dyDescent="0.2">
      <c r="A54">
        <f>Data!C54</f>
        <v>43</v>
      </c>
      <c r="B54">
        <f>COUNTIFS(Data!$M$2:$M$301,"Train",Data!$C$2:$C$301,"&lt;="&amp;A54)</f>
        <v>113</v>
      </c>
      <c r="C54">
        <f>SUMIFS(Data!$L$2:$L$301,Data!$M$2:$M$301,"Train",Data!$C$2:$C$301,"&lt;="&amp;A54)</f>
        <v>48</v>
      </c>
      <c r="D54">
        <f>COUNTIFS(Data!$M$2:$M$301,"Train",Data!$C$2:$C$301,"&gt;"&amp;A54)</f>
        <v>97</v>
      </c>
      <c r="E54">
        <f>SUMIFS(Data!$L$2:$L$301,Data!$M$2:$M$301,"Train",Data!$C$2:$C$301,"&gt;"&amp;A54)</f>
        <v>62</v>
      </c>
      <c r="F54">
        <f t="shared" si="0"/>
        <v>0.48868353042524865</v>
      </c>
      <c r="G54">
        <f t="shared" si="1"/>
        <v>0.46126049527048574</v>
      </c>
      <c r="H54">
        <f t="shared" si="2"/>
        <v>0.47601669990138196</v>
      </c>
      <c r="I54">
        <f t="shared" si="3"/>
        <v>1</v>
      </c>
      <c r="J54">
        <f t="shared" si="4"/>
        <v>0.47601669990138196</v>
      </c>
      <c r="N54">
        <f>Data!A264</f>
        <v>263</v>
      </c>
      <c r="O54">
        <f>Data!L264</f>
        <v>1</v>
      </c>
      <c r="P54">
        <f>IF(Data!C264&lt;=$L$2,$L$4,$L$6)</f>
        <v>0.57978723404255317</v>
      </c>
      <c r="Q54">
        <f>IF(P54&gt;=Controls!$B$2,1,0)</f>
        <v>1</v>
      </c>
      <c r="R54">
        <f t="shared" si="6"/>
        <v>1</v>
      </c>
    </row>
    <row r="55" spans="1:18" x14ac:dyDescent="0.2">
      <c r="A55">
        <f>Data!C55</f>
        <v>23</v>
      </c>
      <c r="B55">
        <f>COUNTIFS(Data!$M$2:$M$301,"Train",Data!$C$2:$C$301,"&lt;="&amp;A55)</f>
        <v>10</v>
      </c>
      <c r="C55">
        <f>SUMIFS(Data!$L$2:$L$301,Data!$M$2:$M$301,"Train",Data!$C$2:$C$301,"&lt;="&amp;A55)</f>
        <v>0</v>
      </c>
      <c r="D55">
        <f>COUNTIFS(Data!$M$2:$M$301,"Train",Data!$C$2:$C$301,"&gt;"&amp;A55)</f>
        <v>200</v>
      </c>
      <c r="E55">
        <f>SUMIFS(Data!$L$2:$L$301,Data!$M$2:$M$301,"Train",Data!$C$2:$C$301,"&gt;"&amp;A55)</f>
        <v>110</v>
      </c>
      <c r="F55">
        <f t="shared" si="0"/>
        <v>0</v>
      </c>
      <c r="G55">
        <f t="shared" si="1"/>
        <v>0.49500000000000005</v>
      </c>
      <c r="H55">
        <f t="shared" si="2"/>
        <v>0.47142857142857147</v>
      </c>
      <c r="I55">
        <f t="shared" si="3"/>
        <v>1</v>
      </c>
      <c r="J55">
        <f t="shared" si="4"/>
        <v>0.47142857142857147</v>
      </c>
      <c r="N55">
        <f>Data!A265</f>
        <v>264</v>
      </c>
      <c r="O55">
        <f>Data!L265</f>
        <v>0</v>
      </c>
      <c r="P55">
        <f>IF(Data!C265&lt;=$L$2,$L$4,$L$6)</f>
        <v>0.57978723404255317</v>
      </c>
      <c r="Q55">
        <f>IF(P55&gt;=Controls!$B$2,1,0)</f>
        <v>1</v>
      </c>
      <c r="R55">
        <f t="shared" si="6"/>
        <v>0</v>
      </c>
    </row>
    <row r="56" spans="1:18" x14ac:dyDescent="0.2">
      <c r="A56">
        <f>Data!C56</f>
        <v>30</v>
      </c>
      <c r="B56">
        <f>COUNTIFS(Data!$M$2:$M$301,"Train",Data!$C$2:$C$301,"&lt;="&amp;A56)</f>
        <v>35</v>
      </c>
      <c r="C56">
        <f>SUMIFS(Data!$L$2:$L$301,Data!$M$2:$M$301,"Train",Data!$C$2:$C$301,"&lt;="&amp;A56)</f>
        <v>9</v>
      </c>
      <c r="D56">
        <f>COUNTIFS(Data!$M$2:$M$301,"Train",Data!$C$2:$C$301,"&gt;"&amp;A56)</f>
        <v>175</v>
      </c>
      <c r="E56">
        <f>SUMIFS(Data!$L$2:$L$301,Data!$M$2:$M$301,"Train",Data!$C$2:$C$301,"&gt;"&amp;A56)</f>
        <v>101</v>
      </c>
      <c r="F56">
        <f t="shared" si="0"/>
        <v>0.38204081632653053</v>
      </c>
      <c r="G56">
        <f t="shared" si="1"/>
        <v>0.48809795918367349</v>
      </c>
      <c r="H56">
        <f t="shared" si="2"/>
        <v>0.47042176870748298</v>
      </c>
      <c r="I56">
        <f t="shared" si="3"/>
        <v>1</v>
      </c>
      <c r="J56">
        <f t="shared" si="4"/>
        <v>0.47042176870748298</v>
      </c>
      <c r="N56">
        <f>Data!A266</f>
        <v>265</v>
      </c>
      <c r="O56">
        <f>Data!L266</f>
        <v>0</v>
      </c>
      <c r="P56">
        <f>IF(Data!C266&lt;=$L$2,$L$4,$L$6)</f>
        <v>0.57978723404255317</v>
      </c>
      <c r="Q56">
        <f>IF(P56&gt;=Controls!$B$2,1,0)</f>
        <v>1</v>
      </c>
      <c r="R56">
        <f t="shared" si="6"/>
        <v>0</v>
      </c>
    </row>
    <row r="57" spans="1:18" x14ac:dyDescent="0.2">
      <c r="A57">
        <f>Data!C57</f>
        <v>22</v>
      </c>
      <c r="B57">
        <f>COUNTIFS(Data!$M$2:$M$301,"Train",Data!$C$2:$C$301,"&lt;="&amp;A57)</f>
        <v>8</v>
      </c>
      <c r="C57">
        <f>SUMIFS(Data!$L$2:$L$301,Data!$M$2:$M$301,"Train",Data!$C$2:$C$301,"&lt;="&amp;A57)</f>
        <v>0</v>
      </c>
      <c r="D57">
        <f>COUNTIFS(Data!$M$2:$M$301,"Train",Data!$C$2:$C$301,"&gt;"&amp;A57)</f>
        <v>202</v>
      </c>
      <c r="E57">
        <f>SUMIFS(Data!$L$2:$L$301,Data!$M$2:$M$301,"Train",Data!$C$2:$C$301,"&gt;"&amp;A57)</f>
        <v>110</v>
      </c>
      <c r="F57">
        <f t="shared" si="0"/>
        <v>0</v>
      </c>
      <c r="G57">
        <f t="shared" si="1"/>
        <v>0.49602980099990202</v>
      </c>
      <c r="H57">
        <f t="shared" si="2"/>
        <v>0.47713342762847716</v>
      </c>
      <c r="I57">
        <f t="shared" si="3"/>
        <v>1</v>
      </c>
      <c r="J57">
        <f t="shared" si="4"/>
        <v>0.47713342762847716</v>
      </c>
      <c r="N57">
        <f>Data!A267</f>
        <v>266</v>
      </c>
      <c r="O57">
        <f>Data!L267</f>
        <v>1</v>
      </c>
      <c r="P57">
        <f>IF(Data!C267&lt;=$L$2,$L$4,$L$6)</f>
        <v>0.57978723404255317</v>
      </c>
      <c r="Q57">
        <f>IF(P57&gt;=Controls!$B$2,1,0)</f>
        <v>1</v>
      </c>
      <c r="R57">
        <f t="shared" si="6"/>
        <v>1</v>
      </c>
    </row>
    <row r="58" spans="1:18" x14ac:dyDescent="0.2">
      <c r="A58">
        <f>Data!C58</f>
        <v>59</v>
      </c>
      <c r="B58">
        <f>COUNTIFS(Data!$M$2:$M$301,"Train",Data!$C$2:$C$301,"&lt;="&amp;A58)</f>
        <v>190</v>
      </c>
      <c r="C58">
        <f>SUMIFS(Data!$L$2:$L$301,Data!$M$2:$M$301,"Train",Data!$C$2:$C$301,"&lt;="&amp;A58)</f>
        <v>100</v>
      </c>
      <c r="D58">
        <f>COUNTIFS(Data!$M$2:$M$301,"Train",Data!$C$2:$C$301,"&gt;"&amp;A58)</f>
        <v>20</v>
      </c>
      <c r="E58">
        <f>SUMIFS(Data!$L$2:$L$301,Data!$M$2:$M$301,"Train",Data!$C$2:$C$301,"&gt;"&amp;A58)</f>
        <v>10</v>
      </c>
      <c r="F58">
        <f t="shared" si="0"/>
        <v>0.49861495844875342</v>
      </c>
      <c r="G58">
        <f t="shared" si="1"/>
        <v>0.5</v>
      </c>
      <c r="H58">
        <f t="shared" si="2"/>
        <v>0.49874686716791977</v>
      </c>
      <c r="I58">
        <f t="shared" si="3"/>
        <v>1</v>
      </c>
      <c r="J58">
        <f t="shared" si="4"/>
        <v>0.49874686716791977</v>
      </c>
      <c r="N58">
        <f>Data!A268</f>
        <v>267</v>
      </c>
      <c r="O58">
        <f>Data!L268</f>
        <v>1</v>
      </c>
      <c r="P58">
        <f>IF(Data!C268&lt;=$L$2,$L$4,$L$6)</f>
        <v>0.57978723404255317</v>
      </c>
      <c r="Q58">
        <f>IF(P58&gt;=Controls!$B$2,1,0)</f>
        <v>1</v>
      </c>
      <c r="R58">
        <f t="shared" si="6"/>
        <v>1</v>
      </c>
    </row>
    <row r="59" spans="1:18" x14ac:dyDescent="0.2">
      <c r="A59">
        <f>Data!C59</f>
        <v>28</v>
      </c>
      <c r="B59">
        <f>COUNTIFS(Data!$M$2:$M$301,"Train",Data!$C$2:$C$301,"&lt;="&amp;A59)</f>
        <v>29</v>
      </c>
      <c r="C59">
        <f>SUMIFS(Data!$L$2:$L$301,Data!$M$2:$M$301,"Train",Data!$C$2:$C$301,"&lt;="&amp;A59)</f>
        <v>4</v>
      </c>
      <c r="D59">
        <f>COUNTIFS(Data!$M$2:$M$301,"Train",Data!$C$2:$C$301,"&gt;"&amp;A59)</f>
        <v>181</v>
      </c>
      <c r="E59">
        <f>SUMIFS(Data!$L$2:$L$301,Data!$M$2:$M$301,"Train",Data!$C$2:$C$301,"&gt;"&amp;A59)</f>
        <v>106</v>
      </c>
      <c r="F59">
        <f t="shared" si="0"/>
        <v>0.23781212841854948</v>
      </c>
      <c r="G59">
        <f t="shared" si="1"/>
        <v>0.48533317053813985</v>
      </c>
      <c r="H59">
        <f t="shared" si="2"/>
        <v>0.4511516932930536</v>
      </c>
      <c r="I59">
        <f t="shared" si="3"/>
        <v>1</v>
      </c>
      <c r="J59">
        <f t="shared" si="4"/>
        <v>0.4511516932930536</v>
      </c>
      <c r="N59">
        <f>Data!A269</f>
        <v>268</v>
      </c>
      <c r="O59">
        <f>Data!L269</f>
        <v>0</v>
      </c>
      <c r="P59">
        <f>IF(Data!C269&lt;=$L$2,$L$4,$L$6)</f>
        <v>0.57978723404255317</v>
      </c>
      <c r="Q59">
        <f>IF(P59&gt;=Controls!$B$2,1,0)</f>
        <v>1</v>
      </c>
      <c r="R59">
        <f t="shared" si="6"/>
        <v>0</v>
      </c>
    </row>
    <row r="60" spans="1:18" x14ac:dyDescent="0.2">
      <c r="A60">
        <f>Data!C60</f>
        <v>61</v>
      </c>
      <c r="B60">
        <f>COUNTIFS(Data!$M$2:$M$301,"Train",Data!$C$2:$C$301,"&lt;="&amp;A60)</f>
        <v>198</v>
      </c>
      <c r="C60">
        <f>SUMIFS(Data!$L$2:$L$301,Data!$M$2:$M$301,"Train",Data!$C$2:$C$301,"&lt;="&amp;A60)</f>
        <v>106</v>
      </c>
      <c r="D60">
        <f>COUNTIFS(Data!$M$2:$M$301,"Train",Data!$C$2:$C$301,"&gt;"&amp;A60)</f>
        <v>12</v>
      </c>
      <c r="E60">
        <f>SUMIFS(Data!$L$2:$L$301,Data!$M$2:$M$301,"Train",Data!$C$2:$C$301,"&gt;"&amp;A60)</f>
        <v>4</v>
      </c>
      <c r="F60">
        <f t="shared" si="0"/>
        <v>0.49750025507601259</v>
      </c>
      <c r="G60">
        <f t="shared" si="1"/>
        <v>0.44444444444444431</v>
      </c>
      <c r="H60">
        <f t="shared" si="2"/>
        <v>0.49446849446849439</v>
      </c>
      <c r="I60">
        <f t="shared" si="3"/>
        <v>1</v>
      </c>
      <c r="J60">
        <f t="shared" si="4"/>
        <v>0.49446849446849439</v>
      </c>
      <c r="N60">
        <f>Data!A270</f>
        <v>269</v>
      </c>
      <c r="O60">
        <f>Data!L270</f>
        <v>0</v>
      </c>
      <c r="P60">
        <f>IF(Data!C270&lt;=$L$2,$L$4,$L$6)</f>
        <v>0.57978723404255317</v>
      </c>
      <c r="Q60">
        <f>IF(P60&gt;=Controls!$B$2,1,0)</f>
        <v>1</v>
      </c>
      <c r="R60">
        <f t="shared" si="6"/>
        <v>0</v>
      </c>
    </row>
    <row r="61" spans="1:18" x14ac:dyDescent="0.2">
      <c r="A61">
        <f>Data!C61</f>
        <v>34</v>
      </c>
      <c r="B61">
        <f>COUNTIFS(Data!$M$2:$M$301,"Train",Data!$C$2:$C$301,"&lt;="&amp;A61)</f>
        <v>55</v>
      </c>
      <c r="C61">
        <f>SUMIFS(Data!$L$2:$L$301,Data!$M$2:$M$301,"Train",Data!$C$2:$C$301,"&lt;="&amp;A61)</f>
        <v>17</v>
      </c>
      <c r="D61">
        <f>COUNTIFS(Data!$M$2:$M$301,"Train",Data!$C$2:$C$301,"&gt;"&amp;A61)</f>
        <v>155</v>
      </c>
      <c r="E61">
        <f>SUMIFS(Data!$L$2:$L$301,Data!$M$2:$M$301,"Train",Data!$C$2:$C$301,"&gt;"&amp;A61)</f>
        <v>93</v>
      </c>
      <c r="F61">
        <f t="shared" si="0"/>
        <v>0.42710743801652895</v>
      </c>
      <c r="G61">
        <f t="shared" si="1"/>
        <v>0.48</v>
      </c>
      <c r="H61">
        <f t="shared" si="2"/>
        <v>0.46614718614718609</v>
      </c>
      <c r="I61">
        <f t="shared" si="3"/>
        <v>1</v>
      </c>
      <c r="J61">
        <f t="shared" si="4"/>
        <v>0.46614718614718609</v>
      </c>
      <c r="N61">
        <f>Data!A271</f>
        <v>270</v>
      </c>
      <c r="O61">
        <f>Data!L271</f>
        <v>0</v>
      </c>
      <c r="P61">
        <f>IF(Data!C271&lt;=$L$2,$L$4,$L$6)</f>
        <v>0.57978723404255317</v>
      </c>
      <c r="Q61">
        <f>IF(P61&gt;=Controls!$B$2,1,0)</f>
        <v>1</v>
      </c>
      <c r="R61">
        <f t="shared" si="6"/>
        <v>0</v>
      </c>
    </row>
    <row r="62" spans="1:18" x14ac:dyDescent="0.2">
      <c r="A62">
        <f>Data!C62</f>
        <v>43</v>
      </c>
      <c r="B62">
        <f>COUNTIFS(Data!$M$2:$M$301,"Train",Data!$C$2:$C$301,"&lt;="&amp;A62)</f>
        <v>113</v>
      </c>
      <c r="C62">
        <f>SUMIFS(Data!$L$2:$L$301,Data!$M$2:$M$301,"Train",Data!$C$2:$C$301,"&lt;="&amp;A62)</f>
        <v>48</v>
      </c>
      <c r="D62">
        <f>COUNTIFS(Data!$M$2:$M$301,"Train",Data!$C$2:$C$301,"&gt;"&amp;A62)</f>
        <v>97</v>
      </c>
      <c r="E62">
        <f>SUMIFS(Data!$L$2:$L$301,Data!$M$2:$M$301,"Train",Data!$C$2:$C$301,"&gt;"&amp;A62)</f>
        <v>62</v>
      </c>
      <c r="F62">
        <f t="shared" si="0"/>
        <v>0.48868353042524865</v>
      </c>
      <c r="G62">
        <f t="shared" si="1"/>
        <v>0.46126049527048574</v>
      </c>
      <c r="H62">
        <f t="shared" si="2"/>
        <v>0.47601669990138196</v>
      </c>
      <c r="I62">
        <f t="shared" si="3"/>
        <v>1</v>
      </c>
      <c r="J62">
        <f t="shared" si="4"/>
        <v>0.47601669990138196</v>
      </c>
      <c r="N62">
        <f>Data!A272</f>
        <v>271</v>
      </c>
      <c r="O62">
        <f>Data!L272</f>
        <v>1</v>
      </c>
      <c r="P62">
        <f>IF(Data!C272&lt;=$L$2,$L$4,$L$6)</f>
        <v>0.57978723404255317</v>
      </c>
      <c r="Q62">
        <f>IF(P62&gt;=Controls!$B$2,1,0)</f>
        <v>1</v>
      </c>
      <c r="R62">
        <f t="shared" si="6"/>
        <v>1</v>
      </c>
    </row>
    <row r="63" spans="1:18" x14ac:dyDescent="0.2">
      <c r="A63">
        <f>Data!C63</f>
        <v>54</v>
      </c>
      <c r="B63">
        <f>COUNTIFS(Data!$M$2:$M$301,"Train",Data!$C$2:$C$301,"&lt;="&amp;A63)</f>
        <v>169</v>
      </c>
      <c r="C63">
        <f>SUMIFS(Data!$L$2:$L$301,Data!$M$2:$M$301,"Train",Data!$C$2:$C$301,"&lt;="&amp;A63)</f>
        <v>87</v>
      </c>
      <c r="D63">
        <f>COUNTIFS(Data!$M$2:$M$301,"Train",Data!$C$2:$C$301,"&gt;"&amp;A63)</f>
        <v>41</v>
      </c>
      <c r="E63">
        <f>SUMIFS(Data!$L$2:$L$301,Data!$M$2:$M$301,"Train",Data!$C$2:$C$301,"&gt;"&amp;A63)</f>
        <v>23</v>
      </c>
      <c r="F63">
        <f t="shared" si="0"/>
        <v>0.49956234025419283</v>
      </c>
      <c r="G63">
        <f t="shared" si="1"/>
        <v>0.49256395002974424</v>
      </c>
      <c r="H63">
        <f t="shared" si="2"/>
        <v>0.49819598787703856</v>
      </c>
      <c r="I63">
        <f t="shared" si="3"/>
        <v>1</v>
      </c>
      <c r="J63">
        <f t="shared" si="4"/>
        <v>0.49819598787703856</v>
      </c>
      <c r="N63">
        <f>Data!A273</f>
        <v>272</v>
      </c>
      <c r="O63">
        <f>Data!L273</f>
        <v>1</v>
      </c>
      <c r="P63">
        <f>IF(Data!C273&lt;=$L$2,$L$4,$L$6)</f>
        <v>0.57978723404255317</v>
      </c>
      <c r="Q63">
        <f>IF(P63&gt;=Controls!$B$2,1,0)</f>
        <v>1</v>
      </c>
      <c r="R63">
        <f t="shared" si="6"/>
        <v>1</v>
      </c>
    </row>
    <row r="64" spans="1:18" x14ac:dyDescent="0.2">
      <c r="A64">
        <f>Data!C64</f>
        <v>69</v>
      </c>
      <c r="B64">
        <f>COUNTIFS(Data!$M$2:$M$301,"Train",Data!$C$2:$C$301,"&lt;="&amp;A64)</f>
        <v>205</v>
      </c>
      <c r="C64">
        <f>SUMIFS(Data!$L$2:$L$301,Data!$M$2:$M$301,"Train",Data!$C$2:$C$301,"&lt;="&amp;A64)</f>
        <v>108</v>
      </c>
      <c r="D64">
        <f>COUNTIFS(Data!$M$2:$M$301,"Train",Data!$C$2:$C$301,"&gt;"&amp;A64)</f>
        <v>5</v>
      </c>
      <c r="E64">
        <f>SUMIFS(Data!$L$2:$L$301,Data!$M$2:$M$301,"Train",Data!$C$2:$C$301,"&gt;"&amp;A64)</f>
        <v>2</v>
      </c>
      <c r="F64">
        <f t="shared" si="0"/>
        <v>0.49856038072575842</v>
      </c>
      <c r="G64">
        <f t="shared" si="1"/>
        <v>0.48</v>
      </c>
      <c r="H64">
        <f t="shared" si="2"/>
        <v>0.49811846689895467</v>
      </c>
      <c r="I64">
        <f t="shared" si="3"/>
        <v>1</v>
      </c>
      <c r="J64">
        <f t="shared" si="4"/>
        <v>0.49811846689895467</v>
      </c>
      <c r="N64">
        <f>Data!A274</f>
        <v>273</v>
      </c>
      <c r="O64">
        <f>Data!L274</f>
        <v>1</v>
      </c>
      <c r="P64">
        <f>IF(Data!C274&lt;=$L$2,$L$4,$L$6)</f>
        <v>0.57978723404255317</v>
      </c>
      <c r="Q64">
        <f>IF(P64&gt;=Controls!$B$2,1,0)</f>
        <v>1</v>
      </c>
      <c r="R64">
        <f t="shared" si="6"/>
        <v>1</v>
      </c>
    </row>
    <row r="65" spans="1:18" x14ac:dyDescent="0.2">
      <c r="A65">
        <f>Data!C65</f>
        <v>41</v>
      </c>
      <c r="B65">
        <f>COUNTIFS(Data!$M$2:$M$301,"Train",Data!$C$2:$C$301,"&lt;="&amp;A65)</f>
        <v>99</v>
      </c>
      <c r="C65">
        <f>SUMIFS(Data!$L$2:$L$301,Data!$M$2:$M$301,"Train",Data!$C$2:$C$301,"&lt;="&amp;A65)</f>
        <v>41</v>
      </c>
      <c r="D65">
        <f>COUNTIFS(Data!$M$2:$M$301,"Train",Data!$C$2:$C$301,"&gt;"&amp;A65)</f>
        <v>111</v>
      </c>
      <c r="E65">
        <f>SUMIFS(Data!$L$2:$L$301,Data!$M$2:$M$301,"Train",Data!$C$2:$C$301,"&gt;"&amp;A65)</f>
        <v>69</v>
      </c>
      <c r="F65">
        <f t="shared" si="0"/>
        <v>0.48525660646872776</v>
      </c>
      <c r="G65">
        <f t="shared" si="1"/>
        <v>0.47041636230825423</v>
      </c>
      <c r="H65">
        <f t="shared" si="2"/>
        <v>0.47741247741247744</v>
      </c>
      <c r="I65">
        <f t="shared" si="3"/>
        <v>1</v>
      </c>
      <c r="J65">
        <f t="shared" si="4"/>
        <v>0.47741247741247744</v>
      </c>
      <c r="N65">
        <f>Data!A275</f>
        <v>274</v>
      </c>
      <c r="O65">
        <f>Data!L275</f>
        <v>1</v>
      </c>
      <c r="P65">
        <f>IF(Data!C275&lt;=$L$2,$L$4,$L$6)</f>
        <v>0.57978723404255317</v>
      </c>
      <c r="Q65">
        <f>IF(P65&gt;=Controls!$B$2,1,0)</f>
        <v>1</v>
      </c>
      <c r="R65">
        <f t="shared" si="6"/>
        <v>1</v>
      </c>
    </row>
    <row r="66" spans="1:18" x14ac:dyDescent="0.2">
      <c r="A66">
        <f>Data!C66</f>
        <v>48</v>
      </c>
      <c r="B66">
        <f>COUNTIFS(Data!$M$2:$M$301,"Train",Data!$C$2:$C$301,"&lt;="&amp;A66)</f>
        <v>136</v>
      </c>
      <c r="C66">
        <f>SUMIFS(Data!$L$2:$L$301,Data!$M$2:$M$301,"Train",Data!$C$2:$C$301,"&lt;="&amp;A66)</f>
        <v>64</v>
      </c>
      <c r="D66">
        <f>COUNTIFS(Data!$M$2:$M$301,"Train",Data!$C$2:$C$301,"&gt;"&amp;A66)</f>
        <v>74</v>
      </c>
      <c r="E66">
        <f>SUMIFS(Data!$L$2:$L$301,Data!$M$2:$M$301,"Train",Data!$C$2:$C$301,"&gt;"&amp;A66)</f>
        <v>46</v>
      </c>
      <c r="F66">
        <f t="shared" ref="F66:F129" si="7">IF(B66=0,0,1-(C66/B66)^2-(1-C66/B66)^2)</f>
        <v>0.49826989619377154</v>
      </c>
      <c r="G66">
        <f t="shared" ref="G66:G129" si="8">IF(D66=0,0,1-(E66/D66)^2-(1-E66/D66)^2)</f>
        <v>0.47041636230825423</v>
      </c>
      <c r="H66">
        <f t="shared" ref="H66:H129" si="9">IF(B66+D66=0,1,(B66*F66+D66*G66)/(B66+D66))</f>
        <v>0.4884548413960178</v>
      </c>
      <c r="I66">
        <f t="shared" ref="I66:I129" si="10">IF(AND(B66&gt;0,D66&gt;0),1,0)</f>
        <v>1</v>
      </c>
      <c r="J66">
        <f t="shared" ref="J66:J129" si="11">IF(I66=1,H66,1E+99)</f>
        <v>0.4884548413960178</v>
      </c>
      <c r="N66">
        <f>Data!A276</f>
        <v>275</v>
      </c>
      <c r="O66">
        <f>Data!L276</f>
        <v>1</v>
      </c>
      <c r="P66">
        <f>IF(Data!C276&lt;=$L$2,$L$4,$L$6)</f>
        <v>0.57978723404255317</v>
      </c>
      <c r="Q66">
        <f>IF(P66&gt;=Controls!$B$2,1,0)</f>
        <v>1</v>
      </c>
      <c r="R66">
        <f t="shared" ref="R66:R97" si="12">--(Q66=O66)</f>
        <v>1</v>
      </c>
    </row>
    <row r="67" spans="1:18" x14ac:dyDescent="0.2">
      <c r="A67">
        <f>Data!C67</f>
        <v>49</v>
      </c>
      <c r="B67">
        <f>COUNTIFS(Data!$M$2:$M$301,"Train",Data!$C$2:$C$301,"&lt;="&amp;A67)</f>
        <v>143</v>
      </c>
      <c r="C67">
        <f>SUMIFS(Data!$L$2:$L$301,Data!$M$2:$M$301,"Train",Data!$C$2:$C$301,"&lt;="&amp;A67)</f>
        <v>70</v>
      </c>
      <c r="D67">
        <f>COUNTIFS(Data!$M$2:$M$301,"Train",Data!$C$2:$C$301,"&gt;"&amp;A67)</f>
        <v>67</v>
      </c>
      <c r="E67">
        <f>SUMIFS(Data!$L$2:$L$301,Data!$M$2:$M$301,"Train",Data!$C$2:$C$301,"&gt;"&amp;A67)</f>
        <v>40</v>
      </c>
      <c r="F67">
        <f t="shared" si="7"/>
        <v>0.49977994033938095</v>
      </c>
      <c r="G67">
        <f t="shared" si="8"/>
        <v>0.48117620850969045</v>
      </c>
      <c r="H67">
        <f t="shared" si="9"/>
        <v>0.49384446399371779</v>
      </c>
      <c r="I67">
        <f t="shared" si="10"/>
        <v>1</v>
      </c>
      <c r="J67">
        <f t="shared" si="11"/>
        <v>0.49384446399371779</v>
      </c>
      <c r="N67">
        <f>Data!A277</f>
        <v>276</v>
      </c>
      <c r="O67">
        <f>Data!L277</f>
        <v>0</v>
      </c>
      <c r="P67">
        <f>IF(Data!C277&lt;=$L$2,$L$4,$L$6)</f>
        <v>0.57978723404255317</v>
      </c>
      <c r="Q67">
        <f>IF(P67&gt;=Controls!$B$2,1,0)</f>
        <v>1</v>
      </c>
      <c r="R67">
        <f t="shared" si="12"/>
        <v>0</v>
      </c>
    </row>
    <row r="68" spans="1:18" x14ac:dyDescent="0.2">
      <c r="A68">
        <f>Data!C68</f>
        <v>42</v>
      </c>
      <c r="B68">
        <f>COUNTIFS(Data!$M$2:$M$301,"Train",Data!$C$2:$C$301,"&lt;="&amp;A68)</f>
        <v>103</v>
      </c>
      <c r="C68">
        <f>SUMIFS(Data!$L$2:$L$301,Data!$M$2:$M$301,"Train",Data!$C$2:$C$301,"&lt;="&amp;A68)</f>
        <v>42</v>
      </c>
      <c r="D68">
        <f>COUNTIFS(Data!$M$2:$M$301,"Train",Data!$C$2:$C$301,"&gt;"&amp;A68)</f>
        <v>107</v>
      </c>
      <c r="E68">
        <f>SUMIFS(Data!$L$2:$L$301,Data!$M$2:$M$301,"Train",Data!$C$2:$C$301,"&gt;"&amp;A68)</f>
        <v>68</v>
      </c>
      <c r="F68">
        <f t="shared" si="7"/>
        <v>0.48298614384013572</v>
      </c>
      <c r="G68">
        <f t="shared" si="8"/>
        <v>0.46327190147611153</v>
      </c>
      <c r="H68">
        <f t="shared" si="9"/>
        <v>0.47294126796894242</v>
      </c>
      <c r="I68">
        <f t="shared" si="10"/>
        <v>1</v>
      </c>
      <c r="J68">
        <f t="shared" si="11"/>
        <v>0.47294126796894242</v>
      </c>
      <c r="N68">
        <f>Data!A278</f>
        <v>277</v>
      </c>
      <c r="O68">
        <f>Data!L278</f>
        <v>1</v>
      </c>
      <c r="P68">
        <f>IF(Data!C278&lt;=$L$2,$L$4,$L$6)</f>
        <v>0.57978723404255317</v>
      </c>
      <c r="Q68">
        <f>IF(P68&gt;=Controls!$B$2,1,0)</f>
        <v>1</v>
      </c>
      <c r="R68">
        <f t="shared" si="12"/>
        <v>1</v>
      </c>
    </row>
    <row r="69" spans="1:18" x14ac:dyDescent="0.2">
      <c r="A69">
        <f>Data!C69</f>
        <v>37</v>
      </c>
      <c r="B69">
        <f>COUNTIFS(Data!$M$2:$M$301,"Train",Data!$C$2:$C$301,"&lt;="&amp;A69)</f>
        <v>74</v>
      </c>
      <c r="C69">
        <f>SUMIFS(Data!$L$2:$L$301,Data!$M$2:$M$301,"Train",Data!$C$2:$C$301,"&lt;="&amp;A69)</f>
        <v>26</v>
      </c>
      <c r="D69">
        <f>COUNTIFS(Data!$M$2:$M$301,"Train",Data!$C$2:$C$301,"&gt;"&amp;A69)</f>
        <v>136</v>
      </c>
      <c r="E69">
        <f>SUMIFS(Data!$L$2:$L$301,Data!$M$2:$M$301,"Train",Data!$C$2:$C$301,"&gt;"&amp;A69)</f>
        <v>84</v>
      </c>
      <c r="F69">
        <f t="shared" si="7"/>
        <v>0.45580715850986114</v>
      </c>
      <c r="G69">
        <f t="shared" si="8"/>
        <v>0.47231833910034604</v>
      </c>
      <c r="H69">
        <f t="shared" si="9"/>
        <v>0.46650011355893706</v>
      </c>
      <c r="I69">
        <f t="shared" si="10"/>
        <v>1</v>
      </c>
      <c r="J69">
        <f t="shared" si="11"/>
        <v>0.46650011355893706</v>
      </c>
      <c r="N69">
        <f>Data!A279</f>
        <v>278</v>
      </c>
      <c r="O69">
        <f>Data!L279</f>
        <v>1</v>
      </c>
      <c r="P69">
        <f>IF(Data!C279&lt;=$L$2,$L$4,$L$6)</f>
        <v>0.57978723404255317</v>
      </c>
      <c r="Q69">
        <f>IF(P69&gt;=Controls!$B$2,1,0)</f>
        <v>1</v>
      </c>
      <c r="R69">
        <f t="shared" si="12"/>
        <v>1</v>
      </c>
    </row>
    <row r="70" spans="1:18" x14ac:dyDescent="0.2">
      <c r="A70">
        <f>Data!C70</f>
        <v>55</v>
      </c>
      <c r="B70">
        <f>COUNTIFS(Data!$M$2:$M$301,"Train",Data!$C$2:$C$301,"&lt;="&amp;A70)</f>
        <v>176</v>
      </c>
      <c r="C70">
        <f>SUMIFS(Data!$L$2:$L$301,Data!$M$2:$M$301,"Train",Data!$C$2:$C$301,"&lt;="&amp;A70)</f>
        <v>91</v>
      </c>
      <c r="D70">
        <f>COUNTIFS(Data!$M$2:$M$301,"Train",Data!$C$2:$C$301,"&gt;"&amp;A70)</f>
        <v>34</v>
      </c>
      <c r="E70">
        <f>SUMIFS(Data!$L$2:$L$301,Data!$M$2:$M$301,"Train",Data!$C$2:$C$301,"&gt;"&amp;A70)</f>
        <v>19</v>
      </c>
      <c r="F70">
        <f t="shared" si="7"/>
        <v>0.49941890495867769</v>
      </c>
      <c r="G70">
        <f t="shared" si="8"/>
        <v>0.49307958477508645</v>
      </c>
      <c r="H70">
        <f t="shared" si="9"/>
        <v>0.49839253883371537</v>
      </c>
      <c r="I70">
        <f t="shared" si="10"/>
        <v>1</v>
      </c>
      <c r="J70">
        <f t="shared" si="11"/>
        <v>0.49839253883371537</v>
      </c>
      <c r="N70">
        <f>Data!A280</f>
        <v>279</v>
      </c>
      <c r="O70">
        <f>Data!L280</f>
        <v>1</v>
      </c>
      <c r="P70">
        <f>IF(Data!C280&lt;=$L$2,$L$4,$L$6)</f>
        <v>0.57978723404255317</v>
      </c>
      <c r="Q70">
        <f>IF(P70&gt;=Controls!$B$2,1,0)</f>
        <v>1</v>
      </c>
      <c r="R70">
        <f t="shared" si="12"/>
        <v>1</v>
      </c>
    </row>
    <row r="71" spans="1:18" x14ac:dyDescent="0.2">
      <c r="A71">
        <f>Data!C71</f>
        <v>21</v>
      </c>
      <c r="B71">
        <f>COUNTIFS(Data!$M$2:$M$301,"Train",Data!$C$2:$C$301,"&lt;="&amp;A71)</f>
        <v>4</v>
      </c>
      <c r="C71">
        <f>SUMIFS(Data!$L$2:$L$301,Data!$M$2:$M$301,"Train",Data!$C$2:$C$301,"&lt;="&amp;A71)</f>
        <v>0</v>
      </c>
      <c r="D71">
        <f>COUNTIFS(Data!$M$2:$M$301,"Train",Data!$C$2:$C$301,"&gt;"&amp;A71)</f>
        <v>206</v>
      </c>
      <c r="E71">
        <f>SUMIFS(Data!$L$2:$L$301,Data!$M$2:$M$301,"Train",Data!$C$2:$C$301,"&gt;"&amp;A71)</f>
        <v>110</v>
      </c>
      <c r="F71">
        <f t="shared" si="7"/>
        <v>0</v>
      </c>
      <c r="G71">
        <f t="shared" si="8"/>
        <v>0.49769064002262237</v>
      </c>
      <c r="H71">
        <f t="shared" si="9"/>
        <v>0.48821081830790575</v>
      </c>
      <c r="I71">
        <f t="shared" si="10"/>
        <v>1</v>
      </c>
      <c r="J71">
        <f t="shared" si="11"/>
        <v>0.48821081830790575</v>
      </c>
      <c r="N71">
        <f>Data!A281</f>
        <v>280</v>
      </c>
      <c r="O71">
        <f>Data!L281</f>
        <v>0</v>
      </c>
      <c r="P71">
        <f>IF(Data!C281&lt;=$L$2,$L$4,$L$6)</f>
        <v>0.57978723404255317</v>
      </c>
      <c r="Q71">
        <f>IF(P71&gt;=Controls!$B$2,1,0)</f>
        <v>1</v>
      </c>
      <c r="R71">
        <f t="shared" si="12"/>
        <v>0</v>
      </c>
    </row>
    <row r="72" spans="1:18" x14ac:dyDescent="0.2">
      <c r="A72">
        <f>Data!C72</f>
        <v>58</v>
      </c>
      <c r="B72">
        <f>COUNTIFS(Data!$M$2:$M$301,"Train",Data!$C$2:$C$301,"&lt;="&amp;A72)</f>
        <v>188</v>
      </c>
      <c r="C72">
        <f>SUMIFS(Data!$L$2:$L$301,Data!$M$2:$M$301,"Train",Data!$C$2:$C$301,"&lt;="&amp;A72)</f>
        <v>98</v>
      </c>
      <c r="D72">
        <f>COUNTIFS(Data!$M$2:$M$301,"Train",Data!$C$2:$C$301,"&gt;"&amp;A72)</f>
        <v>22</v>
      </c>
      <c r="E72">
        <f>SUMIFS(Data!$L$2:$L$301,Data!$M$2:$M$301,"Train",Data!$C$2:$C$301,"&gt;"&amp;A72)</f>
        <v>12</v>
      </c>
      <c r="F72">
        <f t="shared" si="7"/>
        <v>0.49909461294703483</v>
      </c>
      <c r="G72">
        <f t="shared" si="8"/>
        <v>0.49586776859504139</v>
      </c>
      <c r="H72">
        <f t="shared" si="9"/>
        <v>0.49875656258634982</v>
      </c>
      <c r="I72">
        <f t="shared" si="10"/>
        <v>1</v>
      </c>
      <c r="J72">
        <f t="shared" si="11"/>
        <v>0.49875656258634982</v>
      </c>
      <c r="N72">
        <f>Data!A282</f>
        <v>281</v>
      </c>
      <c r="O72">
        <f>Data!L282</f>
        <v>0</v>
      </c>
      <c r="P72">
        <f>IF(Data!C282&lt;=$L$2,$L$4,$L$6)</f>
        <v>4.5454545454545456E-2</v>
      </c>
      <c r="Q72">
        <f>IF(P72&gt;=Controls!$B$2,1,0)</f>
        <v>0</v>
      </c>
      <c r="R72">
        <f t="shared" si="12"/>
        <v>1</v>
      </c>
    </row>
    <row r="73" spans="1:18" x14ac:dyDescent="0.2">
      <c r="A73">
        <f>Data!C73</f>
        <v>31</v>
      </c>
      <c r="B73">
        <f>COUNTIFS(Data!$M$2:$M$301,"Train",Data!$C$2:$C$301,"&lt;="&amp;A73)</f>
        <v>37</v>
      </c>
      <c r="C73">
        <f>SUMIFS(Data!$L$2:$L$301,Data!$M$2:$M$301,"Train",Data!$C$2:$C$301,"&lt;="&amp;A73)</f>
        <v>9</v>
      </c>
      <c r="D73">
        <f>COUNTIFS(Data!$M$2:$M$301,"Train",Data!$C$2:$C$301,"&gt;"&amp;A73)</f>
        <v>173</v>
      </c>
      <c r="E73">
        <f>SUMIFS(Data!$L$2:$L$301,Data!$M$2:$M$301,"Train",Data!$C$2:$C$301,"&gt;"&amp;A73)</f>
        <v>101</v>
      </c>
      <c r="F73">
        <f t="shared" si="7"/>
        <v>0.36815193571950322</v>
      </c>
      <c r="G73">
        <f t="shared" si="8"/>
        <v>0.485950081860403</v>
      </c>
      <c r="H73">
        <f t="shared" si="9"/>
        <v>0.46519517039748254</v>
      </c>
      <c r="I73">
        <f t="shared" si="10"/>
        <v>1</v>
      </c>
      <c r="J73">
        <f t="shared" si="11"/>
        <v>0.46519517039748254</v>
      </c>
      <c r="N73">
        <f>Data!A283</f>
        <v>282</v>
      </c>
      <c r="O73">
        <f>Data!L283</f>
        <v>1</v>
      </c>
      <c r="P73">
        <f>IF(Data!C283&lt;=$L$2,$L$4,$L$6)</f>
        <v>0.57978723404255317</v>
      </c>
      <c r="Q73">
        <f>IF(P73&gt;=Controls!$B$2,1,0)</f>
        <v>1</v>
      </c>
      <c r="R73">
        <f t="shared" si="12"/>
        <v>1</v>
      </c>
    </row>
    <row r="74" spans="1:18" x14ac:dyDescent="0.2">
      <c r="A74">
        <f>Data!C74</f>
        <v>25</v>
      </c>
      <c r="B74">
        <f>COUNTIFS(Data!$M$2:$M$301,"Train",Data!$C$2:$C$301,"&lt;="&amp;A74)</f>
        <v>20</v>
      </c>
      <c r="C74">
        <f>SUMIFS(Data!$L$2:$L$301,Data!$M$2:$M$301,"Train",Data!$C$2:$C$301,"&lt;="&amp;A74)</f>
        <v>1</v>
      </c>
      <c r="D74">
        <f>COUNTIFS(Data!$M$2:$M$301,"Train",Data!$C$2:$C$301,"&gt;"&amp;A74)</f>
        <v>190</v>
      </c>
      <c r="E74">
        <f>SUMIFS(Data!$L$2:$L$301,Data!$M$2:$M$301,"Train",Data!$C$2:$C$301,"&gt;"&amp;A74)</f>
        <v>109</v>
      </c>
      <c r="F74">
        <f t="shared" si="7"/>
        <v>9.5000000000000084E-2</v>
      </c>
      <c r="G74">
        <f t="shared" si="8"/>
        <v>0.48914127423822717</v>
      </c>
      <c r="H74">
        <f t="shared" si="9"/>
        <v>0.45160401002506273</v>
      </c>
      <c r="I74">
        <f t="shared" si="10"/>
        <v>1</v>
      </c>
      <c r="J74">
        <f t="shared" si="11"/>
        <v>0.45160401002506273</v>
      </c>
      <c r="N74">
        <f>Data!A284</f>
        <v>283</v>
      </c>
      <c r="O74">
        <f>Data!L284</f>
        <v>1</v>
      </c>
      <c r="P74">
        <f>IF(Data!C284&lt;=$L$2,$L$4,$L$6)</f>
        <v>0.57978723404255317</v>
      </c>
      <c r="Q74">
        <f>IF(P74&gt;=Controls!$B$2,1,0)</f>
        <v>1</v>
      </c>
      <c r="R74">
        <f t="shared" si="12"/>
        <v>1</v>
      </c>
    </row>
    <row r="75" spans="1:18" x14ac:dyDescent="0.2">
      <c r="A75">
        <f>Data!C75</f>
        <v>32</v>
      </c>
      <c r="B75">
        <f>COUNTIFS(Data!$M$2:$M$301,"Train",Data!$C$2:$C$301,"&lt;="&amp;A75)</f>
        <v>41</v>
      </c>
      <c r="C75">
        <f>SUMIFS(Data!$L$2:$L$301,Data!$M$2:$M$301,"Train",Data!$C$2:$C$301,"&lt;="&amp;A75)</f>
        <v>12</v>
      </c>
      <c r="D75">
        <f>COUNTIFS(Data!$M$2:$M$301,"Train",Data!$C$2:$C$301,"&gt;"&amp;A75)</f>
        <v>169</v>
      </c>
      <c r="E75">
        <f>SUMIFS(Data!$L$2:$L$301,Data!$M$2:$M$301,"Train",Data!$C$2:$C$301,"&gt;"&amp;A75)</f>
        <v>98</v>
      </c>
      <c r="F75">
        <f t="shared" si="7"/>
        <v>0.41403926234384303</v>
      </c>
      <c r="G75">
        <f t="shared" si="8"/>
        <v>0.48723784181226143</v>
      </c>
      <c r="H75">
        <f t="shared" si="9"/>
        <v>0.47294669058271305</v>
      </c>
      <c r="I75">
        <f t="shared" si="10"/>
        <v>1</v>
      </c>
      <c r="J75">
        <f t="shared" si="11"/>
        <v>0.47294669058271305</v>
      </c>
      <c r="N75">
        <f>Data!A285</f>
        <v>284</v>
      </c>
      <c r="O75">
        <f>Data!L285</f>
        <v>1</v>
      </c>
      <c r="P75">
        <f>IF(Data!C285&lt;=$L$2,$L$4,$L$6)</f>
        <v>0.57978723404255317</v>
      </c>
      <c r="Q75">
        <f>IF(P75&gt;=Controls!$B$2,1,0)</f>
        <v>1</v>
      </c>
      <c r="R75">
        <f t="shared" si="12"/>
        <v>1</v>
      </c>
    </row>
    <row r="76" spans="1:18" x14ac:dyDescent="0.2">
      <c r="A76">
        <f>Data!C76</f>
        <v>40</v>
      </c>
      <c r="B76">
        <f>COUNTIFS(Data!$M$2:$M$301,"Train",Data!$C$2:$C$301,"&lt;="&amp;A76)</f>
        <v>95</v>
      </c>
      <c r="C76">
        <f>SUMIFS(Data!$L$2:$L$301,Data!$M$2:$M$301,"Train",Data!$C$2:$C$301,"&lt;="&amp;A76)</f>
        <v>40</v>
      </c>
      <c r="D76">
        <f>COUNTIFS(Data!$M$2:$M$301,"Train",Data!$C$2:$C$301,"&gt;"&amp;A76)</f>
        <v>115</v>
      </c>
      <c r="E76">
        <f>SUMIFS(Data!$L$2:$L$301,Data!$M$2:$M$301,"Train",Data!$C$2:$C$301,"&gt;"&amp;A76)</f>
        <v>70</v>
      </c>
      <c r="F76">
        <f t="shared" si="7"/>
        <v>0.48753462603878117</v>
      </c>
      <c r="G76">
        <f t="shared" si="8"/>
        <v>0.47637051039697548</v>
      </c>
      <c r="H76">
        <f t="shared" si="9"/>
        <v>0.48142094366350663</v>
      </c>
      <c r="I76">
        <f t="shared" si="10"/>
        <v>1</v>
      </c>
      <c r="J76">
        <f t="shared" si="11"/>
        <v>0.48142094366350663</v>
      </c>
      <c r="N76">
        <f>Data!A286</f>
        <v>285</v>
      </c>
      <c r="O76">
        <f>Data!L286</f>
        <v>1</v>
      </c>
      <c r="P76">
        <f>IF(Data!C286&lt;=$L$2,$L$4,$L$6)</f>
        <v>0.57978723404255317</v>
      </c>
      <c r="Q76">
        <f>IF(P76&gt;=Controls!$B$2,1,0)</f>
        <v>1</v>
      </c>
      <c r="R76">
        <f t="shared" si="12"/>
        <v>1</v>
      </c>
    </row>
    <row r="77" spans="1:18" x14ac:dyDescent="0.2">
      <c r="A77">
        <f>Data!C77</f>
        <v>44</v>
      </c>
      <c r="B77">
        <f>COUNTIFS(Data!$M$2:$M$301,"Train",Data!$C$2:$C$301,"&lt;="&amp;A77)</f>
        <v>119</v>
      </c>
      <c r="C77">
        <f>SUMIFS(Data!$L$2:$L$301,Data!$M$2:$M$301,"Train",Data!$C$2:$C$301,"&lt;="&amp;A77)</f>
        <v>52</v>
      </c>
      <c r="D77">
        <f>COUNTIFS(Data!$M$2:$M$301,"Train",Data!$C$2:$C$301,"&gt;"&amp;A77)</f>
        <v>91</v>
      </c>
      <c r="E77">
        <f>SUMIFS(Data!$L$2:$L$301,Data!$M$2:$M$301,"Train",Data!$C$2:$C$301,"&gt;"&amp;A77)</f>
        <v>58</v>
      </c>
      <c r="F77">
        <f t="shared" si="7"/>
        <v>0.49205564578772693</v>
      </c>
      <c r="G77">
        <f t="shared" si="8"/>
        <v>0.46226301171356127</v>
      </c>
      <c r="H77">
        <f t="shared" si="9"/>
        <v>0.47914550435558845</v>
      </c>
      <c r="I77">
        <f t="shared" si="10"/>
        <v>1</v>
      </c>
      <c r="J77">
        <f t="shared" si="11"/>
        <v>0.47914550435558845</v>
      </c>
      <c r="N77">
        <f>Data!A287</f>
        <v>286</v>
      </c>
      <c r="O77">
        <f>Data!L287</f>
        <v>0</v>
      </c>
      <c r="P77">
        <f>IF(Data!C287&lt;=$L$2,$L$4,$L$6)</f>
        <v>4.5454545454545456E-2</v>
      </c>
      <c r="Q77">
        <f>IF(P77&gt;=Controls!$B$2,1,0)</f>
        <v>0</v>
      </c>
      <c r="R77">
        <f t="shared" si="12"/>
        <v>1</v>
      </c>
    </row>
    <row r="78" spans="1:18" x14ac:dyDescent="0.2">
      <c r="A78">
        <f>Data!C78</f>
        <v>60</v>
      </c>
      <c r="B78">
        <f>COUNTIFS(Data!$M$2:$M$301,"Train",Data!$C$2:$C$301,"&lt;="&amp;A78)</f>
        <v>194</v>
      </c>
      <c r="C78">
        <f>SUMIFS(Data!$L$2:$L$301,Data!$M$2:$M$301,"Train",Data!$C$2:$C$301,"&lt;="&amp;A78)</f>
        <v>104</v>
      </c>
      <c r="D78">
        <f>COUNTIFS(Data!$M$2:$M$301,"Train",Data!$C$2:$C$301,"&gt;"&amp;A78)</f>
        <v>16</v>
      </c>
      <c r="E78">
        <f>SUMIFS(Data!$L$2:$L$301,Data!$M$2:$M$301,"Train",Data!$C$2:$C$301,"&gt;"&amp;A78)</f>
        <v>6</v>
      </c>
      <c r="F78">
        <f t="shared" si="7"/>
        <v>0.49739611010734408</v>
      </c>
      <c r="G78">
        <f t="shared" si="8"/>
        <v>0.46875</v>
      </c>
      <c r="H78">
        <f t="shared" si="9"/>
        <v>0.49521354933726075</v>
      </c>
      <c r="I78">
        <f t="shared" si="10"/>
        <v>1</v>
      </c>
      <c r="J78">
        <f t="shared" si="11"/>
        <v>0.49521354933726075</v>
      </c>
      <c r="N78">
        <f>Data!A288</f>
        <v>287</v>
      </c>
      <c r="O78">
        <f>Data!L288</f>
        <v>0</v>
      </c>
      <c r="P78">
        <f>IF(Data!C288&lt;=$L$2,$L$4,$L$6)</f>
        <v>0.57978723404255317</v>
      </c>
      <c r="Q78">
        <f>IF(P78&gt;=Controls!$B$2,1,0)</f>
        <v>1</v>
      </c>
      <c r="R78">
        <f t="shared" si="12"/>
        <v>0</v>
      </c>
    </row>
    <row r="79" spans="1:18" x14ac:dyDescent="0.2">
      <c r="A79">
        <f>Data!C79</f>
        <v>23</v>
      </c>
      <c r="B79">
        <f>COUNTIFS(Data!$M$2:$M$301,"Train",Data!$C$2:$C$301,"&lt;="&amp;A79)</f>
        <v>10</v>
      </c>
      <c r="C79">
        <f>SUMIFS(Data!$L$2:$L$301,Data!$M$2:$M$301,"Train",Data!$C$2:$C$301,"&lt;="&amp;A79)</f>
        <v>0</v>
      </c>
      <c r="D79">
        <f>COUNTIFS(Data!$M$2:$M$301,"Train",Data!$C$2:$C$301,"&gt;"&amp;A79)</f>
        <v>200</v>
      </c>
      <c r="E79">
        <f>SUMIFS(Data!$L$2:$L$301,Data!$M$2:$M$301,"Train",Data!$C$2:$C$301,"&gt;"&amp;A79)</f>
        <v>110</v>
      </c>
      <c r="F79">
        <f t="shared" si="7"/>
        <v>0</v>
      </c>
      <c r="G79">
        <f t="shared" si="8"/>
        <v>0.49500000000000005</v>
      </c>
      <c r="H79">
        <f t="shared" si="9"/>
        <v>0.47142857142857147</v>
      </c>
      <c r="I79">
        <f t="shared" si="10"/>
        <v>1</v>
      </c>
      <c r="J79">
        <f t="shared" si="11"/>
        <v>0.47142857142857147</v>
      </c>
      <c r="N79">
        <f>Data!A289</f>
        <v>288</v>
      </c>
      <c r="O79">
        <f>Data!L289</f>
        <v>1</v>
      </c>
      <c r="P79">
        <f>IF(Data!C289&lt;=$L$2,$L$4,$L$6)</f>
        <v>0.57978723404255317</v>
      </c>
      <c r="Q79">
        <f>IF(P79&gt;=Controls!$B$2,1,0)</f>
        <v>1</v>
      </c>
      <c r="R79">
        <f t="shared" si="12"/>
        <v>1</v>
      </c>
    </row>
    <row r="80" spans="1:18" x14ac:dyDescent="0.2">
      <c r="A80">
        <f>Data!C80</f>
        <v>63</v>
      </c>
      <c r="B80">
        <f>COUNTIFS(Data!$M$2:$M$301,"Train",Data!$C$2:$C$301,"&lt;="&amp;A80)</f>
        <v>202</v>
      </c>
      <c r="C80">
        <f>SUMIFS(Data!$L$2:$L$301,Data!$M$2:$M$301,"Train",Data!$C$2:$C$301,"&lt;="&amp;A80)</f>
        <v>108</v>
      </c>
      <c r="D80">
        <f>COUNTIFS(Data!$M$2:$M$301,"Train",Data!$C$2:$C$301,"&gt;"&amp;A80)</f>
        <v>8</v>
      </c>
      <c r="E80">
        <f>SUMIFS(Data!$L$2:$L$301,Data!$M$2:$M$301,"Train",Data!$C$2:$C$301,"&gt;"&amp;A80)</f>
        <v>2</v>
      </c>
      <c r="F80">
        <f t="shared" si="7"/>
        <v>0.49759827467895296</v>
      </c>
      <c r="G80">
        <f t="shared" si="8"/>
        <v>0.375</v>
      </c>
      <c r="H80">
        <f t="shared" si="9"/>
        <v>0.49292786421499285</v>
      </c>
      <c r="I80">
        <f t="shared" si="10"/>
        <v>1</v>
      </c>
      <c r="J80">
        <f t="shared" si="11"/>
        <v>0.49292786421499285</v>
      </c>
      <c r="N80">
        <f>Data!A290</f>
        <v>289</v>
      </c>
      <c r="O80">
        <f>Data!L290</f>
        <v>0</v>
      </c>
      <c r="P80">
        <f>IF(Data!C290&lt;=$L$2,$L$4,$L$6)</f>
        <v>0.57978723404255317</v>
      </c>
      <c r="Q80">
        <f>IF(P80&gt;=Controls!$B$2,1,0)</f>
        <v>1</v>
      </c>
      <c r="R80">
        <f t="shared" si="12"/>
        <v>0</v>
      </c>
    </row>
    <row r="81" spans="1:18" x14ac:dyDescent="0.2">
      <c r="A81">
        <f>Data!C81</f>
        <v>44</v>
      </c>
      <c r="B81">
        <f>COUNTIFS(Data!$M$2:$M$301,"Train",Data!$C$2:$C$301,"&lt;="&amp;A81)</f>
        <v>119</v>
      </c>
      <c r="C81">
        <f>SUMIFS(Data!$L$2:$L$301,Data!$M$2:$M$301,"Train",Data!$C$2:$C$301,"&lt;="&amp;A81)</f>
        <v>52</v>
      </c>
      <c r="D81">
        <f>COUNTIFS(Data!$M$2:$M$301,"Train",Data!$C$2:$C$301,"&gt;"&amp;A81)</f>
        <v>91</v>
      </c>
      <c r="E81">
        <f>SUMIFS(Data!$L$2:$L$301,Data!$M$2:$M$301,"Train",Data!$C$2:$C$301,"&gt;"&amp;A81)</f>
        <v>58</v>
      </c>
      <c r="F81">
        <f t="shared" si="7"/>
        <v>0.49205564578772693</v>
      </c>
      <c r="G81">
        <f t="shared" si="8"/>
        <v>0.46226301171356127</v>
      </c>
      <c r="H81">
        <f t="shared" si="9"/>
        <v>0.47914550435558845</v>
      </c>
      <c r="I81">
        <f t="shared" si="10"/>
        <v>1</v>
      </c>
      <c r="J81">
        <f t="shared" si="11"/>
        <v>0.47914550435558845</v>
      </c>
      <c r="N81">
        <f>Data!A291</f>
        <v>290</v>
      </c>
      <c r="O81">
        <f>Data!L291</f>
        <v>1</v>
      </c>
      <c r="P81">
        <f>IF(Data!C291&lt;=$L$2,$L$4,$L$6)</f>
        <v>0.57978723404255317</v>
      </c>
      <c r="Q81">
        <f>IF(P81&gt;=Controls!$B$2,1,0)</f>
        <v>1</v>
      </c>
      <c r="R81">
        <f t="shared" si="12"/>
        <v>1</v>
      </c>
    </row>
    <row r="82" spans="1:18" x14ac:dyDescent="0.2">
      <c r="A82">
        <f>Data!C82</f>
        <v>47</v>
      </c>
      <c r="B82">
        <f>COUNTIFS(Data!$M$2:$M$301,"Train",Data!$C$2:$C$301,"&lt;="&amp;A82)</f>
        <v>132</v>
      </c>
      <c r="C82">
        <f>SUMIFS(Data!$L$2:$L$301,Data!$M$2:$M$301,"Train",Data!$C$2:$C$301,"&lt;="&amp;A82)</f>
        <v>60</v>
      </c>
      <c r="D82">
        <f>COUNTIFS(Data!$M$2:$M$301,"Train",Data!$C$2:$C$301,"&gt;"&amp;A82)</f>
        <v>78</v>
      </c>
      <c r="E82">
        <f>SUMIFS(Data!$L$2:$L$301,Data!$M$2:$M$301,"Train",Data!$C$2:$C$301,"&gt;"&amp;A82)</f>
        <v>50</v>
      </c>
      <c r="F82">
        <f t="shared" si="7"/>
        <v>0.49586776859504139</v>
      </c>
      <c r="G82">
        <f t="shared" si="8"/>
        <v>0.46022353714661407</v>
      </c>
      <c r="H82">
        <f t="shared" si="9"/>
        <v>0.48262848262848268</v>
      </c>
      <c r="I82">
        <f t="shared" si="10"/>
        <v>1</v>
      </c>
      <c r="J82">
        <f t="shared" si="11"/>
        <v>0.48262848262848268</v>
      </c>
      <c r="N82">
        <f>Data!A292</f>
        <v>291</v>
      </c>
      <c r="O82">
        <f>Data!L292</f>
        <v>1</v>
      </c>
      <c r="P82">
        <f>IF(Data!C292&lt;=$L$2,$L$4,$L$6)</f>
        <v>0.57978723404255317</v>
      </c>
      <c r="Q82">
        <f>IF(P82&gt;=Controls!$B$2,1,0)</f>
        <v>1</v>
      </c>
      <c r="R82">
        <f t="shared" si="12"/>
        <v>1</v>
      </c>
    </row>
    <row r="83" spans="1:18" x14ac:dyDescent="0.2">
      <c r="A83">
        <f>Data!C83</f>
        <v>61</v>
      </c>
      <c r="B83">
        <f>COUNTIFS(Data!$M$2:$M$301,"Train",Data!$C$2:$C$301,"&lt;="&amp;A83)</f>
        <v>198</v>
      </c>
      <c r="C83">
        <f>SUMIFS(Data!$L$2:$L$301,Data!$M$2:$M$301,"Train",Data!$C$2:$C$301,"&lt;="&amp;A83)</f>
        <v>106</v>
      </c>
      <c r="D83">
        <f>COUNTIFS(Data!$M$2:$M$301,"Train",Data!$C$2:$C$301,"&gt;"&amp;A83)</f>
        <v>12</v>
      </c>
      <c r="E83">
        <f>SUMIFS(Data!$L$2:$L$301,Data!$M$2:$M$301,"Train",Data!$C$2:$C$301,"&gt;"&amp;A83)</f>
        <v>4</v>
      </c>
      <c r="F83">
        <f t="shared" si="7"/>
        <v>0.49750025507601259</v>
      </c>
      <c r="G83">
        <f t="shared" si="8"/>
        <v>0.44444444444444431</v>
      </c>
      <c r="H83">
        <f t="shared" si="9"/>
        <v>0.49446849446849439</v>
      </c>
      <c r="I83">
        <f t="shared" si="10"/>
        <v>1</v>
      </c>
      <c r="J83">
        <f t="shared" si="11"/>
        <v>0.49446849446849439</v>
      </c>
      <c r="N83">
        <f>Data!A293</f>
        <v>292</v>
      </c>
      <c r="O83">
        <f>Data!L293</f>
        <v>1</v>
      </c>
      <c r="P83">
        <f>IF(Data!C293&lt;=$L$2,$L$4,$L$6)</f>
        <v>0.57978723404255317</v>
      </c>
      <c r="Q83">
        <f>IF(P83&gt;=Controls!$B$2,1,0)</f>
        <v>1</v>
      </c>
      <c r="R83">
        <f t="shared" si="12"/>
        <v>1</v>
      </c>
    </row>
    <row r="84" spans="1:18" x14ac:dyDescent="0.2">
      <c r="A84">
        <f>Data!C84</f>
        <v>55</v>
      </c>
      <c r="B84">
        <f>COUNTIFS(Data!$M$2:$M$301,"Train",Data!$C$2:$C$301,"&lt;="&amp;A84)</f>
        <v>176</v>
      </c>
      <c r="C84">
        <f>SUMIFS(Data!$L$2:$L$301,Data!$M$2:$M$301,"Train",Data!$C$2:$C$301,"&lt;="&amp;A84)</f>
        <v>91</v>
      </c>
      <c r="D84">
        <f>COUNTIFS(Data!$M$2:$M$301,"Train",Data!$C$2:$C$301,"&gt;"&amp;A84)</f>
        <v>34</v>
      </c>
      <c r="E84">
        <f>SUMIFS(Data!$L$2:$L$301,Data!$M$2:$M$301,"Train",Data!$C$2:$C$301,"&gt;"&amp;A84)</f>
        <v>19</v>
      </c>
      <c r="F84">
        <f t="shared" si="7"/>
        <v>0.49941890495867769</v>
      </c>
      <c r="G84">
        <f t="shared" si="8"/>
        <v>0.49307958477508645</v>
      </c>
      <c r="H84">
        <f t="shared" si="9"/>
        <v>0.49839253883371537</v>
      </c>
      <c r="I84">
        <f t="shared" si="10"/>
        <v>1</v>
      </c>
      <c r="J84">
        <f t="shared" si="11"/>
        <v>0.49839253883371537</v>
      </c>
      <c r="N84">
        <f>Data!A294</f>
        <v>293</v>
      </c>
      <c r="O84">
        <f>Data!L294</f>
        <v>1</v>
      </c>
      <c r="P84">
        <f>IF(Data!C294&lt;=$L$2,$L$4,$L$6)</f>
        <v>0.57978723404255317</v>
      </c>
      <c r="Q84">
        <f>IF(P84&gt;=Controls!$B$2,1,0)</f>
        <v>1</v>
      </c>
      <c r="R84">
        <f t="shared" si="12"/>
        <v>1</v>
      </c>
    </row>
    <row r="85" spans="1:18" x14ac:dyDescent="0.2">
      <c r="A85">
        <f>Data!C85</f>
        <v>24</v>
      </c>
      <c r="B85">
        <f>COUNTIFS(Data!$M$2:$M$301,"Train",Data!$C$2:$C$301,"&lt;="&amp;A85)</f>
        <v>12</v>
      </c>
      <c r="C85">
        <f>SUMIFS(Data!$L$2:$L$301,Data!$M$2:$M$301,"Train",Data!$C$2:$C$301,"&lt;="&amp;A85)</f>
        <v>0</v>
      </c>
      <c r="D85">
        <f>COUNTIFS(Data!$M$2:$M$301,"Train",Data!$C$2:$C$301,"&gt;"&amp;A85)</f>
        <v>198</v>
      </c>
      <c r="E85">
        <f>SUMIFS(Data!$L$2:$L$301,Data!$M$2:$M$301,"Train",Data!$C$2:$C$301,"&gt;"&amp;A85)</f>
        <v>110</v>
      </c>
      <c r="F85">
        <f t="shared" si="7"/>
        <v>0</v>
      </c>
      <c r="G85">
        <f t="shared" si="8"/>
        <v>0.49382716049382713</v>
      </c>
      <c r="H85">
        <f t="shared" si="9"/>
        <v>0.46560846560846558</v>
      </c>
      <c r="I85">
        <f t="shared" si="10"/>
        <v>1</v>
      </c>
      <c r="J85">
        <f t="shared" si="11"/>
        <v>0.46560846560846558</v>
      </c>
      <c r="N85">
        <f>Data!A295</f>
        <v>294</v>
      </c>
      <c r="O85">
        <f>Data!L295</f>
        <v>0</v>
      </c>
      <c r="P85">
        <f>IF(Data!C295&lt;=$L$2,$L$4,$L$6)</f>
        <v>0.57978723404255317</v>
      </c>
      <c r="Q85">
        <f>IF(P85&gt;=Controls!$B$2,1,0)</f>
        <v>1</v>
      </c>
      <c r="R85">
        <f t="shared" si="12"/>
        <v>0</v>
      </c>
    </row>
    <row r="86" spans="1:18" x14ac:dyDescent="0.2">
      <c r="A86">
        <f>Data!C86</f>
        <v>42</v>
      </c>
      <c r="B86">
        <f>COUNTIFS(Data!$M$2:$M$301,"Train",Data!$C$2:$C$301,"&lt;="&amp;A86)</f>
        <v>103</v>
      </c>
      <c r="C86">
        <f>SUMIFS(Data!$L$2:$L$301,Data!$M$2:$M$301,"Train",Data!$C$2:$C$301,"&lt;="&amp;A86)</f>
        <v>42</v>
      </c>
      <c r="D86">
        <f>COUNTIFS(Data!$M$2:$M$301,"Train",Data!$C$2:$C$301,"&gt;"&amp;A86)</f>
        <v>107</v>
      </c>
      <c r="E86">
        <f>SUMIFS(Data!$L$2:$L$301,Data!$M$2:$M$301,"Train",Data!$C$2:$C$301,"&gt;"&amp;A86)</f>
        <v>68</v>
      </c>
      <c r="F86">
        <f t="shared" si="7"/>
        <v>0.48298614384013572</v>
      </c>
      <c r="G86">
        <f t="shared" si="8"/>
        <v>0.46327190147611153</v>
      </c>
      <c r="H86">
        <f t="shared" si="9"/>
        <v>0.47294126796894242</v>
      </c>
      <c r="I86">
        <f t="shared" si="10"/>
        <v>1</v>
      </c>
      <c r="J86">
        <f t="shared" si="11"/>
        <v>0.47294126796894242</v>
      </c>
      <c r="N86">
        <f>Data!A296</f>
        <v>295</v>
      </c>
      <c r="O86">
        <f>Data!L296</f>
        <v>0</v>
      </c>
      <c r="P86">
        <f>IF(Data!C296&lt;=$L$2,$L$4,$L$6)</f>
        <v>0.57978723404255317</v>
      </c>
      <c r="Q86">
        <f>IF(P86&gt;=Controls!$B$2,1,0)</f>
        <v>1</v>
      </c>
      <c r="R86">
        <f t="shared" si="12"/>
        <v>0</v>
      </c>
    </row>
    <row r="87" spans="1:18" x14ac:dyDescent="0.2">
      <c r="A87">
        <f>Data!C87</f>
        <v>25</v>
      </c>
      <c r="B87">
        <f>COUNTIFS(Data!$M$2:$M$301,"Train",Data!$C$2:$C$301,"&lt;="&amp;A87)</f>
        <v>20</v>
      </c>
      <c r="C87">
        <f>SUMIFS(Data!$L$2:$L$301,Data!$M$2:$M$301,"Train",Data!$C$2:$C$301,"&lt;="&amp;A87)</f>
        <v>1</v>
      </c>
      <c r="D87">
        <f>COUNTIFS(Data!$M$2:$M$301,"Train",Data!$C$2:$C$301,"&gt;"&amp;A87)</f>
        <v>190</v>
      </c>
      <c r="E87">
        <f>SUMIFS(Data!$L$2:$L$301,Data!$M$2:$M$301,"Train",Data!$C$2:$C$301,"&gt;"&amp;A87)</f>
        <v>109</v>
      </c>
      <c r="F87">
        <f t="shared" si="7"/>
        <v>9.5000000000000084E-2</v>
      </c>
      <c r="G87">
        <f t="shared" si="8"/>
        <v>0.48914127423822717</v>
      </c>
      <c r="H87">
        <f t="shared" si="9"/>
        <v>0.45160401002506273</v>
      </c>
      <c r="I87">
        <f t="shared" si="10"/>
        <v>1</v>
      </c>
      <c r="J87">
        <f t="shared" si="11"/>
        <v>0.45160401002506273</v>
      </c>
      <c r="N87">
        <f>Data!A297</f>
        <v>296</v>
      </c>
      <c r="O87">
        <f>Data!L297</f>
        <v>0</v>
      </c>
      <c r="P87">
        <f>IF(Data!C297&lt;=$L$2,$L$4,$L$6)</f>
        <v>0.57978723404255317</v>
      </c>
      <c r="Q87">
        <f>IF(P87&gt;=Controls!$B$2,1,0)</f>
        <v>1</v>
      </c>
      <c r="R87">
        <f t="shared" si="12"/>
        <v>0</v>
      </c>
    </row>
    <row r="88" spans="1:18" x14ac:dyDescent="0.2">
      <c r="A88">
        <f>Data!C88</f>
        <v>34</v>
      </c>
      <c r="B88">
        <f>COUNTIFS(Data!$M$2:$M$301,"Train",Data!$C$2:$C$301,"&lt;="&amp;A88)</f>
        <v>55</v>
      </c>
      <c r="C88">
        <f>SUMIFS(Data!$L$2:$L$301,Data!$M$2:$M$301,"Train",Data!$C$2:$C$301,"&lt;="&amp;A88)</f>
        <v>17</v>
      </c>
      <c r="D88">
        <f>COUNTIFS(Data!$M$2:$M$301,"Train",Data!$C$2:$C$301,"&gt;"&amp;A88)</f>
        <v>155</v>
      </c>
      <c r="E88">
        <f>SUMIFS(Data!$L$2:$L$301,Data!$M$2:$M$301,"Train",Data!$C$2:$C$301,"&gt;"&amp;A88)</f>
        <v>93</v>
      </c>
      <c r="F88">
        <f t="shared" si="7"/>
        <v>0.42710743801652895</v>
      </c>
      <c r="G88">
        <f t="shared" si="8"/>
        <v>0.48</v>
      </c>
      <c r="H88">
        <f t="shared" si="9"/>
        <v>0.46614718614718609</v>
      </c>
      <c r="I88">
        <f t="shared" si="10"/>
        <v>1</v>
      </c>
      <c r="J88">
        <f t="shared" si="11"/>
        <v>0.46614718614718609</v>
      </c>
      <c r="N88">
        <f>Data!A298</f>
        <v>297</v>
      </c>
      <c r="O88">
        <f>Data!L298</f>
        <v>0</v>
      </c>
      <c r="P88">
        <f>IF(Data!C298&lt;=$L$2,$L$4,$L$6)</f>
        <v>0.57978723404255317</v>
      </c>
      <c r="Q88">
        <f>IF(P88&gt;=Controls!$B$2,1,0)</f>
        <v>1</v>
      </c>
      <c r="R88">
        <f t="shared" si="12"/>
        <v>0</v>
      </c>
    </row>
    <row r="89" spans="1:18" x14ac:dyDescent="0.2">
      <c r="A89">
        <f>Data!C89</f>
        <v>53</v>
      </c>
      <c r="B89">
        <f>COUNTIFS(Data!$M$2:$M$301,"Train",Data!$C$2:$C$301,"&lt;="&amp;A89)</f>
        <v>164</v>
      </c>
      <c r="C89">
        <f>SUMIFS(Data!$L$2:$L$301,Data!$M$2:$M$301,"Train",Data!$C$2:$C$301,"&lt;="&amp;A89)</f>
        <v>83</v>
      </c>
      <c r="D89">
        <f>COUNTIFS(Data!$M$2:$M$301,"Train",Data!$C$2:$C$301,"&gt;"&amp;A89)</f>
        <v>46</v>
      </c>
      <c r="E89">
        <f>SUMIFS(Data!$L$2:$L$301,Data!$M$2:$M$301,"Train",Data!$C$2:$C$301,"&gt;"&amp;A89)</f>
        <v>27</v>
      </c>
      <c r="F89">
        <f t="shared" si="7"/>
        <v>0.49992563950029739</v>
      </c>
      <c r="G89">
        <f t="shared" si="8"/>
        <v>0.48487712665406429</v>
      </c>
      <c r="H89">
        <f t="shared" si="9"/>
        <v>0.49662929859112254</v>
      </c>
      <c r="I89">
        <f t="shared" si="10"/>
        <v>1</v>
      </c>
      <c r="J89">
        <f t="shared" si="11"/>
        <v>0.49662929859112254</v>
      </c>
      <c r="N89">
        <f>Data!A299</f>
        <v>298</v>
      </c>
      <c r="O89">
        <f>Data!L299</f>
        <v>0</v>
      </c>
      <c r="P89">
        <f>IF(Data!C299&lt;=$L$2,$L$4,$L$6)</f>
        <v>0.57978723404255317</v>
      </c>
      <c r="Q89">
        <f>IF(P89&gt;=Controls!$B$2,1,0)</f>
        <v>1</v>
      </c>
      <c r="R89">
        <f t="shared" si="12"/>
        <v>0</v>
      </c>
    </row>
    <row r="90" spans="1:18" x14ac:dyDescent="0.2">
      <c r="A90">
        <f>Data!C90</f>
        <v>53</v>
      </c>
      <c r="B90">
        <f>COUNTIFS(Data!$M$2:$M$301,"Train",Data!$C$2:$C$301,"&lt;="&amp;A90)</f>
        <v>164</v>
      </c>
      <c r="C90">
        <f>SUMIFS(Data!$L$2:$L$301,Data!$M$2:$M$301,"Train",Data!$C$2:$C$301,"&lt;="&amp;A90)</f>
        <v>83</v>
      </c>
      <c r="D90">
        <f>COUNTIFS(Data!$M$2:$M$301,"Train",Data!$C$2:$C$301,"&gt;"&amp;A90)</f>
        <v>46</v>
      </c>
      <c r="E90">
        <f>SUMIFS(Data!$L$2:$L$301,Data!$M$2:$M$301,"Train",Data!$C$2:$C$301,"&gt;"&amp;A90)</f>
        <v>27</v>
      </c>
      <c r="F90">
        <f t="shared" si="7"/>
        <v>0.49992563950029739</v>
      </c>
      <c r="G90">
        <f t="shared" si="8"/>
        <v>0.48487712665406429</v>
      </c>
      <c r="H90">
        <f t="shared" si="9"/>
        <v>0.49662929859112254</v>
      </c>
      <c r="I90">
        <f t="shared" si="10"/>
        <v>1</v>
      </c>
      <c r="J90">
        <f t="shared" si="11"/>
        <v>0.49662929859112254</v>
      </c>
      <c r="N90">
        <f>Data!A300</f>
        <v>299</v>
      </c>
      <c r="O90">
        <f>Data!L300</f>
        <v>1</v>
      </c>
      <c r="P90">
        <f>IF(Data!C300&lt;=$L$2,$L$4,$L$6)</f>
        <v>0.57978723404255317</v>
      </c>
      <c r="Q90">
        <f>IF(P90&gt;=Controls!$B$2,1,0)</f>
        <v>1</v>
      </c>
      <c r="R90">
        <f t="shared" si="12"/>
        <v>1</v>
      </c>
    </row>
    <row r="91" spans="1:18" x14ac:dyDescent="0.2">
      <c r="A91">
        <f>Data!C91</f>
        <v>70</v>
      </c>
      <c r="B91">
        <f>COUNTIFS(Data!$M$2:$M$301,"Train",Data!$C$2:$C$301,"&lt;="&amp;A91)</f>
        <v>207</v>
      </c>
      <c r="C91">
        <f>SUMIFS(Data!$L$2:$L$301,Data!$M$2:$M$301,"Train",Data!$C$2:$C$301,"&lt;="&amp;A91)</f>
        <v>109</v>
      </c>
      <c r="D91">
        <f>COUNTIFS(Data!$M$2:$M$301,"Train",Data!$C$2:$C$301,"&gt;"&amp;A91)</f>
        <v>3</v>
      </c>
      <c r="E91">
        <f>SUMIFS(Data!$L$2:$L$301,Data!$M$2:$M$301,"Train",Data!$C$2:$C$301,"&gt;"&amp;A91)</f>
        <v>1</v>
      </c>
      <c r="F91">
        <f t="shared" si="7"/>
        <v>0.49858806506569586</v>
      </c>
      <c r="G91">
        <f t="shared" si="8"/>
        <v>0.44444444444444431</v>
      </c>
      <c r="H91">
        <f t="shared" si="9"/>
        <v>0.49781458477110652</v>
      </c>
      <c r="I91">
        <f t="shared" si="10"/>
        <v>1</v>
      </c>
      <c r="J91">
        <f t="shared" si="11"/>
        <v>0.49781458477110652</v>
      </c>
      <c r="N91">
        <f>Data!A301</f>
        <v>300</v>
      </c>
      <c r="O91">
        <f>Data!L301</f>
        <v>0</v>
      </c>
      <c r="P91">
        <f>IF(Data!C301&lt;=$L$2,$L$4,$L$6)</f>
        <v>0.57978723404255317</v>
      </c>
      <c r="Q91">
        <f>IF(P91&gt;=Controls!$B$2,1,0)</f>
        <v>1</v>
      </c>
      <c r="R91">
        <f t="shared" si="12"/>
        <v>0</v>
      </c>
    </row>
    <row r="92" spans="1:18" x14ac:dyDescent="0.2">
      <c r="A92">
        <f>Data!C92</f>
        <v>47</v>
      </c>
      <c r="B92">
        <f>COUNTIFS(Data!$M$2:$M$301,"Train",Data!$C$2:$C$301,"&lt;="&amp;A92)</f>
        <v>132</v>
      </c>
      <c r="C92">
        <f>SUMIFS(Data!$L$2:$L$301,Data!$M$2:$M$301,"Train",Data!$C$2:$C$301,"&lt;="&amp;A92)</f>
        <v>60</v>
      </c>
      <c r="D92">
        <f>COUNTIFS(Data!$M$2:$M$301,"Train",Data!$C$2:$C$301,"&gt;"&amp;A92)</f>
        <v>78</v>
      </c>
      <c r="E92">
        <f>SUMIFS(Data!$L$2:$L$301,Data!$M$2:$M$301,"Train",Data!$C$2:$C$301,"&gt;"&amp;A92)</f>
        <v>50</v>
      </c>
      <c r="F92">
        <f t="shared" si="7"/>
        <v>0.49586776859504139</v>
      </c>
      <c r="G92">
        <f t="shared" si="8"/>
        <v>0.46022353714661407</v>
      </c>
      <c r="H92">
        <f t="shared" si="9"/>
        <v>0.48262848262848268</v>
      </c>
      <c r="I92">
        <f t="shared" si="10"/>
        <v>1</v>
      </c>
      <c r="J92">
        <f t="shared" si="11"/>
        <v>0.48262848262848268</v>
      </c>
    </row>
    <row r="93" spans="1:18" x14ac:dyDescent="0.2">
      <c r="A93">
        <f>Data!C93</f>
        <v>46</v>
      </c>
      <c r="B93">
        <f>COUNTIFS(Data!$M$2:$M$301,"Train",Data!$C$2:$C$301,"&lt;="&amp;A93)</f>
        <v>128</v>
      </c>
      <c r="C93">
        <f>SUMIFS(Data!$L$2:$L$301,Data!$M$2:$M$301,"Train",Data!$C$2:$C$301,"&lt;="&amp;A93)</f>
        <v>56</v>
      </c>
      <c r="D93">
        <f>COUNTIFS(Data!$M$2:$M$301,"Train",Data!$C$2:$C$301,"&gt;"&amp;A93)</f>
        <v>82</v>
      </c>
      <c r="E93">
        <f>SUMIFS(Data!$L$2:$L$301,Data!$M$2:$M$301,"Train",Data!$C$2:$C$301,"&gt;"&amp;A93)</f>
        <v>54</v>
      </c>
      <c r="F93">
        <f t="shared" si="7"/>
        <v>0.4921875</v>
      </c>
      <c r="G93">
        <f t="shared" si="8"/>
        <v>0.44973230220107069</v>
      </c>
      <c r="H93">
        <f t="shared" si="9"/>
        <v>0.47560975609756095</v>
      </c>
      <c r="I93">
        <f t="shared" si="10"/>
        <v>1</v>
      </c>
      <c r="J93">
        <f t="shared" si="11"/>
        <v>0.47560975609756095</v>
      </c>
    </row>
    <row r="94" spans="1:18" x14ac:dyDescent="0.2">
      <c r="A94">
        <f>Data!C94</f>
        <v>33</v>
      </c>
      <c r="B94">
        <f>COUNTIFS(Data!$M$2:$M$301,"Train",Data!$C$2:$C$301,"&lt;="&amp;A94)</f>
        <v>47</v>
      </c>
      <c r="C94">
        <f>SUMIFS(Data!$L$2:$L$301,Data!$M$2:$M$301,"Train",Data!$C$2:$C$301,"&lt;="&amp;A94)</f>
        <v>14</v>
      </c>
      <c r="D94">
        <f>COUNTIFS(Data!$M$2:$M$301,"Train",Data!$C$2:$C$301,"&gt;"&amp;A94)</f>
        <v>163</v>
      </c>
      <c r="E94">
        <f>SUMIFS(Data!$L$2:$L$301,Data!$M$2:$M$301,"Train",Data!$C$2:$C$301,"&gt;"&amp;A94)</f>
        <v>96</v>
      </c>
      <c r="F94">
        <f t="shared" si="7"/>
        <v>0.41828881846989585</v>
      </c>
      <c r="G94">
        <f t="shared" si="8"/>
        <v>0.48417328465504905</v>
      </c>
      <c r="H94">
        <f t="shared" si="9"/>
        <v>0.46942771365170516</v>
      </c>
      <c r="I94">
        <f t="shared" si="10"/>
        <v>1</v>
      </c>
      <c r="J94">
        <f t="shared" si="11"/>
        <v>0.46942771365170516</v>
      </c>
      <c r="N94" t="s">
        <v>103</v>
      </c>
      <c r="O94">
        <f>AVERAGE(R2:R91)</f>
        <v>0.57777777777777772</v>
      </c>
    </row>
    <row r="95" spans="1:18" x14ac:dyDescent="0.2">
      <c r="A95">
        <f>Data!C95</f>
        <v>34</v>
      </c>
      <c r="B95">
        <f>COUNTIFS(Data!$M$2:$M$301,"Train",Data!$C$2:$C$301,"&lt;="&amp;A95)</f>
        <v>55</v>
      </c>
      <c r="C95">
        <f>SUMIFS(Data!$L$2:$L$301,Data!$M$2:$M$301,"Train",Data!$C$2:$C$301,"&lt;="&amp;A95)</f>
        <v>17</v>
      </c>
      <c r="D95">
        <f>COUNTIFS(Data!$M$2:$M$301,"Train",Data!$C$2:$C$301,"&gt;"&amp;A95)</f>
        <v>155</v>
      </c>
      <c r="E95">
        <f>SUMIFS(Data!$L$2:$L$301,Data!$M$2:$M$301,"Train",Data!$C$2:$C$301,"&gt;"&amp;A95)</f>
        <v>93</v>
      </c>
      <c r="F95">
        <f t="shared" si="7"/>
        <v>0.42710743801652895</v>
      </c>
      <c r="G95">
        <f t="shared" si="8"/>
        <v>0.48</v>
      </c>
      <c r="H95">
        <f t="shared" si="9"/>
        <v>0.46614718614718609</v>
      </c>
      <c r="I95">
        <f t="shared" si="10"/>
        <v>1</v>
      </c>
      <c r="J95">
        <f t="shared" si="11"/>
        <v>0.46614718614718609</v>
      </c>
      <c r="N95" t="s">
        <v>104</v>
      </c>
      <c r="O95">
        <f>COUNTIFS(O2:O91,1,Q2:Q91,1)</f>
        <v>46</v>
      </c>
    </row>
    <row r="96" spans="1:18" x14ac:dyDescent="0.2">
      <c r="A96">
        <f>Data!C96</f>
        <v>22</v>
      </c>
      <c r="B96">
        <f>COUNTIFS(Data!$M$2:$M$301,"Train",Data!$C$2:$C$301,"&lt;="&amp;A96)</f>
        <v>8</v>
      </c>
      <c r="C96">
        <f>SUMIFS(Data!$L$2:$L$301,Data!$M$2:$M$301,"Train",Data!$C$2:$C$301,"&lt;="&amp;A96)</f>
        <v>0</v>
      </c>
      <c r="D96">
        <f>COUNTIFS(Data!$M$2:$M$301,"Train",Data!$C$2:$C$301,"&gt;"&amp;A96)</f>
        <v>202</v>
      </c>
      <c r="E96">
        <f>SUMIFS(Data!$L$2:$L$301,Data!$M$2:$M$301,"Train",Data!$C$2:$C$301,"&gt;"&amp;A96)</f>
        <v>110</v>
      </c>
      <c r="F96">
        <f t="shared" si="7"/>
        <v>0</v>
      </c>
      <c r="G96">
        <f t="shared" si="8"/>
        <v>0.49602980099990202</v>
      </c>
      <c r="H96">
        <f t="shared" si="9"/>
        <v>0.47713342762847716</v>
      </c>
      <c r="I96">
        <f t="shared" si="10"/>
        <v>1</v>
      </c>
      <c r="J96">
        <f t="shared" si="11"/>
        <v>0.47713342762847716</v>
      </c>
      <c r="N96" t="s">
        <v>105</v>
      </c>
      <c r="O96">
        <f>COUNTIFS(O2:O91,0,Q2:Q91,0)</f>
        <v>6</v>
      </c>
    </row>
    <row r="97" spans="1:15" x14ac:dyDescent="0.2">
      <c r="A97">
        <f>Data!C97</f>
        <v>74</v>
      </c>
      <c r="B97">
        <f>COUNTIFS(Data!$M$2:$M$301,"Train",Data!$C$2:$C$301,"&lt;="&amp;A97)</f>
        <v>209</v>
      </c>
      <c r="C97">
        <f>SUMIFS(Data!$L$2:$L$301,Data!$M$2:$M$301,"Train",Data!$C$2:$C$301,"&lt;="&amp;A97)</f>
        <v>110</v>
      </c>
      <c r="D97">
        <f>COUNTIFS(Data!$M$2:$M$301,"Train",Data!$C$2:$C$301,"&gt;"&amp;A97)</f>
        <v>1</v>
      </c>
      <c r="E97">
        <f>SUMIFS(Data!$L$2:$L$301,Data!$M$2:$M$301,"Train",Data!$C$2:$C$301,"&gt;"&amp;A97)</f>
        <v>0</v>
      </c>
      <c r="F97">
        <f t="shared" si="7"/>
        <v>0.49861495844875342</v>
      </c>
      <c r="G97">
        <f t="shared" si="8"/>
        <v>0</v>
      </c>
      <c r="H97">
        <f t="shared" si="9"/>
        <v>0.49624060150375937</v>
      </c>
      <c r="I97">
        <f t="shared" si="10"/>
        <v>1</v>
      </c>
      <c r="J97">
        <f t="shared" si="11"/>
        <v>0.49624060150375937</v>
      </c>
      <c r="N97" t="s">
        <v>106</v>
      </c>
      <c r="O97">
        <f>COUNTIFS(O2:O91,0,Q2:Q91,1)</f>
        <v>37</v>
      </c>
    </row>
    <row r="98" spans="1:15" x14ac:dyDescent="0.2">
      <c r="A98">
        <f>Data!C98</f>
        <v>40</v>
      </c>
      <c r="B98">
        <f>COUNTIFS(Data!$M$2:$M$301,"Train",Data!$C$2:$C$301,"&lt;="&amp;A98)</f>
        <v>95</v>
      </c>
      <c r="C98">
        <f>SUMIFS(Data!$L$2:$L$301,Data!$M$2:$M$301,"Train",Data!$C$2:$C$301,"&lt;="&amp;A98)</f>
        <v>40</v>
      </c>
      <c r="D98">
        <f>COUNTIFS(Data!$M$2:$M$301,"Train",Data!$C$2:$C$301,"&gt;"&amp;A98)</f>
        <v>115</v>
      </c>
      <c r="E98">
        <f>SUMIFS(Data!$L$2:$L$301,Data!$M$2:$M$301,"Train",Data!$C$2:$C$301,"&gt;"&amp;A98)</f>
        <v>70</v>
      </c>
      <c r="F98">
        <f t="shared" si="7"/>
        <v>0.48753462603878117</v>
      </c>
      <c r="G98">
        <f t="shared" si="8"/>
        <v>0.47637051039697548</v>
      </c>
      <c r="H98">
        <f t="shared" si="9"/>
        <v>0.48142094366350663</v>
      </c>
      <c r="I98">
        <f t="shared" si="10"/>
        <v>1</v>
      </c>
      <c r="J98">
        <f t="shared" si="11"/>
        <v>0.48142094366350663</v>
      </c>
      <c r="N98" t="s">
        <v>107</v>
      </c>
      <c r="O98">
        <f>COUNTIFS(O2:O91,1,Q2:Q91,0)</f>
        <v>1</v>
      </c>
    </row>
    <row r="99" spans="1:15" x14ac:dyDescent="0.2">
      <c r="A99">
        <f>Data!C99</f>
        <v>45</v>
      </c>
      <c r="B99">
        <f>COUNTIFS(Data!$M$2:$M$301,"Train",Data!$C$2:$C$301,"&lt;="&amp;A99)</f>
        <v>123</v>
      </c>
      <c r="C99">
        <f>SUMIFS(Data!$L$2:$L$301,Data!$M$2:$M$301,"Train",Data!$C$2:$C$301,"&lt;="&amp;A99)</f>
        <v>55</v>
      </c>
      <c r="D99">
        <f>COUNTIFS(Data!$M$2:$M$301,"Train",Data!$C$2:$C$301,"&gt;"&amp;A99)</f>
        <v>87</v>
      </c>
      <c r="E99">
        <f>SUMIFS(Data!$L$2:$L$301,Data!$M$2:$M$301,"Train",Data!$C$2:$C$301,"&gt;"&amp;A99)</f>
        <v>55</v>
      </c>
      <c r="F99">
        <f t="shared" si="7"/>
        <v>0.49441470024456341</v>
      </c>
      <c r="G99">
        <f t="shared" si="8"/>
        <v>0.46505482890738531</v>
      </c>
      <c r="H99">
        <f t="shared" si="9"/>
        <v>0.48225132497630396</v>
      </c>
      <c r="I99">
        <f t="shared" si="10"/>
        <v>1</v>
      </c>
      <c r="J99">
        <f t="shared" si="11"/>
        <v>0.48225132497630396</v>
      </c>
    </row>
    <row r="100" spans="1:15" x14ac:dyDescent="0.2">
      <c r="A100">
        <f>Data!C100</f>
        <v>43</v>
      </c>
      <c r="B100">
        <f>COUNTIFS(Data!$M$2:$M$301,"Train",Data!$C$2:$C$301,"&lt;="&amp;A100)</f>
        <v>113</v>
      </c>
      <c r="C100">
        <f>SUMIFS(Data!$L$2:$L$301,Data!$M$2:$M$301,"Train",Data!$C$2:$C$301,"&lt;="&amp;A100)</f>
        <v>48</v>
      </c>
      <c r="D100">
        <f>COUNTIFS(Data!$M$2:$M$301,"Train",Data!$C$2:$C$301,"&gt;"&amp;A100)</f>
        <v>97</v>
      </c>
      <c r="E100">
        <f>SUMIFS(Data!$L$2:$L$301,Data!$M$2:$M$301,"Train",Data!$C$2:$C$301,"&gt;"&amp;A100)</f>
        <v>62</v>
      </c>
      <c r="F100">
        <f t="shared" si="7"/>
        <v>0.48868353042524865</v>
      </c>
      <c r="G100">
        <f t="shared" si="8"/>
        <v>0.46126049527048574</v>
      </c>
      <c r="H100">
        <f t="shared" si="9"/>
        <v>0.47601669990138196</v>
      </c>
      <c r="I100">
        <f t="shared" si="10"/>
        <v>1</v>
      </c>
      <c r="J100">
        <f t="shared" si="11"/>
        <v>0.47601669990138196</v>
      </c>
    </row>
    <row r="101" spans="1:15" x14ac:dyDescent="0.2">
      <c r="A101">
        <f>Data!C101</f>
        <v>33</v>
      </c>
      <c r="B101">
        <f>COUNTIFS(Data!$M$2:$M$301,"Train",Data!$C$2:$C$301,"&lt;="&amp;A101)</f>
        <v>47</v>
      </c>
      <c r="C101">
        <f>SUMIFS(Data!$L$2:$L$301,Data!$M$2:$M$301,"Train",Data!$C$2:$C$301,"&lt;="&amp;A101)</f>
        <v>14</v>
      </c>
      <c r="D101">
        <f>COUNTIFS(Data!$M$2:$M$301,"Train",Data!$C$2:$C$301,"&gt;"&amp;A101)</f>
        <v>163</v>
      </c>
      <c r="E101">
        <f>SUMIFS(Data!$L$2:$L$301,Data!$M$2:$M$301,"Train",Data!$C$2:$C$301,"&gt;"&amp;A101)</f>
        <v>96</v>
      </c>
      <c r="F101">
        <f t="shared" si="7"/>
        <v>0.41828881846989585</v>
      </c>
      <c r="G101">
        <f t="shared" si="8"/>
        <v>0.48417328465504905</v>
      </c>
      <c r="H101">
        <f t="shared" si="9"/>
        <v>0.46942771365170516</v>
      </c>
      <c r="I101">
        <f t="shared" si="10"/>
        <v>1</v>
      </c>
      <c r="J101">
        <f t="shared" si="11"/>
        <v>0.46942771365170516</v>
      </c>
    </row>
    <row r="102" spans="1:15" x14ac:dyDescent="0.2">
      <c r="A102">
        <f>Data!C102</f>
        <v>62</v>
      </c>
      <c r="B102">
        <f>COUNTIFS(Data!$M$2:$M$301,"Train",Data!$C$2:$C$301,"&lt;="&amp;A102)</f>
        <v>200</v>
      </c>
      <c r="C102">
        <f>SUMIFS(Data!$L$2:$L$301,Data!$M$2:$M$301,"Train",Data!$C$2:$C$301,"&lt;="&amp;A102)</f>
        <v>107</v>
      </c>
      <c r="D102">
        <f>COUNTIFS(Data!$M$2:$M$301,"Train",Data!$C$2:$C$301,"&gt;"&amp;A102)</f>
        <v>10</v>
      </c>
      <c r="E102">
        <f>SUMIFS(Data!$L$2:$L$301,Data!$M$2:$M$301,"Train",Data!$C$2:$C$301,"&gt;"&amp;A102)</f>
        <v>3</v>
      </c>
      <c r="F102">
        <f t="shared" si="7"/>
        <v>0.49755000000000005</v>
      </c>
      <c r="G102">
        <f t="shared" si="8"/>
        <v>0.4200000000000001</v>
      </c>
      <c r="H102">
        <f t="shared" si="9"/>
        <v>0.49385714285714288</v>
      </c>
      <c r="I102">
        <f t="shared" si="10"/>
        <v>1</v>
      </c>
      <c r="J102">
        <f t="shared" si="11"/>
        <v>0.49385714285714288</v>
      </c>
    </row>
    <row r="103" spans="1:15" x14ac:dyDescent="0.2">
      <c r="A103">
        <f>Data!C103</f>
        <v>37</v>
      </c>
      <c r="B103">
        <f>COUNTIFS(Data!$M$2:$M$301,"Train",Data!$C$2:$C$301,"&lt;="&amp;A103)</f>
        <v>74</v>
      </c>
      <c r="C103">
        <f>SUMIFS(Data!$L$2:$L$301,Data!$M$2:$M$301,"Train",Data!$C$2:$C$301,"&lt;="&amp;A103)</f>
        <v>26</v>
      </c>
      <c r="D103">
        <f>COUNTIFS(Data!$M$2:$M$301,"Train",Data!$C$2:$C$301,"&gt;"&amp;A103)</f>
        <v>136</v>
      </c>
      <c r="E103">
        <f>SUMIFS(Data!$L$2:$L$301,Data!$M$2:$M$301,"Train",Data!$C$2:$C$301,"&gt;"&amp;A103)</f>
        <v>84</v>
      </c>
      <c r="F103">
        <f t="shared" si="7"/>
        <v>0.45580715850986114</v>
      </c>
      <c r="G103">
        <f t="shared" si="8"/>
        <v>0.47231833910034604</v>
      </c>
      <c r="H103">
        <f t="shared" si="9"/>
        <v>0.46650011355893706</v>
      </c>
      <c r="I103">
        <f t="shared" si="10"/>
        <v>1</v>
      </c>
      <c r="J103">
        <f t="shared" si="11"/>
        <v>0.46650011355893706</v>
      </c>
    </row>
    <row r="104" spans="1:15" x14ac:dyDescent="0.2">
      <c r="A104">
        <f>Data!C104</f>
        <v>54</v>
      </c>
      <c r="B104">
        <f>COUNTIFS(Data!$M$2:$M$301,"Train",Data!$C$2:$C$301,"&lt;="&amp;A104)</f>
        <v>169</v>
      </c>
      <c r="C104">
        <f>SUMIFS(Data!$L$2:$L$301,Data!$M$2:$M$301,"Train",Data!$C$2:$C$301,"&lt;="&amp;A104)</f>
        <v>87</v>
      </c>
      <c r="D104">
        <f>COUNTIFS(Data!$M$2:$M$301,"Train",Data!$C$2:$C$301,"&gt;"&amp;A104)</f>
        <v>41</v>
      </c>
      <c r="E104">
        <f>SUMIFS(Data!$L$2:$L$301,Data!$M$2:$M$301,"Train",Data!$C$2:$C$301,"&gt;"&amp;A104)</f>
        <v>23</v>
      </c>
      <c r="F104">
        <f t="shared" si="7"/>
        <v>0.49956234025419283</v>
      </c>
      <c r="G104">
        <f t="shared" si="8"/>
        <v>0.49256395002974424</v>
      </c>
      <c r="H104">
        <f t="shared" si="9"/>
        <v>0.49819598787703856</v>
      </c>
      <c r="I104">
        <f t="shared" si="10"/>
        <v>1</v>
      </c>
      <c r="J104">
        <f t="shared" si="11"/>
        <v>0.49819598787703856</v>
      </c>
    </row>
    <row r="105" spans="1:15" x14ac:dyDescent="0.2">
      <c r="A105">
        <f>Data!C105</f>
        <v>34</v>
      </c>
      <c r="B105">
        <f>COUNTIFS(Data!$M$2:$M$301,"Train",Data!$C$2:$C$301,"&lt;="&amp;A105)</f>
        <v>55</v>
      </c>
      <c r="C105">
        <f>SUMIFS(Data!$L$2:$L$301,Data!$M$2:$M$301,"Train",Data!$C$2:$C$301,"&lt;="&amp;A105)</f>
        <v>17</v>
      </c>
      <c r="D105">
        <f>COUNTIFS(Data!$M$2:$M$301,"Train",Data!$C$2:$C$301,"&gt;"&amp;A105)</f>
        <v>155</v>
      </c>
      <c r="E105">
        <f>SUMIFS(Data!$L$2:$L$301,Data!$M$2:$M$301,"Train",Data!$C$2:$C$301,"&gt;"&amp;A105)</f>
        <v>93</v>
      </c>
      <c r="F105">
        <f t="shared" si="7"/>
        <v>0.42710743801652895</v>
      </c>
      <c r="G105">
        <f t="shared" si="8"/>
        <v>0.48</v>
      </c>
      <c r="H105">
        <f t="shared" si="9"/>
        <v>0.46614718614718609</v>
      </c>
      <c r="I105">
        <f t="shared" si="10"/>
        <v>1</v>
      </c>
      <c r="J105">
        <f t="shared" si="11"/>
        <v>0.46614718614718609</v>
      </c>
    </row>
    <row r="106" spans="1:15" x14ac:dyDescent="0.2">
      <c r="A106">
        <f>Data!C106</f>
        <v>50</v>
      </c>
      <c r="B106">
        <f>COUNTIFS(Data!$M$2:$M$301,"Train",Data!$C$2:$C$301,"&lt;="&amp;A106)</f>
        <v>149</v>
      </c>
      <c r="C106">
        <f>SUMIFS(Data!$L$2:$L$301,Data!$M$2:$M$301,"Train",Data!$C$2:$C$301,"&lt;="&amp;A106)</f>
        <v>74</v>
      </c>
      <c r="D106">
        <f>COUNTIFS(Data!$M$2:$M$301,"Train",Data!$C$2:$C$301,"&gt;"&amp;A106)</f>
        <v>61</v>
      </c>
      <c r="E106">
        <f>SUMIFS(Data!$L$2:$L$301,Data!$M$2:$M$301,"Train",Data!$C$2:$C$301,"&gt;"&amp;A106)</f>
        <v>36</v>
      </c>
      <c r="F106">
        <f t="shared" si="7"/>
        <v>0.49997747849195978</v>
      </c>
      <c r="G106">
        <f t="shared" si="8"/>
        <v>0.48374092985756523</v>
      </c>
      <c r="H106">
        <f t="shared" si="9"/>
        <v>0.49526114769815943</v>
      </c>
      <c r="I106">
        <f t="shared" si="10"/>
        <v>1</v>
      </c>
      <c r="J106">
        <f t="shared" si="11"/>
        <v>0.49526114769815943</v>
      </c>
    </row>
    <row r="107" spans="1:15" x14ac:dyDescent="0.2">
      <c r="A107">
        <f>Data!C107</f>
        <v>46</v>
      </c>
      <c r="B107">
        <f>COUNTIFS(Data!$M$2:$M$301,"Train",Data!$C$2:$C$301,"&lt;="&amp;A107)</f>
        <v>128</v>
      </c>
      <c r="C107">
        <f>SUMIFS(Data!$L$2:$L$301,Data!$M$2:$M$301,"Train",Data!$C$2:$C$301,"&lt;="&amp;A107)</f>
        <v>56</v>
      </c>
      <c r="D107">
        <f>COUNTIFS(Data!$M$2:$M$301,"Train",Data!$C$2:$C$301,"&gt;"&amp;A107)</f>
        <v>82</v>
      </c>
      <c r="E107">
        <f>SUMIFS(Data!$L$2:$L$301,Data!$M$2:$M$301,"Train",Data!$C$2:$C$301,"&gt;"&amp;A107)</f>
        <v>54</v>
      </c>
      <c r="F107">
        <f t="shared" si="7"/>
        <v>0.4921875</v>
      </c>
      <c r="G107">
        <f t="shared" si="8"/>
        <v>0.44973230220107069</v>
      </c>
      <c r="H107">
        <f t="shared" si="9"/>
        <v>0.47560975609756095</v>
      </c>
      <c r="I107">
        <f t="shared" si="10"/>
        <v>1</v>
      </c>
      <c r="J107">
        <f t="shared" si="11"/>
        <v>0.47560975609756095</v>
      </c>
    </row>
    <row r="108" spans="1:15" x14ac:dyDescent="0.2">
      <c r="A108">
        <f>Data!C108</f>
        <v>41</v>
      </c>
      <c r="B108">
        <f>COUNTIFS(Data!$M$2:$M$301,"Train",Data!$C$2:$C$301,"&lt;="&amp;A108)</f>
        <v>99</v>
      </c>
      <c r="C108">
        <f>SUMIFS(Data!$L$2:$L$301,Data!$M$2:$M$301,"Train",Data!$C$2:$C$301,"&lt;="&amp;A108)</f>
        <v>41</v>
      </c>
      <c r="D108">
        <f>COUNTIFS(Data!$M$2:$M$301,"Train",Data!$C$2:$C$301,"&gt;"&amp;A108)</f>
        <v>111</v>
      </c>
      <c r="E108">
        <f>SUMIFS(Data!$L$2:$L$301,Data!$M$2:$M$301,"Train",Data!$C$2:$C$301,"&gt;"&amp;A108)</f>
        <v>69</v>
      </c>
      <c r="F108">
        <f t="shared" si="7"/>
        <v>0.48525660646872776</v>
      </c>
      <c r="G108">
        <f t="shared" si="8"/>
        <v>0.47041636230825423</v>
      </c>
      <c r="H108">
        <f t="shared" si="9"/>
        <v>0.47741247741247744</v>
      </c>
      <c r="I108">
        <f t="shared" si="10"/>
        <v>1</v>
      </c>
      <c r="J108">
        <f t="shared" si="11"/>
        <v>0.47741247741247744</v>
      </c>
    </row>
    <row r="109" spans="1:15" x14ac:dyDescent="0.2">
      <c r="A109">
        <f>Data!C109</f>
        <v>63</v>
      </c>
      <c r="B109">
        <f>COUNTIFS(Data!$M$2:$M$301,"Train",Data!$C$2:$C$301,"&lt;="&amp;A109)</f>
        <v>202</v>
      </c>
      <c r="C109">
        <f>SUMIFS(Data!$L$2:$L$301,Data!$M$2:$M$301,"Train",Data!$C$2:$C$301,"&lt;="&amp;A109)</f>
        <v>108</v>
      </c>
      <c r="D109">
        <f>COUNTIFS(Data!$M$2:$M$301,"Train",Data!$C$2:$C$301,"&gt;"&amp;A109)</f>
        <v>8</v>
      </c>
      <c r="E109">
        <f>SUMIFS(Data!$L$2:$L$301,Data!$M$2:$M$301,"Train",Data!$C$2:$C$301,"&gt;"&amp;A109)</f>
        <v>2</v>
      </c>
      <c r="F109">
        <f t="shared" si="7"/>
        <v>0.49759827467895296</v>
      </c>
      <c r="G109">
        <f t="shared" si="8"/>
        <v>0.375</v>
      </c>
      <c r="H109">
        <f t="shared" si="9"/>
        <v>0.49292786421499285</v>
      </c>
      <c r="I109">
        <f t="shared" si="10"/>
        <v>1</v>
      </c>
      <c r="J109">
        <f t="shared" si="11"/>
        <v>0.49292786421499285</v>
      </c>
    </row>
    <row r="110" spans="1:15" x14ac:dyDescent="0.2">
      <c r="A110">
        <f>Data!C110</f>
        <v>38</v>
      </c>
      <c r="B110">
        <f>COUNTIFS(Data!$M$2:$M$301,"Train",Data!$C$2:$C$301,"&lt;="&amp;A110)</f>
        <v>81</v>
      </c>
      <c r="C110">
        <f>SUMIFS(Data!$L$2:$L$301,Data!$M$2:$M$301,"Train",Data!$C$2:$C$301,"&lt;="&amp;A110)</f>
        <v>32</v>
      </c>
      <c r="D110">
        <f>COUNTIFS(Data!$M$2:$M$301,"Train",Data!$C$2:$C$301,"&gt;"&amp;A110)</f>
        <v>129</v>
      </c>
      <c r="E110">
        <f>SUMIFS(Data!$L$2:$L$301,Data!$M$2:$M$301,"Train",Data!$C$2:$C$301,"&gt;"&amp;A110)</f>
        <v>78</v>
      </c>
      <c r="F110">
        <f t="shared" si="7"/>
        <v>0.47797591830513642</v>
      </c>
      <c r="G110">
        <f t="shared" si="8"/>
        <v>0.4780962682531098</v>
      </c>
      <c r="H110">
        <f t="shared" si="9"/>
        <v>0.47804984755889152</v>
      </c>
      <c r="I110">
        <f t="shared" si="10"/>
        <v>1</v>
      </c>
      <c r="J110">
        <f t="shared" si="11"/>
        <v>0.47804984755889152</v>
      </c>
    </row>
    <row r="111" spans="1:15" x14ac:dyDescent="0.2">
      <c r="A111">
        <f>Data!C111</f>
        <v>35</v>
      </c>
      <c r="B111">
        <f>COUNTIFS(Data!$M$2:$M$301,"Train",Data!$C$2:$C$301,"&lt;="&amp;A111)</f>
        <v>64</v>
      </c>
      <c r="C111">
        <f>SUMIFS(Data!$L$2:$L$301,Data!$M$2:$M$301,"Train",Data!$C$2:$C$301,"&lt;="&amp;A111)</f>
        <v>22</v>
      </c>
      <c r="D111">
        <f>COUNTIFS(Data!$M$2:$M$301,"Train",Data!$C$2:$C$301,"&gt;"&amp;A111)</f>
        <v>146</v>
      </c>
      <c r="E111">
        <f>SUMIFS(Data!$L$2:$L$301,Data!$M$2:$M$301,"Train",Data!$C$2:$C$301,"&gt;"&amp;A111)</f>
        <v>88</v>
      </c>
      <c r="F111">
        <f t="shared" si="7"/>
        <v>0.451171875</v>
      </c>
      <c r="G111">
        <f t="shared" si="8"/>
        <v>0.47888909739163077</v>
      </c>
      <c r="H111">
        <f t="shared" si="9"/>
        <v>0.47044194390084809</v>
      </c>
      <c r="I111">
        <f t="shared" si="10"/>
        <v>1</v>
      </c>
      <c r="J111">
        <f t="shared" si="11"/>
        <v>0.47044194390084809</v>
      </c>
    </row>
    <row r="112" spans="1:15" x14ac:dyDescent="0.2">
      <c r="A112">
        <f>Data!C112</f>
        <v>29</v>
      </c>
      <c r="B112">
        <f>COUNTIFS(Data!$M$2:$M$301,"Train",Data!$C$2:$C$301,"&lt;="&amp;A112)</f>
        <v>32</v>
      </c>
      <c r="C112">
        <f>SUMIFS(Data!$L$2:$L$301,Data!$M$2:$M$301,"Train",Data!$C$2:$C$301,"&lt;="&amp;A112)</f>
        <v>6</v>
      </c>
      <c r="D112">
        <f>COUNTIFS(Data!$M$2:$M$301,"Train",Data!$C$2:$C$301,"&gt;"&amp;A112)</f>
        <v>178</v>
      </c>
      <c r="E112">
        <f>SUMIFS(Data!$L$2:$L$301,Data!$M$2:$M$301,"Train",Data!$C$2:$C$301,"&gt;"&amp;A112)</f>
        <v>104</v>
      </c>
      <c r="F112">
        <f t="shared" si="7"/>
        <v>0.3046875</v>
      </c>
      <c r="G112">
        <f t="shared" si="8"/>
        <v>0.48579724782224459</v>
      </c>
      <c r="H112">
        <f t="shared" si="9"/>
        <v>0.45819957196361683</v>
      </c>
      <c r="I112">
        <f t="shared" si="10"/>
        <v>1</v>
      </c>
      <c r="J112">
        <f t="shared" si="11"/>
        <v>0.45819957196361683</v>
      </c>
    </row>
    <row r="113" spans="1:10" x14ac:dyDescent="0.2">
      <c r="A113">
        <f>Data!C113</f>
        <v>66</v>
      </c>
      <c r="B113">
        <f>COUNTIFS(Data!$M$2:$M$301,"Train",Data!$C$2:$C$301,"&lt;="&amp;A113)</f>
        <v>204</v>
      </c>
      <c r="C113">
        <f>SUMIFS(Data!$L$2:$L$301,Data!$M$2:$M$301,"Train",Data!$C$2:$C$301,"&lt;="&amp;A113)</f>
        <v>108</v>
      </c>
      <c r="D113">
        <f>COUNTIFS(Data!$M$2:$M$301,"Train",Data!$C$2:$C$301,"&gt;"&amp;A113)</f>
        <v>6</v>
      </c>
      <c r="E113">
        <f>SUMIFS(Data!$L$2:$L$301,Data!$M$2:$M$301,"Train",Data!$C$2:$C$301,"&gt;"&amp;A113)</f>
        <v>2</v>
      </c>
      <c r="F113">
        <f t="shared" si="7"/>
        <v>0.49826989619377154</v>
      </c>
      <c r="G113">
        <f t="shared" si="8"/>
        <v>0.44444444444444431</v>
      </c>
      <c r="H113">
        <f t="shared" si="9"/>
        <v>0.49673202614379075</v>
      </c>
      <c r="I113">
        <f t="shared" si="10"/>
        <v>1</v>
      </c>
      <c r="J113">
        <f t="shared" si="11"/>
        <v>0.49673202614379075</v>
      </c>
    </row>
    <row r="114" spans="1:10" x14ac:dyDescent="0.2">
      <c r="A114">
        <f>Data!C114</f>
        <v>37</v>
      </c>
      <c r="B114">
        <f>COUNTIFS(Data!$M$2:$M$301,"Train",Data!$C$2:$C$301,"&lt;="&amp;A114)</f>
        <v>74</v>
      </c>
      <c r="C114">
        <f>SUMIFS(Data!$L$2:$L$301,Data!$M$2:$M$301,"Train",Data!$C$2:$C$301,"&lt;="&amp;A114)</f>
        <v>26</v>
      </c>
      <c r="D114">
        <f>COUNTIFS(Data!$M$2:$M$301,"Train",Data!$C$2:$C$301,"&gt;"&amp;A114)</f>
        <v>136</v>
      </c>
      <c r="E114">
        <f>SUMIFS(Data!$L$2:$L$301,Data!$M$2:$M$301,"Train",Data!$C$2:$C$301,"&gt;"&amp;A114)</f>
        <v>84</v>
      </c>
      <c r="F114">
        <f t="shared" si="7"/>
        <v>0.45580715850986114</v>
      </c>
      <c r="G114">
        <f t="shared" si="8"/>
        <v>0.47231833910034604</v>
      </c>
      <c r="H114">
        <f t="shared" si="9"/>
        <v>0.46650011355893706</v>
      </c>
      <c r="I114">
        <f t="shared" si="10"/>
        <v>1</v>
      </c>
      <c r="J114">
        <f t="shared" si="11"/>
        <v>0.46650011355893706</v>
      </c>
    </row>
    <row r="115" spans="1:10" x14ac:dyDescent="0.2">
      <c r="A115">
        <f>Data!C115</f>
        <v>39</v>
      </c>
      <c r="B115">
        <f>COUNTIFS(Data!$M$2:$M$301,"Train",Data!$C$2:$C$301,"&lt;="&amp;A115)</f>
        <v>87</v>
      </c>
      <c r="C115">
        <f>SUMIFS(Data!$L$2:$L$301,Data!$M$2:$M$301,"Train",Data!$C$2:$C$301,"&lt;="&amp;A115)</f>
        <v>36</v>
      </c>
      <c r="D115">
        <f>COUNTIFS(Data!$M$2:$M$301,"Train",Data!$C$2:$C$301,"&gt;"&amp;A115)</f>
        <v>123</v>
      </c>
      <c r="E115">
        <f>SUMIFS(Data!$L$2:$L$301,Data!$M$2:$M$301,"Train",Data!$C$2:$C$301,"&gt;"&amp;A115)</f>
        <v>74</v>
      </c>
      <c r="F115">
        <f t="shared" si="7"/>
        <v>0.4851367419738406</v>
      </c>
      <c r="G115">
        <f t="shared" si="8"/>
        <v>0.47934430563817831</v>
      </c>
      <c r="H115">
        <f t="shared" si="9"/>
        <v>0.48174402926295273</v>
      </c>
      <c r="I115">
        <f t="shared" si="10"/>
        <v>1</v>
      </c>
      <c r="J115">
        <f t="shared" si="11"/>
        <v>0.48174402926295273</v>
      </c>
    </row>
    <row r="116" spans="1:10" x14ac:dyDescent="0.2">
      <c r="A116">
        <f>Data!C116</f>
        <v>42</v>
      </c>
      <c r="B116">
        <f>COUNTIFS(Data!$M$2:$M$301,"Train",Data!$C$2:$C$301,"&lt;="&amp;A116)</f>
        <v>103</v>
      </c>
      <c r="C116">
        <f>SUMIFS(Data!$L$2:$L$301,Data!$M$2:$M$301,"Train",Data!$C$2:$C$301,"&lt;="&amp;A116)</f>
        <v>42</v>
      </c>
      <c r="D116">
        <f>COUNTIFS(Data!$M$2:$M$301,"Train",Data!$C$2:$C$301,"&gt;"&amp;A116)</f>
        <v>107</v>
      </c>
      <c r="E116">
        <f>SUMIFS(Data!$L$2:$L$301,Data!$M$2:$M$301,"Train",Data!$C$2:$C$301,"&gt;"&amp;A116)</f>
        <v>68</v>
      </c>
      <c r="F116">
        <f t="shared" si="7"/>
        <v>0.48298614384013572</v>
      </c>
      <c r="G116">
        <f t="shared" si="8"/>
        <v>0.46327190147611153</v>
      </c>
      <c r="H116">
        <f t="shared" si="9"/>
        <v>0.47294126796894242</v>
      </c>
      <c r="I116">
        <f t="shared" si="10"/>
        <v>1</v>
      </c>
      <c r="J116">
        <f t="shared" si="11"/>
        <v>0.47294126796894242</v>
      </c>
    </row>
    <row r="117" spans="1:10" x14ac:dyDescent="0.2">
      <c r="A117">
        <f>Data!C117</f>
        <v>51</v>
      </c>
      <c r="B117">
        <f>COUNTIFS(Data!$M$2:$M$301,"Train",Data!$C$2:$C$301,"&lt;="&amp;A117)</f>
        <v>155</v>
      </c>
      <c r="C117">
        <f>SUMIFS(Data!$L$2:$L$301,Data!$M$2:$M$301,"Train",Data!$C$2:$C$301,"&lt;="&amp;A117)</f>
        <v>77</v>
      </c>
      <c r="D117">
        <f>COUNTIFS(Data!$M$2:$M$301,"Train",Data!$C$2:$C$301,"&gt;"&amp;A117)</f>
        <v>55</v>
      </c>
      <c r="E117">
        <f>SUMIFS(Data!$L$2:$L$301,Data!$M$2:$M$301,"Train",Data!$C$2:$C$301,"&gt;"&amp;A117)</f>
        <v>33</v>
      </c>
      <c r="F117">
        <f t="shared" si="7"/>
        <v>0.49997918834547356</v>
      </c>
      <c r="G117">
        <f t="shared" si="8"/>
        <v>0.48</v>
      </c>
      <c r="H117">
        <f t="shared" si="9"/>
        <v>0.49474654377880189</v>
      </c>
      <c r="I117">
        <f t="shared" si="10"/>
        <v>1</v>
      </c>
      <c r="J117">
        <f t="shared" si="11"/>
        <v>0.49474654377880189</v>
      </c>
    </row>
    <row r="118" spans="1:10" x14ac:dyDescent="0.2">
      <c r="A118">
        <f>Data!C118</f>
        <v>55</v>
      </c>
      <c r="B118">
        <f>COUNTIFS(Data!$M$2:$M$301,"Train",Data!$C$2:$C$301,"&lt;="&amp;A118)</f>
        <v>176</v>
      </c>
      <c r="C118">
        <f>SUMIFS(Data!$L$2:$L$301,Data!$M$2:$M$301,"Train",Data!$C$2:$C$301,"&lt;="&amp;A118)</f>
        <v>91</v>
      </c>
      <c r="D118">
        <f>COUNTIFS(Data!$M$2:$M$301,"Train",Data!$C$2:$C$301,"&gt;"&amp;A118)</f>
        <v>34</v>
      </c>
      <c r="E118">
        <f>SUMIFS(Data!$L$2:$L$301,Data!$M$2:$M$301,"Train",Data!$C$2:$C$301,"&gt;"&amp;A118)</f>
        <v>19</v>
      </c>
      <c r="F118">
        <f t="shared" si="7"/>
        <v>0.49941890495867769</v>
      </c>
      <c r="G118">
        <f t="shared" si="8"/>
        <v>0.49307958477508645</v>
      </c>
      <c r="H118">
        <f t="shared" si="9"/>
        <v>0.49839253883371537</v>
      </c>
      <c r="I118">
        <f t="shared" si="10"/>
        <v>1</v>
      </c>
      <c r="J118">
        <f t="shared" si="11"/>
        <v>0.49839253883371537</v>
      </c>
    </row>
    <row r="119" spans="1:10" x14ac:dyDescent="0.2">
      <c r="A119">
        <f>Data!C119</f>
        <v>51</v>
      </c>
      <c r="B119">
        <f>COUNTIFS(Data!$M$2:$M$301,"Train",Data!$C$2:$C$301,"&lt;="&amp;A119)</f>
        <v>155</v>
      </c>
      <c r="C119">
        <f>SUMIFS(Data!$L$2:$L$301,Data!$M$2:$M$301,"Train",Data!$C$2:$C$301,"&lt;="&amp;A119)</f>
        <v>77</v>
      </c>
      <c r="D119">
        <f>COUNTIFS(Data!$M$2:$M$301,"Train",Data!$C$2:$C$301,"&gt;"&amp;A119)</f>
        <v>55</v>
      </c>
      <c r="E119">
        <f>SUMIFS(Data!$L$2:$L$301,Data!$M$2:$M$301,"Train",Data!$C$2:$C$301,"&gt;"&amp;A119)</f>
        <v>33</v>
      </c>
      <c r="F119">
        <f t="shared" si="7"/>
        <v>0.49997918834547356</v>
      </c>
      <c r="G119">
        <f t="shared" si="8"/>
        <v>0.48</v>
      </c>
      <c r="H119">
        <f t="shared" si="9"/>
        <v>0.49474654377880189</v>
      </c>
      <c r="I119">
        <f t="shared" si="10"/>
        <v>1</v>
      </c>
      <c r="J119">
        <f t="shared" si="11"/>
        <v>0.49474654377880189</v>
      </c>
    </row>
    <row r="120" spans="1:10" x14ac:dyDescent="0.2">
      <c r="A120">
        <f>Data!C120</f>
        <v>38</v>
      </c>
      <c r="B120">
        <f>COUNTIFS(Data!$M$2:$M$301,"Train",Data!$C$2:$C$301,"&lt;="&amp;A120)</f>
        <v>81</v>
      </c>
      <c r="C120">
        <f>SUMIFS(Data!$L$2:$L$301,Data!$M$2:$M$301,"Train",Data!$C$2:$C$301,"&lt;="&amp;A120)</f>
        <v>32</v>
      </c>
      <c r="D120">
        <f>COUNTIFS(Data!$M$2:$M$301,"Train",Data!$C$2:$C$301,"&gt;"&amp;A120)</f>
        <v>129</v>
      </c>
      <c r="E120">
        <f>SUMIFS(Data!$L$2:$L$301,Data!$M$2:$M$301,"Train",Data!$C$2:$C$301,"&gt;"&amp;A120)</f>
        <v>78</v>
      </c>
      <c r="F120">
        <f t="shared" si="7"/>
        <v>0.47797591830513642</v>
      </c>
      <c r="G120">
        <f t="shared" si="8"/>
        <v>0.4780962682531098</v>
      </c>
      <c r="H120">
        <f t="shared" si="9"/>
        <v>0.47804984755889152</v>
      </c>
      <c r="I120">
        <f t="shared" si="10"/>
        <v>1</v>
      </c>
      <c r="J120">
        <f t="shared" si="11"/>
        <v>0.47804984755889152</v>
      </c>
    </row>
    <row r="121" spans="1:10" x14ac:dyDescent="0.2">
      <c r="A121">
        <f>Data!C121</f>
        <v>49</v>
      </c>
      <c r="B121">
        <f>COUNTIFS(Data!$M$2:$M$301,"Train",Data!$C$2:$C$301,"&lt;="&amp;A121)</f>
        <v>143</v>
      </c>
      <c r="C121">
        <f>SUMIFS(Data!$L$2:$L$301,Data!$M$2:$M$301,"Train",Data!$C$2:$C$301,"&lt;="&amp;A121)</f>
        <v>70</v>
      </c>
      <c r="D121">
        <f>COUNTIFS(Data!$M$2:$M$301,"Train",Data!$C$2:$C$301,"&gt;"&amp;A121)</f>
        <v>67</v>
      </c>
      <c r="E121">
        <f>SUMIFS(Data!$L$2:$L$301,Data!$M$2:$M$301,"Train",Data!$C$2:$C$301,"&gt;"&amp;A121)</f>
        <v>40</v>
      </c>
      <c r="F121">
        <f t="shared" si="7"/>
        <v>0.49977994033938095</v>
      </c>
      <c r="G121">
        <f t="shared" si="8"/>
        <v>0.48117620850969045</v>
      </c>
      <c r="H121">
        <f t="shared" si="9"/>
        <v>0.49384446399371779</v>
      </c>
      <c r="I121">
        <f t="shared" si="10"/>
        <v>1</v>
      </c>
      <c r="J121">
        <f t="shared" si="11"/>
        <v>0.49384446399371779</v>
      </c>
    </row>
    <row r="122" spans="1:10" x14ac:dyDescent="0.2">
      <c r="A122">
        <f>Data!C122</f>
        <v>42</v>
      </c>
      <c r="B122">
        <f>COUNTIFS(Data!$M$2:$M$301,"Train",Data!$C$2:$C$301,"&lt;="&amp;A122)</f>
        <v>103</v>
      </c>
      <c r="C122">
        <f>SUMIFS(Data!$L$2:$L$301,Data!$M$2:$M$301,"Train",Data!$C$2:$C$301,"&lt;="&amp;A122)</f>
        <v>42</v>
      </c>
      <c r="D122">
        <f>COUNTIFS(Data!$M$2:$M$301,"Train",Data!$C$2:$C$301,"&gt;"&amp;A122)</f>
        <v>107</v>
      </c>
      <c r="E122">
        <f>SUMIFS(Data!$L$2:$L$301,Data!$M$2:$M$301,"Train",Data!$C$2:$C$301,"&gt;"&amp;A122)</f>
        <v>68</v>
      </c>
      <c r="F122">
        <f t="shared" si="7"/>
        <v>0.48298614384013572</v>
      </c>
      <c r="G122">
        <f t="shared" si="8"/>
        <v>0.46327190147611153</v>
      </c>
      <c r="H122">
        <f t="shared" si="9"/>
        <v>0.47294126796894242</v>
      </c>
      <c r="I122">
        <f t="shared" si="10"/>
        <v>1</v>
      </c>
      <c r="J122">
        <f t="shared" si="11"/>
        <v>0.47294126796894242</v>
      </c>
    </row>
    <row r="123" spans="1:10" x14ac:dyDescent="0.2">
      <c r="A123">
        <f>Data!C123</f>
        <v>43</v>
      </c>
      <c r="B123">
        <f>COUNTIFS(Data!$M$2:$M$301,"Train",Data!$C$2:$C$301,"&lt;="&amp;A123)</f>
        <v>113</v>
      </c>
      <c r="C123">
        <f>SUMIFS(Data!$L$2:$L$301,Data!$M$2:$M$301,"Train",Data!$C$2:$C$301,"&lt;="&amp;A123)</f>
        <v>48</v>
      </c>
      <c r="D123">
        <f>COUNTIFS(Data!$M$2:$M$301,"Train",Data!$C$2:$C$301,"&gt;"&amp;A123)</f>
        <v>97</v>
      </c>
      <c r="E123">
        <f>SUMIFS(Data!$L$2:$L$301,Data!$M$2:$M$301,"Train",Data!$C$2:$C$301,"&gt;"&amp;A123)</f>
        <v>62</v>
      </c>
      <c r="F123">
        <f t="shared" si="7"/>
        <v>0.48868353042524865</v>
      </c>
      <c r="G123">
        <f t="shared" si="8"/>
        <v>0.46126049527048574</v>
      </c>
      <c r="H123">
        <f t="shared" si="9"/>
        <v>0.47601669990138196</v>
      </c>
      <c r="I123">
        <f t="shared" si="10"/>
        <v>1</v>
      </c>
      <c r="J123">
        <f t="shared" si="11"/>
        <v>0.47601669990138196</v>
      </c>
    </row>
    <row r="124" spans="1:10" x14ac:dyDescent="0.2">
      <c r="A124">
        <f>Data!C124</f>
        <v>38</v>
      </c>
      <c r="B124">
        <f>COUNTIFS(Data!$M$2:$M$301,"Train",Data!$C$2:$C$301,"&lt;="&amp;A124)</f>
        <v>81</v>
      </c>
      <c r="C124">
        <f>SUMIFS(Data!$L$2:$L$301,Data!$M$2:$M$301,"Train",Data!$C$2:$C$301,"&lt;="&amp;A124)</f>
        <v>32</v>
      </c>
      <c r="D124">
        <f>COUNTIFS(Data!$M$2:$M$301,"Train",Data!$C$2:$C$301,"&gt;"&amp;A124)</f>
        <v>129</v>
      </c>
      <c r="E124">
        <f>SUMIFS(Data!$L$2:$L$301,Data!$M$2:$M$301,"Train",Data!$C$2:$C$301,"&gt;"&amp;A124)</f>
        <v>78</v>
      </c>
      <c r="F124">
        <f t="shared" si="7"/>
        <v>0.47797591830513642</v>
      </c>
      <c r="G124">
        <f t="shared" si="8"/>
        <v>0.4780962682531098</v>
      </c>
      <c r="H124">
        <f t="shared" si="9"/>
        <v>0.47804984755889152</v>
      </c>
      <c r="I124">
        <f t="shared" si="10"/>
        <v>1</v>
      </c>
      <c r="J124">
        <f t="shared" si="11"/>
        <v>0.47804984755889152</v>
      </c>
    </row>
    <row r="125" spans="1:10" x14ac:dyDescent="0.2">
      <c r="A125">
        <f>Data!C125</f>
        <v>59</v>
      </c>
      <c r="B125">
        <f>COUNTIFS(Data!$M$2:$M$301,"Train",Data!$C$2:$C$301,"&lt;="&amp;A125)</f>
        <v>190</v>
      </c>
      <c r="C125">
        <f>SUMIFS(Data!$L$2:$L$301,Data!$M$2:$M$301,"Train",Data!$C$2:$C$301,"&lt;="&amp;A125)</f>
        <v>100</v>
      </c>
      <c r="D125">
        <f>COUNTIFS(Data!$M$2:$M$301,"Train",Data!$C$2:$C$301,"&gt;"&amp;A125)</f>
        <v>20</v>
      </c>
      <c r="E125">
        <f>SUMIFS(Data!$L$2:$L$301,Data!$M$2:$M$301,"Train",Data!$C$2:$C$301,"&gt;"&amp;A125)</f>
        <v>10</v>
      </c>
      <c r="F125">
        <f t="shared" si="7"/>
        <v>0.49861495844875342</v>
      </c>
      <c r="G125">
        <f t="shared" si="8"/>
        <v>0.5</v>
      </c>
      <c r="H125">
        <f t="shared" si="9"/>
        <v>0.49874686716791977</v>
      </c>
      <c r="I125">
        <f t="shared" si="10"/>
        <v>1</v>
      </c>
      <c r="J125">
        <f t="shared" si="11"/>
        <v>0.49874686716791977</v>
      </c>
    </row>
    <row r="126" spans="1:10" x14ac:dyDescent="0.2">
      <c r="A126">
        <f>Data!C126</f>
        <v>57</v>
      </c>
      <c r="B126">
        <f>COUNTIFS(Data!$M$2:$M$301,"Train",Data!$C$2:$C$301,"&lt;="&amp;A126)</f>
        <v>183</v>
      </c>
      <c r="C126">
        <f>SUMIFS(Data!$L$2:$L$301,Data!$M$2:$M$301,"Train",Data!$C$2:$C$301,"&lt;="&amp;A126)</f>
        <v>96</v>
      </c>
      <c r="D126">
        <f>COUNTIFS(Data!$M$2:$M$301,"Train",Data!$C$2:$C$301,"&gt;"&amp;A126)</f>
        <v>27</v>
      </c>
      <c r="E126">
        <f>SUMIFS(Data!$L$2:$L$301,Data!$M$2:$M$301,"Train",Data!$C$2:$C$301,"&gt;"&amp;A126)</f>
        <v>14</v>
      </c>
      <c r="F126">
        <f t="shared" si="7"/>
        <v>0.49879064767535608</v>
      </c>
      <c r="G126">
        <f t="shared" si="8"/>
        <v>0.4993141289437586</v>
      </c>
      <c r="H126">
        <f t="shared" si="9"/>
        <v>0.49885795240986497</v>
      </c>
      <c r="I126">
        <f t="shared" si="10"/>
        <v>1</v>
      </c>
      <c r="J126">
        <f t="shared" si="11"/>
        <v>0.49885795240986497</v>
      </c>
    </row>
    <row r="127" spans="1:10" x14ac:dyDescent="0.2">
      <c r="A127">
        <f>Data!C127</f>
        <v>25</v>
      </c>
      <c r="B127">
        <f>COUNTIFS(Data!$M$2:$M$301,"Train",Data!$C$2:$C$301,"&lt;="&amp;A127)</f>
        <v>20</v>
      </c>
      <c r="C127">
        <f>SUMIFS(Data!$L$2:$L$301,Data!$M$2:$M$301,"Train",Data!$C$2:$C$301,"&lt;="&amp;A127)</f>
        <v>1</v>
      </c>
      <c r="D127">
        <f>COUNTIFS(Data!$M$2:$M$301,"Train",Data!$C$2:$C$301,"&gt;"&amp;A127)</f>
        <v>190</v>
      </c>
      <c r="E127">
        <f>SUMIFS(Data!$L$2:$L$301,Data!$M$2:$M$301,"Train",Data!$C$2:$C$301,"&gt;"&amp;A127)</f>
        <v>109</v>
      </c>
      <c r="F127">
        <f t="shared" si="7"/>
        <v>9.5000000000000084E-2</v>
      </c>
      <c r="G127">
        <f t="shared" si="8"/>
        <v>0.48914127423822717</v>
      </c>
      <c r="H127">
        <f t="shared" si="9"/>
        <v>0.45160401002506273</v>
      </c>
      <c r="I127">
        <f t="shared" si="10"/>
        <v>1</v>
      </c>
      <c r="J127">
        <f t="shared" si="11"/>
        <v>0.45160401002506273</v>
      </c>
    </row>
    <row r="128" spans="1:10" x14ac:dyDescent="0.2">
      <c r="A128">
        <f>Data!C128</f>
        <v>49</v>
      </c>
      <c r="B128">
        <f>COUNTIFS(Data!$M$2:$M$301,"Train",Data!$C$2:$C$301,"&lt;="&amp;A128)</f>
        <v>143</v>
      </c>
      <c r="C128">
        <f>SUMIFS(Data!$L$2:$L$301,Data!$M$2:$M$301,"Train",Data!$C$2:$C$301,"&lt;="&amp;A128)</f>
        <v>70</v>
      </c>
      <c r="D128">
        <f>COUNTIFS(Data!$M$2:$M$301,"Train",Data!$C$2:$C$301,"&gt;"&amp;A128)</f>
        <v>67</v>
      </c>
      <c r="E128">
        <f>SUMIFS(Data!$L$2:$L$301,Data!$M$2:$M$301,"Train",Data!$C$2:$C$301,"&gt;"&amp;A128)</f>
        <v>40</v>
      </c>
      <c r="F128">
        <f t="shared" si="7"/>
        <v>0.49977994033938095</v>
      </c>
      <c r="G128">
        <f t="shared" si="8"/>
        <v>0.48117620850969045</v>
      </c>
      <c r="H128">
        <f t="shared" si="9"/>
        <v>0.49384446399371779</v>
      </c>
      <c r="I128">
        <f t="shared" si="10"/>
        <v>1</v>
      </c>
      <c r="J128">
        <f t="shared" si="11"/>
        <v>0.49384446399371779</v>
      </c>
    </row>
    <row r="129" spans="1:10" x14ac:dyDescent="0.2">
      <c r="A129">
        <f>Data!C129</f>
        <v>41</v>
      </c>
      <c r="B129">
        <f>COUNTIFS(Data!$M$2:$M$301,"Train",Data!$C$2:$C$301,"&lt;="&amp;A129)</f>
        <v>99</v>
      </c>
      <c r="C129">
        <f>SUMIFS(Data!$L$2:$L$301,Data!$M$2:$M$301,"Train",Data!$C$2:$C$301,"&lt;="&amp;A129)</f>
        <v>41</v>
      </c>
      <c r="D129">
        <f>COUNTIFS(Data!$M$2:$M$301,"Train",Data!$C$2:$C$301,"&gt;"&amp;A129)</f>
        <v>111</v>
      </c>
      <c r="E129">
        <f>SUMIFS(Data!$L$2:$L$301,Data!$M$2:$M$301,"Train",Data!$C$2:$C$301,"&gt;"&amp;A129)</f>
        <v>69</v>
      </c>
      <c r="F129">
        <f t="shared" si="7"/>
        <v>0.48525660646872776</v>
      </c>
      <c r="G129">
        <f t="shared" si="8"/>
        <v>0.47041636230825423</v>
      </c>
      <c r="H129">
        <f t="shared" si="9"/>
        <v>0.47741247741247744</v>
      </c>
      <c r="I129">
        <f t="shared" si="10"/>
        <v>1</v>
      </c>
      <c r="J129">
        <f t="shared" si="11"/>
        <v>0.47741247741247744</v>
      </c>
    </row>
    <row r="130" spans="1:10" x14ac:dyDescent="0.2">
      <c r="A130">
        <f>Data!C130</f>
        <v>38</v>
      </c>
      <c r="B130">
        <f>COUNTIFS(Data!$M$2:$M$301,"Train",Data!$C$2:$C$301,"&lt;="&amp;A130)</f>
        <v>81</v>
      </c>
      <c r="C130">
        <f>SUMIFS(Data!$L$2:$L$301,Data!$M$2:$M$301,"Train",Data!$C$2:$C$301,"&lt;="&amp;A130)</f>
        <v>32</v>
      </c>
      <c r="D130">
        <f>COUNTIFS(Data!$M$2:$M$301,"Train",Data!$C$2:$C$301,"&gt;"&amp;A130)</f>
        <v>129</v>
      </c>
      <c r="E130">
        <f>SUMIFS(Data!$L$2:$L$301,Data!$M$2:$M$301,"Train",Data!$C$2:$C$301,"&gt;"&amp;A130)</f>
        <v>78</v>
      </c>
      <c r="F130">
        <f t="shared" ref="F130:F193" si="13">IF(B130=0,0,1-(C130/B130)^2-(1-C130/B130)^2)</f>
        <v>0.47797591830513642</v>
      </c>
      <c r="G130">
        <f t="shared" ref="G130:G193" si="14">IF(D130=0,0,1-(E130/D130)^2-(1-E130/D130)^2)</f>
        <v>0.4780962682531098</v>
      </c>
      <c r="H130">
        <f t="shared" ref="H130:H193" si="15">IF(B130+D130=0,1,(B130*F130+D130*G130)/(B130+D130))</f>
        <v>0.47804984755889152</v>
      </c>
      <c r="I130">
        <f t="shared" ref="I130:I193" si="16">IF(AND(B130&gt;0,D130&gt;0),1,0)</f>
        <v>1</v>
      </c>
      <c r="J130">
        <f t="shared" ref="J130:J193" si="17">IF(I130=1,H130,1E+99)</f>
        <v>0.47804984755889152</v>
      </c>
    </row>
    <row r="131" spans="1:10" x14ac:dyDescent="0.2">
      <c r="A131">
        <f>Data!C131</f>
        <v>61</v>
      </c>
      <c r="B131">
        <f>COUNTIFS(Data!$M$2:$M$301,"Train",Data!$C$2:$C$301,"&lt;="&amp;A131)</f>
        <v>198</v>
      </c>
      <c r="C131">
        <f>SUMIFS(Data!$L$2:$L$301,Data!$M$2:$M$301,"Train",Data!$C$2:$C$301,"&lt;="&amp;A131)</f>
        <v>106</v>
      </c>
      <c r="D131">
        <f>COUNTIFS(Data!$M$2:$M$301,"Train",Data!$C$2:$C$301,"&gt;"&amp;A131)</f>
        <v>12</v>
      </c>
      <c r="E131">
        <f>SUMIFS(Data!$L$2:$L$301,Data!$M$2:$M$301,"Train",Data!$C$2:$C$301,"&gt;"&amp;A131)</f>
        <v>4</v>
      </c>
      <c r="F131">
        <f t="shared" si="13"/>
        <v>0.49750025507601259</v>
      </c>
      <c r="G131">
        <f t="shared" si="14"/>
        <v>0.44444444444444431</v>
      </c>
      <c r="H131">
        <f t="shared" si="15"/>
        <v>0.49446849446849439</v>
      </c>
      <c r="I131">
        <f t="shared" si="16"/>
        <v>1</v>
      </c>
      <c r="J131">
        <f t="shared" si="17"/>
        <v>0.49446849446849439</v>
      </c>
    </row>
    <row r="132" spans="1:10" x14ac:dyDescent="0.2">
      <c r="A132">
        <f>Data!C132</f>
        <v>49</v>
      </c>
      <c r="B132">
        <f>COUNTIFS(Data!$M$2:$M$301,"Train",Data!$C$2:$C$301,"&lt;="&amp;A132)</f>
        <v>143</v>
      </c>
      <c r="C132">
        <f>SUMIFS(Data!$L$2:$L$301,Data!$M$2:$M$301,"Train",Data!$C$2:$C$301,"&lt;="&amp;A132)</f>
        <v>70</v>
      </c>
      <c r="D132">
        <f>COUNTIFS(Data!$M$2:$M$301,"Train",Data!$C$2:$C$301,"&gt;"&amp;A132)</f>
        <v>67</v>
      </c>
      <c r="E132">
        <f>SUMIFS(Data!$L$2:$L$301,Data!$M$2:$M$301,"Train",Data!$C$2:$C$301,"&gt;"&amp;A132)</f>
        <v>40</v>
      </c>
      <c r="F132">
        <f t="shared" si="13"/>
        <v>0.49977994033938095</v>
      </c>
      <c r="G132">
        <f t="shared" si="14"/>
        <v>0.48117620850969045</v>
      </c>
      <c r="H132">
        <f t="shared" si="15"/>
        <v>0.49384446399371779</v>
      </c>
      <c r="I132">
        <f t="shared" si="16"/>
        <v>1</v>
      </c>
      <c r="J132">
        <f t="shared" si="17"/>
        <v>0.49384446399371779</v>
      </c>
    </row>
    <row r="133" spans="1:10" x14ac:dyDescent="0.2">
      <c r="A133">
        <f>Data!C133</f>
        <v>52</v>
      </c>
      <c r="B133">
        <f>COUNTIFS(Data!$M$2:$M$301,"Train",Data!$C$2:$C$301,"&lt;="&amp;A133)</f>
        <v>160</v>
      </c>
      <c r="C133">
        <f>SUMIFS(Data!$L$2:$L$301,Data!$M$2:$M$301,"Train",Data!$C$2:$C$301,"&lt;="&amp;A133)</f>
        <v>81</v>
      </c>
      <c r="D133">
        <f>COUNTIFS(Data!$M$2:$M$301,"Train",Data!$C$2:$C$301,"&gt;"&amp;A133)</f>
        <v>50</v>
      </c>
      <c r="E133">
        <f>SUMIFS(Data!$L$2:$L$301,Data!$M$2:$M$301,"Train",Data!$C$2:$C$301,"&gt;"&amp;A133)</f>
        <v>29</v>
      </c>
      <c r="F133">
        <f t="shared" si="13"/>
        <v>0.49992187499999996</v>
      </c>
      <c r="G133">
        <f t="shared" si="14"/>
        <v>0.48719999999999997</v>
      </c>
      <c r="H133">
        <f t="shared" si="15"/>
        <v>0.49689285714285714</v>
      </c>
      <c r="I133">
        <f t="shared" si="16"/>
        <v>1</v>
      </c>
      <c r="J133">
        <f t="shared" si="17"/>
        <v>0.49689285714285714</v>
      </c>
    </row>
    <row r="134" spans="1:10" x14ac:dyDescent="0.2">
      <c r="A134">
        <f>Data!C134</f>
        <v>43</v>
      </c>
      <c r="B134">
        <f>COUNTIFS(Data!$M$2:$M$301,"Train",Data!$C$2:$C$301,"&lt;="&amp;A134)</f>
        <v>113</v>
      </c>
      <c r="C134">
        <f>SUMIFS(Data!$L$2:$L$301,Data!$M$2:$M$301,"Train",Data!$C$2:$C$301,"&lt;="&amp;A134)</f>
        <v>48</v>
      </c>
      <c r="D134">
        <f>COUNTIFS(Data!$M$2:$M$301,"Train",Data!$C$2:$C$301,"&gt;"&amp;A134)</f>
        <v>97</v>
      </c>
      <c r="E134">
        <f>SUMIFS(Data!$L$2:$L$301,Data!$M$2:$M$301,"Train",Data!$C$2:$C$301,"&gt;"&amp;A134)</f>
        <v>62</v>
      </c>
      <c r="F134">
        <f t="shared" si="13"/>
        <v>0.48868353042524865</v>
      </c>
      <c r="G134">
        <f t="shared" si="14"/>
        <v>0.46126049527048574</v>
      </c>
      <c r="H134">
        <f t="shared" si="15"/>
        <v>0.47601669990138196</v>
      </c>
      <c r="I134">
        <f t="shared" si="16"/>
        <v>1</v>
      </c>
      <c r="J134">
        <f t="shared" si="17"/>
        <v>0.47601669990138196</v>
      </c>
    </row>
    <row r="135" spans="1:10" x14ac:dyDescent="0.2">
      <c r="A135">
        <f>Data!C135</f>
        <v>60</v>
      </c>
      <c r="B135">
        <f>COUNTIFS(Data!$M$2:$M$301,"Train",Data!$C$2:$C$301,"&lt;="&amp;A135)</f>
        <v>194</v>
      </c>
      <c r="C135">
        <f>SUMIFS(Data!$L$2:$L$301,Data!$M$2:$M$301,"Train",Data!$C$2:$C$301,"&lt;="&amp;A135)</f>
        <v>104</v>
      </c>
      <c r="D135">
        <f>COUNTIFS(Data!$M$2:$M$301,"Train",Data!$C$2:$C$301,"&gt;"&amp;A135)</f>
        <v>16</v>
      </c>
      <c r="E135">
        <f>SUMIFS(Data!$L$2:$L$301,Data!$M$2:$M$301,"Train",Data!$C$2:$C$301,"&gt;"&amp;A135)</f>
        <v>6</v>
      </c>
      <c r="F135">
        <f t="shared" si="13"/>
        <v>0.49739611010734408</v>
      </c>
      <c r="G135">
        <f t="shared" si="14"/>
        <v>0.46875</v>
      </c>
      <c r="H135">
        <f t="shared" si="15"/>
        <v>0.49521354933726075</v>
      </c>
      <c r="I135">
        <f t="shared" si="16"/>
        <v>1</v>
      </c>
      <c r="J135">
        <f t="shared" si="17"/>
        <v>0.49521354933726075</v>
      </c>
    </row>
    <row r="136" spans="1:10" x14ac:dyDescent="0.2">
      <c r="A136">
        <f>Data!C136</f>
        <v>46</v>
      </c>
      <c r="B136">
        <f>COUNTIFS(Data!$M$2:$M$301,"Train",Data!$C$2:$C$301,"&lt;="&amp;A136)</f>
        <v>128</v>
      </c>
      <c r="C136">
        <f>SUMIFS(Data!$L$2:$L$301,Data!$M$2:$M$301,"Train",Data!$C$2:$C$301,"&lt;="&amp;A136)</f>
        <v>56</v>
      </c>
      <c r="D136">
        <f>COUNTIFS(Data!$M$2:$M$301,"Train",Data!$C$2:$C$301,"&gt;"&amp;A136)</f>
        <v>82</v>
      </c>
      <c r="E136">
        <f>SUMIFS(Data!$L$2:$L$301,Data!$M$2:$M$301,"Train",Data!$C$2:$C$301,"&gt;"&amp;A136)</f>
        <v>54</v>
      </c>
      <c r="F136">
        <f t="shared" si="13"/>
        <v>0.4921875</v>
      </c>
      <c r="G136">
        <f t="shared" si="14"/>
        <v>0.44973230220107069</v>
      </c>
      <c r="H136">
        <f t="shared" si="15"/>
        <v>0.47560975609756095</v>
      </c>
      <c r="I136">
        <f t="shared" si="16"/>
        <v>1</v>
      </c>
      <c r="J136">
        <f t="shared" si="17"/>
        <v>0.47560975609756095</v>
      </c>
    </row>
    <row r="137" spans="1:10" x14ac:dyDescent="0.2">
      <c r="A137">
        <f>Data!C137</f>
        <v>21</v>
      </c>
      <c r="B137">
        <f>COUNTIFS(Data!$M$2:$M$301,"Train",Data!$C$2:$C$301,"&lt;="&amp;A137)</f>
        <v>4</v>
      </c>
      <c r="C137">
        <f>SUMIFS(Data!$L$2:$L$301,Data!$M$2:$M$301,"Train",Data!$C$2:$C$301,"&lt;="&amp;A137)</f>
        <v>0</v>
      </c>
      <c r="D137">
        <f>COUNTIFS(Data!$M$2:$M$301,"Train",Data!$C$2:$C$301,"&gt;"&amp;A137)</f>
        <v>206</v>
      </c>
      <c r="E137">
        <f>SUMIFS(Data!$L$2:$L$301,Data!$M$2:$M$301,"Train",Data!$C$2:$C$301,"&gt;"&amp;A137)</f>
        <v>110</v>
      </c>
      <c r="F137">
        <f t="shared" si="13"/>
        <v>0</v>
      </c>
      <c r="G137">
        <f t="shared" si="14"/>
        <v>0.49769064002262237</v>
      </c>
      <c r="H137">
        <f t="shared" si="15"/>
        <v>0.48821081830790575</v>
      </c>
      <c r="I137">
        <f t="shared" si="16"/>
        <v>1</v>
      </c>
      <c r="J137">
        <f t="shared" si="17"/>
        <v>0.48821081830790575</v>
      </c>
    </row>
    <row r="138" spans="1:10" x14ac:dyDescent="0.2">
      <c r="A138">
        <f>Data!C138</f>
        <v>61</v>
      </c>
      <c r="B138">
        <f>COUNTIFS(Data!$M$2:$M$301,"Train",Data!$C$2:$C$301,"&lt;="&amp;A138)</f>
        <v>198</v>
      </c>
      <c r="C138">
        <f>SUMIFS(Data!$L$2:$L$301,Data!$M$2:$M$301,"Train",Data!$C$2:$C$301,"&lt;="&amp;A138)</f>
        <v>106</v>
      </c>
      <c r="D138">
        <f>COUNTIFS(Data!$M$2:$M$301,"Train",Data!$C$2:$C$301,"&gt;"&amp;A138)</f>
        <v>12</v>
      </c>
      <c r="E138">
        <f>SUMIFS(Data!$L$2:$L$301,Data!$M$2:$M$301,"Train",Data!$C$2:$C$301,"&gt;"&amp;A138)</f>
        <v>4</v>
      </c>
      <c r="F138">
        <f t="shared" si="13"/>
        <v>0.49750025507601259</v>
      </c>
      <c r="G138">
        <f t="shared" si="14"/>
        <v>0.44444444444444431</v>
      </c>
      <c r="H138">
        <f t="shared" si="15"/>
        <v>0.49446849446849439</v>
      </c>
      <c r="I138">
        <f t="shared" si="16"/>
        <v>1</v>
      </c>
      <c r="J138">
        <f t="shared" si="17"/>
        <v>0.49446849446849439</v>
      </c>
    </row>
    <row r="139" spans="1:10" x14ac:dyDescent="0.2">
      <c r="A139">
        <f>Data!C139</f>
        <v>32</v>
      </c>
      <c r="B139">
        <f>COUNTIFS(Data!$M$2:$M$301,"Train",Data!$C$2:$C$301,"&lt;="&amp;A139)</f>
        <v>41</v>
      </c>
      <c r="C139">
        <f>SUMIFS(Data!$L$2:$L$301,Data!$M$2:$M$301,"Train",Data!$C$2:$C$301,"&lt;="&amp;A139)</f>
        <v>12</v>
      </c>
      <c r="D139">
        <f>COUNTIFS(Data!$M$2:$M$301,"Train",Data!$C$2:$C$301,"&gt;"&amp;A139)</f>
        <v>169</v>
      </c>
      <c r="E139">
        <f>SUMIFS(Data!$L$2:$L$301,Data!$M$2:$M$301,"Train",Data!$C$2:$C$301,"&gt;"&amp;A139)</f>
        <v>98</v>
      </c>
      <c r="F139">
        <f t="shared" si="13"/>
        <v>0.41403926234384303</v>
      </c>
      <c r="G139">
        <f t="shared" si="14"/>
        <v>0.48723784181226143</v>
      </c>
      <c r="H139">
        <f t="shared" si="15"/>
        <v>0.47294669058271305</v>
      </c>
      <c r="I139">
        <f t="shared" si="16"/>
        <v>1</v>
      </c>
      <c r="J139">
        <f t="shared" si="17"/>
        <v>0.47294669058271305</v>
      </c>
    </row>
    <row r="140" spans="1:10" x14ac:dyDescent="0.2">
      <c r="A140">
        <f>Data!C140</f>
        <v>58</v>
      </c>
      <c r="B140">
        <f>COUNTIFS(Data!$M$2:$M$301,"Train",Data!$C$2:$C$301,"&lt;="&amp;A140)</f>
        <v>188</v>
      </c>
      <c r="C140">
        <f>SUMIFS(Data!$L$2:$L$301,Data!$M$2:$M$301,"Train",Data!$C$2:$C$301,"&lt;="&amp;A140)</f>
        <v>98</v>
      </c>
      <c r="D140">
        <f>COUNTIFS(Data!$M$2:$M$301,"Train",Data!$C$2:$C$301,"&gt;"&amp;A140)</f>
        <v>22</v>
      </c>
      <c r="E140">
        <f>SUMIFS(Data!$L$2:$L$301,Data!$M$2:$M$301,"Train",Data!$C$2:$C$301,"&gt;"&amp;A140)</f>
        <v>12</v>
      </c>
      <c r="F140">
        <f t="shared" si="13"/>
        <v>0.49909461294703483</v>
      </c>
      <c r="G140">
        <f t="shared" si="14"/>
        <v>0.49586776859504139</v>
      </c>
      <c r="H140">
        <f t="shared" si="15"/>
        <v>0.49875656258634982</v>
      </c>
      <c r="I140">
        <f t="shared" si="16"/>
        <v>1</v>
      </c>
      <c r="J140">
        <f t="shared" si="17"/>
        <v>0.49875656258634982</v>
      </c>
    </row>
    <row r="141" spans="1:10" x14ac:dyDescent="0.2">
      <c r="A141">
        <f>Data!C141</f>
        <v>35</v>
      </c>
      <c r="B141">
        <f>COUNTIFS(Data!$M$2:$M$301,"Train",Data!$C$2:$C$301,"&lt;="&amp;A141)</f>
        <v>64</v>
      </c>
      <c r="C141">
        <f>SUMIFS(Data!$L$2:$L$301,Data!$M$2:$M$301,"Train",Data!$C$2:$C$301,"&lt;="&amp;A141)</f>
        <v>22</v>
      </c>
      <c r="D141">
        <f>COUNTIFS(Data!$M$2:$M$301,"Train",Data!$C$2:$C$301,"&gt;"&amp;A141)</f>
        <v>146</v>
      </c>
      <c r="E141">
        <f>SUMIFS(Data!$L$2:$L$301,Data!$M$2:$M$301,"Train",Data!$C$2:$C$301,"&gt;"&amp;A141)</f>
        <v>88</v>
      </c>
      <c r="F141">
        <f t="shared" si="13"/>
        <v>0.451171875</v>
      </c>
      <c r="G141">
        <f t="shared" si="14"/>
        <v>0.47888909739163077</v>
      </c>
      <c r="H141">
        <f t="shared" si="15"/>
        <v>0.47044194390084809</v>
      </c>
      <c r="I141">
        <f t="shared" si="16"/>
        <v>1</v>
      </c>
      <c r="J141">
        <f t="shared" si="17"/>
        <v>0.47044194390084809</v>
      </c>
    </row>
    <row r="142" spans="1:10" x14ac:dyDescent="0.2">
      <c r="A142">
        <f>Data!C142</f>
        <v>26</v>
      </c>
      <c r="B142">
        <f>COUNTIFS(Data!$M$2:$M$301,"Train",Data!$C$2:$C$301,"&lt;="&amp;A142)</f>
        <v>22</v>
      </c>
      <c r="C142">
        <f>SUMIFS(Data!$L$2:$L$301,Data!$M$2:$M$301,"Train",Data!$C$2:$C$301,"&lt;="&amp;A142)</f>
        <v>1</v>
      </c>
      <c r="D142">
        <f>COUNTIFS(Data!$M$2:$M$301,"Train",Data!$C$2:$C$301,"&gt;"&amp;A142)</f>
        <v>188</v>
      </c>
      <c r="E142">
        <f>SUMIFS(Data!$L$2:$L$301,Data!$M$2:$M$301,"Train",Data!$C$2:$C$301,"&gt;"&amp;A142)</f>
        <v>109</v>
      </c>
      <c r="F142">
        <f t="shared" si="13"/>
        <v>8.6776859504132053E-2</v>
      </c>
      <c r="G142">
        <f t="shared" si="14"/>
        <v>0.48726799456767766</v>
      </c>
      <c r="H142">
        <f t="shared" si="15"/>
        <v>0.44531178041816338</v>
      </c>
      <c r="I142">
        <f t="shared" si="16"/>
        <v>1</v>
      </c>
      <c r="J142">
        <f t="shared" si="17"/>
        <v>0.44531178041816338</v>
      </c>
    </row>
    <row r="143" spans="1:10" x14ac:dyDescent="0.2">
      <c r="A143">
        <f>Data!C143</f>
        <v>32</v>
      </c>
      <c r="B143">
        <f>COUNTIFS(Data!$M$2:$M$301,"Train",Data!$C$2:$C$301,"&lt;="&amp;A143)</f>
        <v>41</v>
      </c>
      <c r="C143">
        <f>SUMIFS(Data!$L$2:$L$301,Data!$M$2:$M$301,"Train",Data!$C$2:$C$301,"&lt;="&amp;A143)</f>
        <v>12</v>
      </c>
      <c r="D143">
        <f>COUNTIFS(Data!$M$2:$M$301,"Train",Data!$C$2:$C$301,"&gt;"&amp;A143)</f>
        <v>169</v>
      </c>
      <c r="E143">
        <f>SUMIFS(Data!$L$2:$L$301,Data!$M$2:$M$301,"Train",Data!$C$2:$C$301,"&gt;"&amp;A143)</f>
        <v>98</v>
      </c>
      <c r="F143">
        <f t="shared" si="13"/>
        <v>0.41403926234384303</v>
      </c>
      <c r="G143">
        <f t="shared" si="14"/>
        <v>0.48723784181226143</v>
      </c>
      <c r="H143">
        <f t="shared" si="15"/>
        <v>0.47294669058271305</v>
      </c>
      <c r="I143">
        <f t="shared" si="16"/>
        <v>1</v>
      </c>
      <c r="J143">
        <f t="shared" si="17"/>
        <v>0.47294669058271305</v>
      </c>
    </row>
    <row r="144" spans="1:10" x14ac:dyDescent="0.2">
      <c r="A144">
        <f>Data!C144</f>
        <v>37</v>
      </c>
      <c r="B144">
        <f>COUNTIFS(Data!$M$2:$M$301,"Train",Data!$C$2:$C$301,"&lt;="&amp;A144)</f>
        <v>74</v>
      </c>
      <c r="C144">
        <f>SUMIFS(Data!$L$2:$L$301,Data!$M$2:$M$301,"Train",Data!$C$2:$C$301,"&lt;="&amp;A144)</f>
        <v>26</v>
      </c>
      <c r="D144">
        <f>COUNTIFS(Data!$M$2:$M$301,"Train",Data!$C$2:$C$301,"&gt;"&amp;A144)</f>
        <v>136</v>
      </c>
      <c r="E144">
        <f>SUMIFS(Data!$L$2:$L$301,Data!$M$2:$M$301,"Train",Data!$C$2:$C$301,"&gt;"&amp;A144)</f>
        <v>84</v>
      </c>
      <c r="F144">
        <f t="shared" si="13"/>
        <v>0.45580715850986114</v>
      </c>
      <c r="G144">
        <f t="shared" si="14"/>
        <v>0.47231833910034604</v>
      </c>
      <c r="H144">
        <f t="shared" si="15"/>
        <v>0.46650011355893706</v>
      </c>
      <c r="I144">
        <f t="shared" si="16"/>
        <v>1</v>
      </c>
      <c r="J144">
        <f t="shared" si="17"/>
        <v>0.46650011355893706</v>
      </c>
    </row>
    <row r="145" spans="1:10" x14ac:dyDescent="0.2">
      <c r="A145">
        <f>Data!C145</f>
        <v>22</v>
      </c>
      <c r="B145">
        <f>COUNTIFS(Data!$M$2:$M$301,"Train",Data!$C$2:$C$301,"&lt;="&amp;A145)</f>
        <v>8</v>
      </c>
      <c r="C145">
        <f>SUMIFS(Data!$L$2:$L$301,Data!$M$2:$M$301,"Train",Data!$C$2:$C$301,"&lt;="&amp;A145)</f>
        <v>0</v>
      </c>
      <c r="D145">
        <f>COUNTIFS(Data!$M$2:$M$301,"Train",Data!$C$2:$C$301,"&gt;"&amp;A145)</f>
        <v>202</v>
      </c>
      <c r="E145">
        <f>SUMIFS(Data!$L$2:$L$301,Data!$M$2:$M$301,"Train",Data!$C$2:$C$301,"&gt;"&amp;A145)</f>
        <v>110</v>
      </c>
      <c r="F145">
        <f t="shared" si="13"/>
        <v>0</v>
      </c>
      <c r="G145">
        <f t="shared" si="14"/>
        <v>0.49602980099990202</v>
      </c>
      <c r="H145">
        <f t="shared" si="15"/>
        <v>0.47713342762847716</v>
      </c>
      <c r="I145">
        <f t="shared" si="16"/>
        <v>1</v>
      </c>
      <c r="J145">
        <f t="shared" si="17"/>
        <v>0.47713342762847716</v>
      </c>
    </row>
    <row r="146" spans="1:10" x14ac:dyDescent="0.2">
      <c r="A146">
        <f>Data!C146</f>
        <v>51</v>
      </c>
      <c r="B146">
        <f>COUNTIFS(Data!$M$2:$M$301,"Train",Data!$C$2:$C$301,"&lt;="&amp;A146)</f>
        <v>155</v>
      </c>
      <c r="C146">
        <f>SUMIFS(Data!$L$2:$L$301,Data!$M$2:$M$301,"Train",Data!$C$2:$C$301,"&lt;="&amp;A146)</f>
        <v>77</v>
      </c>
      <c r="D146">
        <f>COUNTIFS(Data!$M$2:$M$301,"Train",Data!$C$2:$C$301,"&gt;"&amp;A146)</f>
        <v>55</v>
      </c>
      <c r="E146">
        <f>SUMIFS(Data!$L$2:$L$301,Data!$M$2:$M$301,"Train",Data!$C$2:$C$301,"&gt;"&amp;A146)</f>
        <v>33</v>
      </c>
      <c r="F146">
        <f t="shared" si="13"/>
        <v>0.49997918834547356</v>
      </c>
      <c r="G146">
        <f t="shared" si="14"/>
        <v>0.48</v>
      </c>
      <c r="H146">
        <f t="shared" si="15"/>
        <v>0.49474654377880189</v>
      </c>
      <c r="I146">
        <f t="shared" si="16"/>
        <v>1</v>
      </c>
      <c r="J146">
        <f t="shared" si="17"/>
        <v>0.49474654377880189</v>
      </c>
    </row>
    <row r="147" spans="1:10" x14ac:dyDescent="0.2">
      <c r="A147">
        <f>Data!C147</f>
        <v>44</v>
      </c>
      <c r="B147">
        <f>COUNTIFS(Data!$M$2:$M$301,"Train",Data!$C$2:$C$301,"&lt;="&amp;A147)</f>
        <v>119</v>
      </c>
      <c r="C147">
        <f>SUMIFS(Data!$L$2:$L$301,Data!$M$2:$M$301,"Train",Data!$C$2:$C$301,"&lt;="&amp;A147)</f>
        <v>52</v>
      </c>
      <c r="D147">
        <f>COUNTIFS(Data!$M$2:$M$301,"Train",Data!$C$2:$C$301,"&gt;"&amp;A147)</f>
        <v>91</v>
      </c>
      <c r="E147">
        <f>SUMIFS(Data!$L$2:$L$301,Data!$M$2:$M$301,"Train",Data!$C$2:$C$301,"&gt;"&amp;A147)</f>
        <v>58</v>
      </c>
      <c r="F147">
        <f t="shared" si="13"/>
        <v>0.49205564578772693</v>
      </c>
      <c r="G147">
        <f t="shared" si="14"/>
        <v>0.46226301171356127</v>
      </c>
      <c r="H147">
        <f t="shared" si="15"/>
        <v>0.47914550435558845</v>
      </c>
      <c r="I147">
        <f t="shared" si="16"/>
        <v>1</v>
      </c>
      <c r="J147">
        <f t="shared" si="17"/>
        <v>0.47914550435558845</v>
      </c>
    </row>
    <row r="148" spans="1:10" x14ac:dyDescent="0.2">
      <c r="A148">
        <f>Data!C148</f>
        <v>35</v>
      </c>
      <c r="B148">
        <f>COUNTIFS(Data!$M$2:$M$301,"Train",Data!$C$2:$C$301,"&lt;="&amp;A148)</f>
        <v>64</v>
      </c>
      <c r="C148">
        <f>SUMIFS(Data!$L$2:$L$301,Data!$M$2:$M$301,"Train",Data!$C$2:$C$301,"&lt;="&amp;A148)</f>
        <v>22</v>
      </c>
      <c r="D148">
        <f>COUNTIFS(Data!$M$2:$M$301,"Train",Data!$C$2:$C$301,"&gt;"&amp;A148)</f>
        <v>146</v>
      </c>
      <c r="E148">
        <f>SUMIFS(Data!$L$2:$L$301,Data!$M$2:$M$301,"Train",Data!$C$2:$C$301,"&gt;"&amp;A148)</f>
        <v>88</v>
      </c>
      <c r="F148">
        <f t="shared" si="13"/>
        <v>0.451171875</v>
      </c>
      <c r="G148">
        <f t="shared" si="14"/>
        <v>0.47888909739163077</v>
      </c>
      <c r="H148">
        <f t="shared" si="15"/>
        <v>0.47044194390084809</v>
      </c>
      <c r="I148">
        <f t="shared" si="16"/>
        <v>1</v>
      </c>
      <c r="J148">
        <f t="shared" si="17"/>
        <v>0.47044194390084809</v>
      </c>
    </row>
    <row r="149" spans="1:10" x14ac:dyDescent="0.2">
      <c r="A149">
        <f>Data!C149</f>
        <v>60</v>
      </c>
      <c r="B149">
        <f>COUNTIFS(Data!$M$2:$M$301,"Train",Data!$C$2:$C$301,"&lt;="&amp;A149)</f>
        <v>194</v>
      </c>
      <c r="C149">
        <f>SUMIFS(Data!$L$2:$L$301,Data!$M$2:$M$301,"Train",Data!$C$2:$C$301,"&lt;="&amp;A149)</f>
        <v>104</v>
      </c>
      <c r="D149">
        <f>COUNTIFS(Data!$M$2:$M$301,"Train",Data!$C$2:$C$301,"&gt;"&amp;A149)</f>
        <v>16</v>
      </c>
      <c r="E149">
        <f>SUMIFS(Data!$L$2:$L$301,Data!$M$2:$M$301,"Train",Data!$C$2:$C$301,"&gt;"&amp;A149)</f>
        <v>6</v>
      </c>
      <c r="F149">
        <f t="shared" si="13"/>
        <v>0.49739611010734408</v>
      </c>
      <c r="G149">
        <f t="shared" si="14"/>
        <v>0.46875</v>
      </c>
      <c r="H149">
        <f t="shared" si="15"/>
        <v>0.49521354933726075</v>
      </c>
      <c r="I149">
        <f t="shared" si="16"/>
        <v>1</v>
      </c>
      <c r="J149">
        <f t="shared" si="17"/>
        <v>0.49521354933726075</v>
      </c>
    </row>
    <row r="150" spans="1:10" x14ac:dyDescent="0.2">
      <c r="A150">
        <f>Data!C150</f>
        <v>40</v>
      </c>
      <c r="B150">
        <f>COUNTIFS(Data!$M$2:$M$301,"Train",Data!$C$2:$C$301,"&lt;="&amp;A150)</f>
        <v>95</v>
      </c>
      <c r="C150">
        <f>SUMIFS(Data!$L$2:$L$301,Data!$M$2:$M$301,"Train",Data!$C$2:$C$301,"&lt;="&amp;A150)</f>
        <v>40</v>
      </c>
      <c r="D150">
        <f>COUNTIFS(Data!$M$2:$M$301,"Train",Data!$C$2:$C$301,"&gt;"&amp;A150)</f>
        <v>115</v>
      </c>
      <c r="E150">
        <f>SUMIFS(Data!$L$2:$L$301,Data!$M$2:$M$301,"Train",Data!$C$2:$C$301,"&gt;"&amp;A150)</f>
        <v>70</v>
      </c>
      <c r="F150">
        <f t="shared" si="13"/>
        <v>0.48753462603878117</v>
      </c>
      <c r="G150">
        <f t="shared" si="14"/>
        <v>0.47637051039697548</v>
      </c>
      <c r="H150">
        <f t="shared" si="15"/>
        <v>0.48142094366350663</v>
      </c>
      <c r="I150">
        <f t="shared" si="16"/>
        <v>1</v>
      </c>
      <c r="J150">
        <f t="shared" si="17"/>
        <v>0.48142094366350663</v>
      </c>
    </row>
    <row r="151" spans="1:10" x14ac:dyDescent="0.2">
      <c r="A151">
        <f>Data!C151</f>
        <v>35</v>
      </c>
      <c r="B151">
        <f>COUNTIFS(Data!$M$2:$M$301,"Train",Data!$C$2:$C$301,"&lt;="&amp;A151)</f>
        <v>64</v>
      </c>
      <c r="C151">
        <f>SUMIFS(Data!$L$2:$L$301,Data!$M$2:$M$301,"Train",Data!$C$2:$C$301,"&lt;="&amp;A151)</f>
        <v>22</v>
      </c>
      <c r="D151">
        <f>COUNTIFS(Data!$M$2:$M$301,"Train",Data!$C$2:$C$301,"&gt;"&amp;A151)</f>
        <v>146</v>
      </c>
      <c r="E151">
        <f>SUMIFS(Data!$L$2:$L$301,Data!$M$2:$M$301,"Train",Data!$C$2:$C$301,"&gt;"&amp;A151)</f>
        <v>88</v>
      </c>
      <c r="F151">
        <f t="shared" si="13"/>
        <v>0.451171875</v>
      </c>
      <c r="G151">
        <f t="shared" si="14"/>
        <v>0.47888909739163077</v>
      </c>
      <c r="H151">
        <f t="shared" si="15"/>
        <v>0.47044194390084809</v>
      </c>
      <c r="I151">
        <f t="shared" si="16"/>
        <v>1</v>
      </c>
      <c r="J151">
        <f t="shared" si="17"/>
        <v>0.47044194390084809</v>
      </c>
    </row>
    <row r="152" spans="1:10" x14ac:dyDescent="0.2">
      <c r="A152">
        <f>Data!C152</f>
        <v>35</v>
      </c>
      <c r="B152">
        <f>COUNTIFS(Data!$M$2:$M$301,"Train",Data!$C$2:$C$301,"&lt;="&amp;A152)</f>
        <v>64</v>
      </c>
      <c r="C152">
        <f>SUMIFS(Data!$L$2:$L$301,Data!$M$2:$M$301,"Train",Data!$C$2:$C$301,"&lt;="&amp;A152)</f>
        <v>22</v>
      </c>
      <c r="D152">
        <f>COUNTIFS(Data!$M$2:$M$301,"Train",Data!$C$2:$C$301,"&gt;"&amp;A152)</f>
        <v>146</v>
      </c>
      <c r="E152">
        <f>SUMIFS(Data!$L$2:$L$301,Data!$M$2:$M$301,"Train",Data!$C$2:$C$301,"&gt;"&amp;A152)</f>
        <v>88</v>
      </c>
      <c r="F152">
        <f t="shared" si="13"/>
        <v>0.451171875</v>
      </c>
      <c r="G152">
        <f t="shared" si="14"/>
        <v>0.47888909739163077</v>
      </c>
      <c r="H152">
        <f t="shared" si="15"/>
        <v>0.47044194390084809</v>
      </c>
      <c r="I152">
        <f t="shared" si="16"/>
        <v>1</v>
      </c>
      <c r="J152">
        <f t="shared" si="17"/>
        <v>0.47044194390084809</v>
      </c>
    </row>
    <row r="153" spans="1:10" x14ac:dyDescent="0.2">
      <c r="A153">
        <f>Data!C153</f>
        <v>47</v>
      </c>
      <c r="B153">
        <f>COUNTIFS(Data!$M$2:$M$301,"Train",Data!$C$2:$C$301,"&lt;="&amp;A153)</f>
        <v>132</v>
      </c>
      <c r="C153">
        <f>SUMIFS(Data!$L$2:$L$301,Data!$M$2:$M$301,"Train",Data!$C$2:$C$301,"&lt;="&amp;A153)</f>
        <v>60</v>
      </c>
      <c r="D153">
        <f>COUNTIFS(Data!$M$2:$M$301,"Train",Data!$C$2:$C$301,"&gt;"&amp;A153)</f>
        <v>78</v>
      </c>
      <c r="E153">
        <f>SUMIFS(Data!$L$2:$L$301,Data!$M$2:$M$301,"Train",Data!$C$2:$C$301,"&gt;"&amp;A153)</f>
        <v>50</v>
      </c>
      <c r="F153">
        <f t="shared" si="13"/>
        <v>0.49586776859504139</v>
      </c>
      <c r="G153">
        <f t="shared" si="14"/>
        <v>0.46022353714661407</v>
      </c>
      <c r="H153">
        <f t="shared" si="15"/>
        <v>0.48262848262848268</v>
      </c>
      <c r="I153">
        <f t="shared" si="16"/>
        <v>1</v>
      </c>
      <c r="J153">
        <f t="shared" si="17"/>
        <v>0.48262848262848268</v>
      </c>
    </row>
    <row r="154" spans="1:10" x14ac:dyDescent="0.2">
      <c r="A154">
        <f>Data!C154</f>
        <v>43</v>
      </c>
      <c r="B154">
        <f>COUNTIFS(Data!$M$2:$M$301,"Train",Data!$C$2:$C$301,"&lt;="&amp;A154)</f>
        <v>113</v>
      </c>
      <c r="C154">
        <f>SUMIFS(Data!$L$2:$L$301,Data!$M$2:$M$301,"Train",Data!$C$2:$C$301,"&lt;="&amp;A154)</f>
        <v>48</v>
      </c>
      <c r="D154">
        <f>COUNTIFS(Data!$M$2:$M$301,"Train",Data!$C$2:$C$301,"&gt;"&amp;A154)</f>
        <v>97</v>
      </c>
      <c r="E154">
        <f>SUMIFS(Data!$L$2:$L$301,Data!$M$2:$M$301,"Train",Data!$C$2:$C$301,"&gt;"&amp;A154)</f>
        <v>62</v>
      </c>
      <c r="F154">
        <f t="shared" si="13"/>
        <v>0.48868353042524865</v>
      </c>
      <c r="G154">
        <f t="shared" si="14"/>
        <v>0.46126049527048574</v>
      </c>
      <c r="H154">
        <f t="shared" si="15"/>
        <v>0.47601669990138196</v>
      </c>
      <c r="I154">
        <f t="shared" si="16"/>
        <v>1</v>
      </c>
      <c r="J154">
        <f t="shared" si="17"/>
        <v>0.47601669990138196</v>
      </c>
    </row>
    <row r="155" spans="1:10" x14ac:dyDescent="0.2">
      <c r="A155">
        <f>Data!C155</f>
        <v>33</v>
      </c>
      <c r="B155">
        <f>COUNTIFS(Data!$M$2:$M$301,"Train",Data!$C$2:$C$301,"&lt;="&amp;A155)</f>
        <v>47</v>
      </c>
      <c r="C155">
        <f>SUMIFS(Data!$L$2:$L$301,Data!$M$2:$M$301,"Train",Data!$C$2:$C$301,"&lt;="&amp;A155)</f>
        <v>14</v>
      </c>
      <c r="D155">
        <f>COUNTIFS(Data!$M$2:$M$301,"Train",Data!$C$2:$C$301,"&gt;"&amp;A155)</f>
        <v>163</v>
      </c>
      <c r="E155">
        <f>SUMIFS(Data!$L$2:$L$301,Data!$M$2:$M$301,"Train",Data!$C$2:$C$301,"&gt;"&amp;A155)</f>
        <v>96</v>
      </c>
      <c r="F155">
        <f t="shared" si="13"/>
        <v>0.41828881846989585</v>
      </c>
      <c r="G155">
        <f t="shared" si="14"/>
        <v>0.48417328465504905</v>
      </c>
      <c r="H155">
        <f t="shared" si="15"/>
        <v>0.46942771365170516</v>
      </c>
      <c r="I155">
        <f t="shared" si="16"/>
        <v>1</v>
      </c>
      <c r="J155">
        <f t="shared" si="17"/>
        <v>0.46942771365170516</v>
      </c>
    </row>
    <row r="156" spans="1:10" x14ac:dyDescent="0.2">
      <c r="A156">
        <f>Data!C156</f>
        <v>60</v>
      </c>
      <c r="B156">
        <f>COUNTIFS(Data!$M$2:$M$301,"Train",Data!$C$2:$C$301,"&lt;="&amp;A156)</f>
        <v>194</v>
      </c>
      <c r="C156">
        <f>SUMIFS(Data!$L$2:$L$301,Data!$M$2:$M$301,"Train",Data!$C$2:$C$301,"&lt;="&amp;A156)</f>
        <v>104</v>
      </c>
      <c r="D156">
        <f>COUNTIFS(Data!$M$2:$M$301,"Train",Data!$C$2:$C$301,"&gt;"&amp;A156)</f>
        <v>16</v>
      </c>
      <c r="E156">
        <f>SUMIFS(Data!$L$2:$L$301,Data!$M$2:$M$301,"Train",Data!$C$2:$C$301,"&gt;"&amp;A156)</f>
        <v>6</v>
      </c>
      <c r="F156">
        <f t="shared" si="13"/>
        <v>0.49739611010734408</v>
      </c>
      <c r="G156">
        <f t="shared" si="14"/>
        <v>0.46875</v>
      </c>
      <c r="H156">
        <f t="shared" si="15"/>
        <v>0.49521354933726075</v>
      </c>
      <c r="I156">
        <f t="shared" si="16"/>
        <v>1</v>
      </c>
      <c r="J156">
        <f t="shared" si="17"/>
        <v>0.49521354933726075</v>
      </c>
    </row>
    <row r="157" spans="1:10" x14ac:dyDescent="0.2">
      <c r="A157">
        <f>Data!C157</f>
        <v>38</v>
      </c>
      <c r="B157">
        <f>COUNTIFS(Data!$M$2:$M$301,"Train",Data!$C$2:$C$301,"&lt;="&amp;A157)</f>
        <v>81</v>
      </c>
      <c r="C157">
        <f>SUMIFS(Data!$L$2:$L$301,Data!$M$2:$M$301,"Train",Data!$C$2:$C$301,"&lt;="&amp;A157)</f>
        <v>32</v>
      </c>
      <c r="D157">
        <f>COUNTIFS(Data!$M$2:$M$301,"Train",Data!$C$2:$C$301,"&gt;"&amp;A157)</f>
        <v>129</v>
      </c>
      <c r="E157">
        <f>SUMIFS(Data!$L$2:$L$301,Data!$M$2:$M$301,"Train",Data!$C$2:$C$301,"&gt;"&amp;A157)</f>
        <v>78</v>
      </c>
      <c r="F157">
        <f t="shared" si="13"/>
        <v>0.47797591830513642</v>
      </c>
      <c r="G157">
        <f t="shared" si="14"/>
        <v>0.4780962682531098</v>
      </c>
      <c r="H157">
        <f t="shared" si="15"/>
        <v>0.47804984755889152</v>
      </c>
      <c r="I157">
        <f t="shared" si="16"/>
        <v>1</v>
      </c>
      <c r="J157">
        <f t="shared" si="17"/>
        <v>0.47804984755889152</v>
      </c>
    </row>
    <row r="158" spans="1:10" x14ac:dyDescent="0.2">
      <c r="A158">
        <f>Data!C158</f>
        <v>53</v>
      </c>
      <c r="B158">
        <f>COUNTIFS(Data!$M$2:$M$301,"Train",Data!$C$2:$C$301,"&lt;="&amp;A158)</f>
        <v>164</v>
      </c>
      <c r="C158">
        <f>SUMIFS(Data!$L$2:$L$301,Data!$M$2:$M$301,"Train",Data!$C$2:$C$301,"&lt;="&amp;A158)</f>
        <v>83</v>
      </c>
      <c r="D158">
        <f>COUNTIFS(Data!$M$2:$M$301,"Train",Data!$C$2:$C$301,"&gt;"&amp;A158)</f>
        <v>46</v>
      </c>
      <c r="E158">
        <f>SUMIFS(Data!$L$2:$L$301,Data!$M$2:$M$301,"Train",Data!$C$2:$C$301,"&gt;"&amp;A158)</f>
        <v>27</v>
      </c>
      <c r="F158">
        <f t="shared" si="13"/>
        <v>0.49992563950029739</v>
      </c>
      <c r="G158">
        <f t="shared" si="14"/>
        <v>0.48487712665406429</v>
      </c>
      <c r="H158">
        <f t="shared" si="15"/>
        <v>0.49662929859112254</v>
      </c>
      <c r="I158">
        <f t="shared" si="16"/>
        <v>1</v>
      </c>
      <c r="J158">
        <f t="shared" si="17"/>
        <v>0.49662929859112254</v>
      </c>
    </row>
    <row r="159" spans="1:10" x14ac:dyDescent="0.2">
      <c r="A159">
        <f>Data!C159</f>
        <v>55</v>
      </c>
      <c r="B159">
        <f>COUNTIFS(Data!$M$2:$M$301,"Train",Data!$C$2:$C$301,"&lt;="&amp;A159)</f>
        <v>176</v>
      </c>
      <c r="C159">
        <f>SUMIFS(Data!$L$2:$L$301,Data!$M$2:$M$301,"Train",Data!$C$2:$C$301,"&lt;="&amp;A159)</f>
        <v>91</v>
      </c>
      <c r="D159">
        <f>COUNTIFS(Data!$M$2:$M$301,"Train",Data!$C$2:$C$301,"&gt;"&amp;A159)</f>
        <v>34</v>
      </c>
      <c r="E159">
        <f>SUMIFS(Data!$L$2:$L$301,Data!$M$2:$M$301,"Train",Data!$C$2:$C$301,"&gt;"&amp;A159)</f>
        <v>19</v>
      </c>
      <c r="F159">
        <f t="shared" si="13"/>
        <v>0.49941890495867769</v>
      </c>
      <c r="G159">
        <f t="shared" si="14"/>
        <v>0.49307958477508645</v>
      </c>
      <c r="H159">
        <f t="shared" si="15"/>
        <v>0.49839253883371537</v>
      </c>
      <c r="I159">
        <f t="shared" si="16"/>
        <v>1</v>
      </c>
      <c r="J159">
        <f t="shared" si="17"/>
        <v>0.49839253883371537</v>
      </c>
    </row>
    <row r="160" spans="1:10" x14ac:dyDescent="0.2">
      <c r="A160">
        <f>Data!C160</f>
        <v>57</v>
      </c>
      <c r="B160">
        <f>COUNTIFS(Data!$M$2:$M$301,"Train",Data!$C$2:$C$301,"&lt;="&amp;A160)</f>
        <v>183</v>
      </c>
      <c r="C160">
        <f>SUMIFS(Data!$L$2:$L$301,Data!$M$2:$M$301,"Train",Data!$C$2:$C$301,"&lt;="&amp;A160)</f>
        <v>96</v>
      </c>
      <c r="D160">
        <f>COUNTIFS(Data!$M$2:$M$301,"Train",Data!$C$2:$C$301,"&gt;"&amp;A160)</f>
        <v>27</v>
      </c>
      <c r="E160">
        <f>SUMIFS(Data!$L$2:$L$301,Data!$M$2:$M$301,"Train",Data!$C$2:$C$301,"&gt;"&amp;A160)</f>
        <v>14</v>
      </c>
      <c r="F160">
        <f t="shared" si="13"/>
        <v>0.49879064767535608</v>
      </c>
      <c r="G160">
        <f t="shared" si="14"/>
        <v>0.4993141289437586</v>
      </c>
      <c r="H160">
        <f t="shared" si="15"/>
        <v>0.49885795240986497</v>
      </c>
      <c r="I160">
        <f t="shared" si="16"/>
        <v>1</v>
      </c>
      <c r="J160">
        <f t="shared" si="17"/>
        <v>0.49885795240986497</v>
      </c>
    </row>
    <row r="161" spans="1:10" x14ac:dyDescent="0.2">
      <c r="A161">
        <f>Data!C161</f>
        <v>64</v>
      </c>
      <c r="B161">
        <f>COUNTIFS(Data!$M$2:$M$301,"Train",Data!$C$2:$C$301,"&lt;="&amp;A161)</f>
        <v>203</v>
      </c>
      <c r="C161">
        <f>SUMIFS(Data!$L$2:$L$301,Data!$M$2:$M$301,"Train",Data!$C$2:$C$301,"&lt;="&amp;A161)</f>
        <v>108</v>
      </c>
      <c r="D161">
        <f>COUNTIFS(Data!$M$2:$M$301,"Train",Data!$C$2:$C$301,"&gt;"&amp;A161)</f>
        <v>7</v>
      </c>
      <c r="E161">
        <f>SUMIFS(Data!$L$2:$L$301,Data!$M$2:$M$301,"Train",Data!$C$2:$C$301,"&gt;"&amp;A161)</f>
        <v>2</v>
      </c>
      <c r="F161">
        <f t="shared" si="13"/>
        <v>0.49794947705598291</v>
      </c>
      <c r="G161">
        <f t="shared" si="14"/>
        <v>0.40816326530612246</v>
      </c>
      <c r="H161">
        <f t="shared" si="15"/>
        <v>0.49495660333098757</v>
      </c>
      <c r="I161">
        <f t="shared" si="16"/>
        <v>1</v>
      </c>
      <c r="J161">
        <f t="shared" si="17"/>
        <v>0.49495660333098757</v>
      </c>
    </row>
    <row r="162" spans="1:10" x14ac:dyDescent="0.2">
      <c r="A162">
        <f>Data!C162</f>
        <v>43</v>
      </c>
      <c r="B162">
        <f>COUNTIFS(Data!$M$2:$M$301,"Train",Data!$C$2:$C$301,"&lt;="&amp;A162)</f>
        <v>113</v>
      </c>
      <c r="C162">
        <f>SUMIFS(Data!$L$2:$L$301,Data!$M$2:$M$301,"Train",Data!$C$2:$C$301,"&lt;="&amp;A162)</f>
        <v>48</v>
      </c>
      <c r="D162">
        <f>COUNTIFS(Data!$M$2:$M$301,"Train",Data!$C$2:$C$301,"&gt;"&amp;A162)</f>
        <v>97</v>
      </c>
      <c r="E162">
        <f>SUMIFS(Data!$L$2:$L$301,Data!$M$2:$M$301,"Train",Data!$C$2:$C$301,"&gt;"&amp;A162)</f>
        <v>62</v>
      </c>
      <c r="F162">
        <f t="shared" si="13"/>
        <v>0.48868353042524865</v>
      </c>
      <c r="G162">
        <f t="shared" si="14"/>
        <v>0.46126049527048574</v>
      </c>
      <c r="H162">
        <f t="shared" si="15"/>
        <v>0.47601669990138196</v>
      </c>
      <c r="I162">
        <f t="shared" si="16"/>
        <v>1</v>
      </c>
      <c r="J162">
        <f t="shared" si="17"/>
        <v>0.47601669990138196</v>
      </c>
    </row>
    <row r="163" spans="1:10" x14ac:dyDescent="0.2">
      <c r="A163">
        <f>Data!C163</f>
        <v>35</v>
      </c>
      <c r="B163">
        <f>COUNTIFS(Data!$M$2:$M$301,"Train",Data!$C$2:$C$301,"&lt;="&amp;A163)</f>
        <v>64</v>
      </c>
      <c r="C163">
        <f>SUMIFS(Data!$L$2:$L$301,Data!$M$2:$M$301,"Train",Data!$C$2:$C$301,"&lt;="&amp;A163)</f>
        <v>22</v>
      </c>
      <c r="D163">
        <f>COUNTIFS(Data!$M$2:$M$301,"Train",Data!$C$2:$C$301,"&gt;"&amp;A163)</f>
        <v>146</v>
      </c>
      <c r="E163">
        <f>SUMIFS(Data!$L$2:$L$301,Data!$M$2:$M$301,"Train",Data!$C$2:$C$301,"&gt;"&amp;A163)</f>
        <v>88</v>
      </c>
      <c r="F163">
        <f t="shared" si="13"/>
        <v>0.451171875</v>
      </c>
      <c r="G163">
        <f t="shared" si="14"/>
        <v>0.47888909739163077</v>
      </c>
      <c r="H163">
        <f t="shared" si="15"/>
        <v>0.47044194390084809</v>
      </c>
      <c r="I163">
        <f t="shared" si="16"/>
        <v>1</v>
      </c>
      <c r="J163">
        <f t="shared" si="17"/>
        <v>0.47044194390084809</v>
      </c>
    </row>
    <row r="164" spans="1:10" x14ac:dyDescent="0.2">
      <c r="A164">
        <f>Data!C164</f>
        <v>54</v>
      </c>
      <c r="B164">
        <f>COUNTIFS(Data!$M$2:$M$301,"Train",Data!$C$2:$C$301,"&lt;="&amp;A164)</f>
        <v>169</v>
      </c>
      <c r="C164">
        <f>SUMIFS(Data!$L$2:$L$301,Data!$M$2:$M$301,"Train",Data!$C$2:$C$301,"&lt;="&amp;A164)</f>
        <v>87</v>
      </c>
      <c r="D164">
        <f>COUNTIFS(Data!$M$2:$M$301,"Train",Data!$C$2:$C$301,"&gt;"&amp;A164)</f>
        <v>41</v>
      </c>
      <c r="E164">
        <f>SUMIFS(Data!$L$2:$L$301,Data!$M$2:$M$301,"Train",Data!$C$2:$C$301,"&gt;"&amp;A164)</f>
        <v>23</v>
      </c>
      <c r="F164">
        <f t="shared" si="13"/>
        <v>0.49956234025419283</v>
      </c>
      <c r="G164">
        <f t="shared" si="14"/>
        <v>0.49256395002974424</v>
      </c>
      <c r="H164">
        <f t="shared" si="15"/>
        <v>0.49819598787703856</v>
      </c>
      <c r="I164">
        <f t="shared" si="16"/>
        <v>1</v>
      </c>
      <c r="J164">
        <f t="shared" si="17"/>
        <v>0.49819598787703856</v>
      </c>
    </row>
    <row r="165" spans="1:10" x14ac:dyDescent="0.2">
      <c r="A165">
        <f>Data!C165</f>
        <v>45</v>
      </c>
      <c r="B165">
        <f>COUNTIFS(Data!$M$2:$M$301,"Train",Data!$C$2:$C$301,"&lt;="&amp;A165)</f>
        <v>123</v>
      </c>
      <c r="C165">
        <f>SUMIFS(Data!$L$2:$L$301,Data!$M$2:$M$301,"Train",Data!$C$2:$C$301,"&lt;="&amp;A165)</f>
        <v>55</v>
      </c>
      <c r="D165">
        <f>COUNTIFS(Data!$M$2:$M$301,"Train",Data!$C$2:$C$301,"&gt;"&amp;A165)</f>
        <v>87</v>
      </c>
      <c r="E165">
        <f>SUMIFS(Data!$L$2:$L$301,Data!$M$2:$M$301,"Train",Data!$C$2:$C$301,"&gt;"&amp;A165)</f>
        <v>55</v>
      </c>
      <c r="F165">
        <f t="shared" si="13"/>
        <v>0.49441470024456341</v>
      </c>
      <c r="G165">
        <f t="shared" si="14"/>
        <v>0.46505482890738531</v>
      </c>
      <c r="H165">
        <f t="shared" si="15"/>
        <v>0.48225132497630396</v>
      </c>
      <c r="I165">
        <f t="shared" si="16"/>
        <v>1</v>
      </c>
      <c r="J165">
        <f t="shared" si="17"/>
        <v>0.48225132497630396</v>
      </c>
    </row>
    <row r="166" spans="1:10" x14ac:dyDescent="0.2">
      <c r="A166">
        <f>Data!C166</f>
        <v>58</v>
      </c>
      <c r="B166">
        <f>COUNTIFS(Data!$M$2:$M$301,"Train",Data!$C$2:$C$301,"&lt;="&amp;A166)</f>
        <v>188</v>
      </c>
      <c r="C166">
        <f>SUMIFS(Data!$L$2:$L$301,Data!$M$2:$M$301,"Train",Data!$C$2:$C$301,"&lt;="&amp;A166)</f>
        <v>98</v>
      </c>
      <c r="D166">
        <f>COUNTIFS(Data!$M$2:$M$301,"Train",Data!$C$2:$C$301,"&gt;"&amp;A166)</f>
        <v>22</v>
      </c>
      <c r="E166">
        <f>SUMIFS(Data!$L$2:$L$301,Data!$M$2:$M$301,"Train",Data!$C$2:$C$301,"&gt;"&amp;A166)</f>
        <v>12</v>
      </c>
      <c r="F166">
        <f t="shared" si="13"/>
        <v>0.49909461294703483</v>
      </c>
      <c r="G166">
        <f t="shared" si="14"/>
        <v>0.49586776859504139</v>
      </c>
      <c r="H166">
        <f t="shared" si="15"/>
        <v>0.49875656258634982</v>
      </c>
      <c r="I166">
        <f t="shared" si="16"/>
        <v>1</v>
      </c>
      <c r="J166">
        <f t="shared" si="17"/>
        <v>0.49875656258634982</v>
      </c>
    </row>
    <row r="167" spans="1:10" x14ac:dyDescent="0.2">
      <c r="A167">
        <f>Data!C167</f>
        <v>48</v>
      </c>
      <c r="B167">
        <f>COUNTIFS(Data!$M$2:$M$301,"Train",Data!$C$2:$C$301,"&lt;="&amp;A167)</f>
        <v>136</v>
      </c>
      <c r="C167">
        <f>SUMIFS(Data!$L$2:$L$301,Data!$M$2:$M$301,"Train",Data!$C$2:$C$301,"&lt;="&amp;A167)</f>
        <v>64</v>
      </c>
      <c r="D167">
        <f>COUNTIFS(Data!$M$2:$M$301,"Train",Data!$C$2:$C$301,"&gt;"&amp;A167)</f>
        <v>74</v>
      </c>
      <c r="E167">
        <f>SUMIFS(Data!$L$2:$L$301,Data!$M$2:$M$301,"Train",Data!$C$2:$C$301,"&gt;"&amp;A167)</f>
        <v>46</v>
      </c>
      <c r="F167">
        <f t="shared" si="13"/>
        <v>0.49826989619377154</v>
      </c>
      <c r="G167">
        <f t="shared" si="14"/>
        <v>0.47041636230825423</v>
      </c>
      <c r="H167">
        <f t="shared" si="15"/>
        <v>0.4884548413960178</v>
      </c>
      <c r="I167">
        <f t="shared" si="16"/>
        <v>1</v>
      </c>
      <c r="J167">
        <f t="shared" si="17"/>
        <v>0.4884548413960178</v>
      </c>
    </row>
    <row r="168" spans="1:10" x14ac:dyDescent="0.2">
      <c r="A168">
        <f>Data!C168</f>
        <v>46</v>
      </c>
      <c r="B168">
        <f>COUNTIFS(Data!$M$2:$M$301,"Train",Data!$C$2:$C$301,"&lt;="&amp;A168)</f>
        <v>128</v>
      </c>
      <c r="C168">
        <f>SUMIFS(Data!$L$2:$L$301,Data!$M$2:$M$301,"Train",Data!$C$2:$C$301,"&lt;="&amp;A168)</f>
        <v>56</v>
      </c>
      <c r="D168">
        <f>COUNTIFS(Data!$M$2:$M$301,"Train",Data!$C$2:$C$301,"&gt;"&amp;A168)</f>
        <v>82</v>
      </c>
      <c r="E168">
        <f>SUMIFS(Data!$L$2:$L$301,Data!$M$2:$M$301,"Train",Data!$C$2:$C$301,"&gt;"&amp;A168)</f>
        <v>54</v>
      </c>
      <c r="F168">
        <f t="shared" si="13"/>
        <v>0.4921875</v>
      </c>
      <c r="G168">
        <f t="shared" si="14"/>
        <v>0.44973230220107069</v>
      </c>
      <c r="H168">
        <f t="shared" si="15"/>
        <v>0.47560975609756095</v>
      </c>
      <c r="I168">
        <f t="shared" si="16"/>
        <v>1</v>
      </c>
      <c r="J168">
        <f t="shared" si="17"/>
        <v>0.47560975609756095</v>
      </c>
    </row>
    <row r="169" spans="1:10" x14ac:dyDescent="0.2">
      <c r="A169">
        <f>Data!C169</f>
        <v>46</v>
      </c>
      <c r="B169">
        <f>COUNTIFS(Data!$M$2:$M$301,"Train",Data!$C$2:$C$301,"&lt;="&amp;A169)</f>
        <v>128</v>
      </c>
      <c r="C169">
        <f>SUMIFS(Data!$L$2:$L$301,Data!$M$2:$M$301,"Train",Data!$C$2:$C$301,"&lt;="&amp;A169)</f>
        <v>56</v>
      </c>
      <c r="D169">
        <f>COUNTIFS(Data!$M$2:$M$301,"Train",Data!$C$2:$C$301,"&gt;"&amp;A169)</f>
        <v>82</v>
      </c>
      <c r="E169">
        <f>SUMIFS(Data!$L$2:$L$301,Data!$M$2:$M$301,"Train",Data!$C$2:$C$301,"&gt;"&amp;A169)</f>
        <v>54</v>
      </c>
      <c r="F169">
        <f t="shared" si="13"/>
        <v>0.4921875</v>
      </c>
      <c r="G169">
        <f t="shared" si="14"/>
        <v>0.44973230220107069</v>
      </c>
      <c r="H169">
        <f t="shared" si="15"/>
        <v>0.47560975609756095</v>
      </c>
      <c r="I169">
        <f t="shared" si="16"/>
        <v>1</v>
      </c>
      <c r="J169">
        <f t="shared" si="17"/>
        <v>0.47560975609756095</v>
      </c>
    </row>
    <row r="170" spans="1:10" x14ac:dyDescent="0.2">
      <c r="A170">
        <f>Data!C170</f>
        <v>55</v>
      </c>
      <c r="B170">
        <f>COUNTIFS(Data!$M$2:$M$301,"Train",Data!$C$2:$C$301,"&lt;="&amp;A170)</f>
        <v>176</v>
      </c>
      <c r="C170">
        <f>SUMIFS(Data!$L$2:$L$301,Data!$M$2:$M$301,"Train",Data!$C$2:$C$301,"&lt;="&amp;A170)</f>
        <v>91</v>
      </c>
      <c r="D170">
        <f>COUNTIFS(Data!$M$2:$M$301,"Train",Data!$C$2:$C$301,"&gt;"&amp;A170)</f>
        <v>34</v>
      </c>
      <c r="E170">
        <f>SUMIFS(Data!$L$2:$L$301,Data!$M$2:$M$301,"Train",Data!$C$2:$C$301,"&gt;"&amp;A170)</f>
        <v>19</v>
      </c>
      <c r="F170">
        <f t="shared" si="13"/>
        <v>0.49941890495867769</v>
      </c>
      <c r="G170">
        <f t="shared" si="14"/>
        <v>0.49307958477508645</v>
      </c>
      <c r="H170">
        <f t="shared" si="15"/>
        <v>0.49839253883371537</v>
      </c>
      <c r="I170">
        <f t="shared" si="16"/>
        <v>1</v>
      </c>
      <c r="J170">
        <f t="shared" si="17"/>
        <v>0.49839253883371537</v>
      </c>
    </row>
    <row r="171" spans="1:10" x14ac:dyDescent="0.2">
      <c r="A171">
        <f>Data!C171</f>
        <v>51</v>
      </c>
      <c r="B171">
        <f>COUNTIFS(Data!$M$2:$M$301,"Train",Data!$C$2:$C$301,"&lt;="&amp;A171)</f>
        <v>155</v>
      </c>
      <c r="C171">
        <f>SUMIFS(Data!$L$2:$L$301,Data!$M$2:$M$301,"Train",Data!$C$2:$C$301,"&lt;="&amp;A171)</f>
        <v>77</v>
      </c>
      <c r="D171">
        <f>COUNTIFS(Data!$M$2:$M$301,"Train",Data!$C$2:$C$301,"&gt;"&amp;A171)</f>
        <v>55</v>
      </c>
      <c r="E171">
        <f>SUMIFS(Data!$L$2:$L$301,Data!$M$2:$M$301,"Train",Data!$C$2:$C$301,"&gt;"&amp;A171)</f>
        <v>33</v>
      </c>
      <c r="F171">
        <f t="shared" si="13"/>
        <v>0.49997918834547356</v>
      </c>
      <c r="G171">
        <f t="shared" si="14"/>
        <v>0.48</v>
      </c>
      <c r="H171">
        <f t="shared" si="15"/>
        <v>0.49474654377880189</v>
      </c>
      <c r="I171">
        <f t="shared" si="16"/>
        <v>1</v>
      </c>
      <c r="J171">
        <f t="shared" si="17"/>
        <v>0.49474654377880189</v>
      </c>
    </row>
    <row r="172" spans="1:10" x14ac:dyDescent="0.2">
      <c r="A172">
        <f>Data!C172</f>
        <v>49</v>
      </c>
      <c r="B172">
        <f>COUNTIFS(Data!$M$2:$M$301,"Train",Data!$C$2:$C$301,"&lt;="&amp;A172)</f>
        <v>143</v>
      </c>
      <c r="C172">
        <f>SUMIFS(Data!$L$2:$L$301,Data!$M$2:$M$301,"Train",Data!$C$2:$C$301,"&lt;="&amp;A172)</f>
        <v>70</v>
      </c>
      <c r="D172">
        <f>COUNTIFS(Data!$M$2:$M$301,"Train",Data!$C$2:$C$301,"&gt;"&amp;A172)</f>
        <v>67</v>
      </c>
      <c r="E172">
        <f>SUMIFS(Data!$L$2:$L$301,Data!$M$2:$M$301,"Train",Data!$C$2:$C$301,"&gt;"&amp;A172)</f>
        <v>40</v>
      </c>
      <c r="F172">
        <f t="shared" si="13"/>
        <v>0.49977994033938095</v>
      </c>
      <c r="G172">
        <f t="shared" si="14"/>
        <v>0.48117620850969045</v>
      </c>
      <c r="H172">
        <f t="shared" si="15"/>
        <v>0.49384446399371779</v>
      </c>
      <c r="I172">
        <f t="shared" si="16"/>
        <v>1</v>
      </c>
      <c r="J172">
        <f t="shared" si="17"/>
        <v>0.49384446399371779</v>
      </c>
    </row>
    <row r="173" spans="1:10" x14ac:dyDescent="0.2">
      <c r="A173">
        <f>Data!C173</f>
        <v>34</v>
      </c>
      <c r="B173">
        <f>COUNTIFS(Data!$M$2:$M$301,"Train",Data!$C$2:$C$301,"&lt;="&amp;A173)</f>
        <v>55</v>
      </c>
      <c r="C173">
        <f>SUMIFS(Data!$L$2:$L$301,Data!$M$2:$M$301,"Train",Data!$C$2:$C$301,"&lt;="&amp;A173)</f>
        <v>17</v>
      </c>
      <c r="D173">
        <f>COUNTIFS(Data!$M$2:$M$301,"Train",Data!$C$2:$C$301,"&gt;"&amp;A173)</f>
        <v>155</v>
      </c>
      <c r="E173">
        <f>SUMIFS(Data!$L$2:$L$301,Data!$M$2:$M$301,"Train",Data!$C$2:$C$301,"&gt;"&amp;A173)</f>
        <v>93</v>
      </c>
      <c r="F173">
        <f t="shared" si="13"/>
        <v>0.42710743801652895</v>
      </c>
      <c r="G173">
        <f t="shared" si="14"/>
        <v>0.48</v>
      </c>
      <c r="H173">
        <f t="shared" si="15"/>
        <v>0.46614718614718609</v>
      </c>
      <c r="I173">
        <f t="shared" si="16"/>
        <v>1</v>
      </c>
      <c r="J173">
        <f t="shared" si="17"/>
        <v>0.46614718614718609</v>
      </c>
    </row>
    <row r="174" spans="1:10" x14ac:dyDescent="0.2">
      <c r="A174">
        <f>Data!C174</f>
        <v>53</v>
      </c>
      <c r="B174">
        <f>COUNTIFS(Data!$M$2:$M$301,"Train",Data!$C$2:$C$301,"&lt;="&amp;A174)</f>
        <v>164</v>
      </c>
      <c r="C174">
        <f>SUMIFS(Data!$L$2:$L$301,Data!$M$2:$M$301,"Train",Data!$C$2:$C$301,"&lt;="&amp;A174)</f>
        <v>83</v>
      </c>
      <c r="D174">
        <f>COUNTIFS(Data!$M$2:$M$301,"Train",Data!$C$2:$C$301,"&gt;"&amp;A174)</f>
        <v>46</v>
      </c>
      <c r="E174">
        <f>SUMIFS(Data!$L$2:$L$301,Data!$M$2:$M$301,"Train",Data!$C$2:$C$301,"&gt;"&amp;A174)</f>
        <v>27</v>
      </c>
      <c r="F174">
        <f t="shared" si="13"/>
        <v>0.49992563950029739</v>
      </c>
      <c r="G174">
        <f t="shared" si="14"/>
        <v>0.48487712665406429</v>
      </c>
      <c r="H174">
        <f t="shared" si="15"/>
        <v>0.49662929859112254</v>
      </c>
      <c r="I174">
        <f t="shared" si="16"/>
        <v>1</v>
      </c>
      <c r="J174">
        <f t="shared" si="17"/>
        <v>0.49662929859112254</v>
      </c>
    </row>
    <row r="175" spans="1:10" x14ac:dyDescent="0.2">
      <c r="A175">
        <f>Data!C175</f>
        <v>40</v>
      </c>
      <c r="B175">
        <f>COUNTIFS(Data!$M$2:$M$301,"Train",Data!$C$2:$C$301,"&lt;="&amp;A175)</f>
        <v>95</v>
      </c>
      <c r="C175">
        <f>SUMIFS(Data!$L$2:$L$301,Data!$M$2:$M$301,"Train",Data!$C$2:$C$301,"&lt;="&amp;A175)</f>
        <v>40</v>
      </c>
      <c r="D175">
        <f>COUNTIFS(Data!$M$2:$M$301,"Train",Data!$C$2:$C$301,"&gt;"&amp;A175)</f>
        <v>115</v>
      </c>
      <c r="E175">
        <f>SUMIFS(Data!$L$2:$L$301,Data!$M$2:$M$301,"Train",Data!$C$2:$C$301,"&gt;"&amp;A175)</f>
        <v>70</v>
      </c>
      <c r="F175">
        <f t="shared" si="13"/>
        <v>0.48753462603878117</v>
      </c>
      <c r="G175">
        <f t="shared" si="14"/>
        <v>0.47637051039697548</v>
      </c>
      <c r="H175">
        <f t="shared" si="15"/>
        <v>0.48142094366350663</v>
      </c>
      <c r="I175">
        <f t="shared" si="16"/>
        <v>1</v>
      </c>
      <c r="J175">
        <f t="shared" si="17"/>
        <v>0.48142094366350663</v>
      </c>
    </row>
    <row r="176" spans="1:10" x14ac:dyDescent="0.2">
      <c r="A176">
        <f>Data!C176</f>
        <v>50</v>
      </c>
      <c r="B176">
        <f>COUNTIFS(Data!$M$2:$M$301,"Train",Data!$C$2:$C$301,"&lt;="&amp;A176)</f>
        <v>149</v>
      </c>
      <c r="C176">
        <f>SUMIFS(Data!$L$2:$L$301,Data!$M$2:$M$301,"Train",Data!$C$2:$C$301,"&lt;="&amp;A176)</f>
        <v>74</v>
      </c>
      <c r="D176">
        <f>COUNTIFS(Data!$M$2:$M$301,"Train",Data!$C$2:$C$301,"&gt;"&amp;A176)</f>
        <v>61</v>
      </c>
      <c r="E176">
        <f>SUMIFS(Data!$L$2:$L$301,Data!$M$2:$M$301,"Train",Data!$C$2:$C$301,"&gt;"&amp;A176)</f>
        <v>36</v>
      </c>
      <c r="F176">
        <f t="shared" si="13"/>
        <v>0.49997747849195978</v>
      </c>
      <c r="G176">
        <f t="shared" si="14"/>
        <v>0.48374092985756523</v>
      </c>
      <c r="H176">
        <f t="shared" si="15"/>
        <v>0.49526114769815943</v>
      </c>
      <c r="I176">
        <f t="shared" si="16"/>
        <v>1</v>
      </c>
      <c r="J176">
        <f t="shared" si="17"/>
        <v>0.49526114769815943</v>
      </c>
    </row>
    <row r="177" spans="1:10" x14ac:dyDescent="0.2">
      <c r="A177">
        <f>Data!C177</f>
        <v>37</v>
      </c>
      <c r="B177">
        <f>COUNTIFS(Data!$M$2:$M$301,"Train",Data!$C$2:$C$301,"&lt;="&amp;A177)</f>
        <v>74</v>
      </c>
      <c r="C177">
        <f>SUMIFS(Data!$L$2:$L$301,Data!$M$2:$M$301,"Train",Data!$C$2:$C$301,"&lt;="&amp;A177)</f>
        <v>26</v>
      </c>
      <c r="D177">
        <f>COUNTIFS(Data!$M$2:$M$301,"Train",Data!$C$2:$C$301,"&gt;"&amp;A177)</f>
        <v>136</v>
      </c>
      <c r="E177">
        <f>SUMIFS(Data!$L$2:$L$301,Data!$M$2:$M$301,"Train",Data!$C$2:$C$301,"&gt;"&amp;A177)</f>
        <v>84</v>
      </c>
      <c r="F177">
        <f t="shared" si="13"/>
        <v>0.45580715850986114</v>
      </c>
      <c r="G177">
        <f t="shared" si="14"/>
        <v>0.47231833910034604</v>
      </c>
      <c r="H177">
        <f t="shared" si="15"/>
        <v>0.46650011355893706</v>
      </c>
      <c r="I177">
        <f t="shared" si="16"/>
        <v>1</v>
      </c>
      <c r="J177">
        <f t="shared" si="17"/>
        <v>0.46650011355893706</v>
      </c>
    </row>
    <row r="178" spans="1:10" x14ac:dyDescent="0.2">
      <c r="A178">
        <f>Data!C178</f>
        <v>39</v>
      </c>
      <c r="B178">
        <f>COUNTIFS(Data!$M$2:$M$301,"Train",Data!$C$2:$C$301,"&lt;="&amp;A178)</f>
        <v>87</v>
      </c>
      <c r="C178">
        <f>SUMIFS(Data!$L$2:$L$301,Data!$M$2:$M$301,"Train",Data!$C$2:$C$301,"&lt;="&amp;A178)</f>
        <v>36</v>
      </c>
      <c r="D178">
        <f>COUNTIFS(Data!$M$2:$M$301,"Train",Data!$C$2:$C$301,"&gt;"&amp;A178)</f>
        <v>123</v>
      </c>
      <c r="E178">
        <f>SUMIFS(Data!$L$2:$L$301,Data!$M$2:$M$301,"Train",Data!$C$2:$C$301,"&gt;"&amp;A178)</f>
        <v>74</v>
      </c>
      <c r="F178">
        <f t="shared" si="13"/>
        <v>0.4851367419738406</v>
      </c>
      <c r="G178">
        <f t="shared" si="14"/>
        <v>0.47934430563817831</v>
      </c>
      <c r="H178">
        <f t="shared" si="15"/>
        <v>0.48174402926295273</v>
      </c>
      <c r="I178">
        <f t="shared" si="16"/>
        <v>1</v>
      </c>
      <c r="J178">
        <f t="shared" si="17"/>
        <v>0.48174402926295273</v>
      </c>
    </row>
    <row r="179" spans="1:10" x14ac:dyDescent="0.2">
      <c r="A179">
        <f>Data!C179</f>
        <v>52</v>
      </c>
      <c r="B179">
        <f>COUNTIFS(Data!$M$2:$M$301,"Train",Data!$C$2:$C$301,"&lt;="&amp;A179)</f>
        <v>160</v>
      </c>
      <c r="C179">
        <f>SUMIFS(Data!$L$2:$L$301,Data!$M$2:$M$301,"Train",Data!$C$2:$C$301,"&lt;="&amp;A179)</f>
        <v>81</v>
      </c>
      <c r="D179">
        <f>COUNTIFS(Data!$M$2:$M$301,"Train",Data!$C$2:$C$301,"&gt;"&amp;A179)</f>
        <v>50</v>
      </c>
      <c r="E179">
        <f>SUMIFS(Data!$L$2:$L$301,Data!$M$2:$M$301,"Train",Data!$C$2:$C$301,"&gt;"&amp;A179)</f>
        <v>29</v>
      </c>
      <c r="F179">
        <f t="shared" si="13"/>
        <v>0.49992187499999996</v>
      </c>
      <c r="G179">
        <f t="shared" si="14"/>
        <v>0.48719999999999997</v>
      </c>
      <c r="H179">
        <f t="shared" si="15"/>
        <v>0.49689285714285714</v>
      </c>
      <c r="I179">
        <f t="shared" si="16"/>
        <v>1</v>
      </c>
      <c r="J179">
        <f t="shared" si="17"/>
        <v>0.49689285714285714</v>
      </c>
    </row>
    <row r="180" spans="1:10" x14ac:dyDescent="0.2">
      <c r="A180">
        <f>Data!C180</f>
        <v>50</v>
      </c>
      <c r="B180">
        <f>COUNTIFS(Data!$M$2:$M$301,"Train",Data!$C$2:$C$301,"&lt;="&amp;A180)</f>
        <v>149</v>
      </c>
      <c r="C180">
        <f>SUMIFS(Data!$L$2:$L$301,Data!$M$2:$M$301,"Train",Data!$C$2:$C$301,"&lt;="&amp;A180)</f>
        <v>74</v>
      </c>
      <c r="D180">
        <f>COUNTIFS(Data!$M$2:$M$301,"Train",Data!$C$2:$C$301,"&gt;"&amp;A180)</f>
        <v>61</v>
      </c>
      <c r="E180">
        <f>SUMIFS(Data!$L$2:$L$301,Data!$M$2:$M$301,"Train",Data!$C$2:$C$301,"&gt;"&amp;A180)</f>
        <v>36</v>
      </c>
      <c r="F180">
        <f t="shared" si="13"/>
        <v>0.49997747849195978</v>
      </c>
      <c r="G180">
        <f t="shared" si="14"/>
        <v>0.48374092985756523</v>
      </c>
      <c r="H180">
        <f t="shared" si="15"/>
        <v>0.49526114769815943</v>
      </c>
      <c r="I180">
        <f t="shared" si="16"/>
        <v>1</v>
      </c>
      <c r="J180">
        <f t="shared" si="17"/>
        <v>0.49526114769815943</v>
      </c>
    </row>
    <row r="181" spans="1:10" x14ac:dyDescent="0.2">
      <c r="A181">
        <f>Data!C181</f>
        <v>48</v>
      </c>
      <c r="B181">
        <f>COUNTIFS(Data!$M$2:$M$301,"Train",Data!$C$2:$C$301,"&lt;="&amp;A181)</f>
        <v>136</v>
      </c>
      <c r="C181">
        <f>SUMIFS(Data!$L$2:$L$301,Data!$M$2:$M$301,"Train",Data!$C$2:$C$301,"&lt;="&amp;A181)</f>
        <v>64</v>
      </c>
      <c r="D181">
        <f>COUNTIFS(Data!$M$2:$M$301,"Train",Data!$C$2:$C$301,"&gt;"&amp;A181)</f>
        <v>74</v>
      </c>
      <c r="E181">
        <f>SUMIFS(Data!$L$2:$L$301,Data!$M$2:$M$301,"Train",Data!$C$2:$C$301,"&gt;"&amp;A181)</f>
        <v>46</v>
      </c>
      <c r="F181">
        <f t="shared" si="13"/>
        <v>0.49826989619377154</v>
      </c>
      <c r="G181">
        <f t="shared" si="14"/>
        <v>0.47041636230825423</v>
      </c>
      <c r="H181">
        <f t="shared" si="15"/>
        <v>0.4884548413960178</v>
      </c>
      <c r="I181">
        <f t="shared" si="16"/>
        <v>1</v>
      </c>
      <c r="J181">
        <f t="shared" si="17"/>
        <v>0.4884548413960178</v>
      </c>
    </row>
    <row r="182" spans="1:10" x14ac:dyDescent="0.2">
      <c r="A182">
        <f>Data!C182</f>
        <v>47</v>
      </c>
      <c r="B182">
        <f>COUNTIFS(Data!$M$2:$M$301,"Train",Data!$C$2:$C$301,"&lt;="&amp;A182)</f>
        <v>132</v>
      </c>
      <c r="C182">
        <f>SUMIFS(Data!$L$2:$L$301,Data!$M$2:$M$301,"Train",Data!$C$2:$C$301,"&lt;="&amp;A182)</f>
        <v>60</v>
      </c>
      <c r="D182">
        <f>COUNTIFS(Data!$M$2:$M$301,"Train",Data!$C$2:$C$301,"&gt;"&amp;A182)</f>
        <v>78</v>
      </c>
      <c r="E182">
        <f>SUMIFS(Data!$L$2:$L$301,Data!$M$2:$M$301,"Train",Data!$C$2:$C$301,"&gt;"&amp;A182)</f>
        <v>50</v>
      </c>
      <c r="F182">
        <f t="shared" si="13"/>
        <v>0.49586776859504139</v>
      </c>
      <c r="G182">
        <f t="shared" si="14"/>
        <v>0.46022353714661407</v>
      </c>
      <c r="H182">
        <f t="shared" si="15"/>
        <v>0.48262848262848268</v>
      </c>
      <c r="I182">
        <f t="shared" si="16"/>
        <v>1</v>
      </c>
      <c r="J182">
        <f t="shared" si="17"/>
        <v>0.48262848262848268</v>
      </c>
    </row>
    <row r="183" spans="1:10" x14ac:dyDescent="0.2">
      <c r="A183">
        <f>Data!C183</f>
        <v>27</v>
      </c>
      <c r="B183">
        <f>COUNTIFS(Data!$M$2:$M$301,"Train",Data!$C$2:$C$301,"&lt;="&amp;A183)</f>
        <v>27</v>
      </c>
      <c r="C183">
        <f>SUMIFS(Data!$L$2:$L$301,Data!$M$2:$M$301,"Train",Data!$C$2:$C$301,"&lt;="&amp;A183)</f>
        <v>3</v>
      </c>
      <c r="D183">
        <f>COUNTIFS(Data!$M$2:$M$301,"Train",Data!$C$2:$C$301,"&gt;"&amp;A183)</f>
        <v>183</v>
      </c>
      <c r="E183">
        <f>SUMIFS(Data!$L$2:$L$301,Data!$M$2:$M$301,"Train",Data!$C$2:$C$301,"&gt;"&amp;A183)</f>
        <v>107</v>
      </c>
      <c r="F183">
        <f t="shared" si="13"/>
        <v>0.19753086419753085</v>
      </c>
      <c r="G183">
        <f t="shared" si="14"/>
        <v>0.48565200513601475</v>
      </c>
      <c r="H183">
        <f t="shared" si="15"/>
        <v>0.44860785844392398</v>
      </c>
      <c r="I183">
        <f t="shared" si="16"/>
        <v>1</v>
      </c>
      <c r="J183">
        <f t="shared" si="17"/>
        <v>0.44860785844392398</v>
      </c>
    </row>
    <row r="184" spans="1:10" x14ac:dyDescent="0.2">
      <c r="A184">
        <f>Data!C184</f>
        <v>39</v>
      </c>
      <c r="B184">
        <f>COUNTIFS(Data!$M$2:$M$301,"Train",Data!$C$2:$C$301,"&lt;="&amp;A184)</f>
        <v>87</v>
      </c>
      <c r="C184">
        <f>SUMIFS(Data!$L$2:$L$301,Data!$M$2:$M$301,"Train",Data!$C$2:$C$301,"&lt;="&amp;A184)</f>
        <v>36</v>
      </c>
      <c r="D184">
        <f>COUNTIFS(Data!$M$2:$M$301,"Train",Data!$C$2:$C$301,"&gt;"&amp;A184)</f>
        <v>123</v>
      </c>
      <c r="E184">
        <f>SUMIFS(Data!$L$2:$L$301,Data!$M$2:$M$301,"Train",Data!$C$2:$C$301,"&gt;"&amp;A184)</f>
        <v>74</v>
      </c>
      <c r="F184">
        <f t="shared" si="13"/>
        <v>0.4851367419738406</v>
      </c>
      <c r="G184">
        <f t="shared" si="14"/>
        <v>0.47934430563817831</v>
      </c>
      <c r="H184">
        <f t="shared" si="15"/>
        <v>0.48174402926295273</v>
      </c>
      <c r="I184">
        <f t="shared" si="16"/>
        <v>1</v>
      </c>
      <c r="J184">
        <f t="shared" si="17"/>
        <v>0.48174402926295273</v>
      </c>
    </row>
    <row r="185" spans="1:10" x14ac:dyDescent="0.2">
      <c r="A185">
        <f>Data!C185</f>
        <v>44</v>
      </c>
      <c r="B185">
        <f>COUNTIFS(Data!$M$2:$M$301,"Train",Data!$C$2:$C$301,"&lt;="&amp;A185)</f>
        <v>119</v>
      </c>
      <c r="C185">
        <f>SUMIFS(Data!$L$2:$L$301,Data!$M$2:$M$301,"Train",Data!$C$2:$C$301,"&lt;="&amp;A185)</f>
        <v>52</v>
      </c>
      <c r="D185">
        <f>COUNTIFS(Data!$M$2:$M$301,"Train",Data!$C$2:$C$301,"&gt;"&amp;A185)</f>
        <v>91</v>
      </c>
      <c r="E185">
        <f>SUMIFS(Data!$L$2:$L$301,Data!$M$2:$M$301,"Train",Data!$C$2:$C$301,"&gt;"&amp;A185)</f>
        <v>58</v>
      </c>
      <c r="F185">
        <f t="shared" si="13"/>
        <v>0.49205564578772693</v>
      </c>
      <c r="G185">
        <f t="shared" si="14"/>
        <v>0.46226301171356127</v>
      </c>
      <c r="H185">
        <f t="shared" si="15"/>
        <v>0.47914550435558845</v>
      </c>
      <c r="I185">
        <f t="shared" si="16"/>
        <v>1</v>
      </c>
      <c r="J185">
        <f t="shared" si="17"/>
        <v>0.47914550435558845</v>
      </c>
    </row>
    <row r="186" spans="1:10" x14ac:dyDescent="0.2">
      <c r="A186">
        <f>Data!C186</f>
        <v>37</v>
      </c>
      <c r="B186">
        <f>COUNTIFS(Data!$M$2:$M$301,"Train",Data!$C$2:$C$301,"&lt;="&amp;A186)</f>
        <v>74</v>
      </c>
      <c r="C186">
        <f>SUMIFS(Data!$L$2:$L$301,Data!$M$2:$M$301,"Train",Data!$C$2:$C$301,"&lt;="&amp;A186)</f>
        <v>26</v>
      </c>
      <c r="D186">
        <f>COUNTIFS(Data!$M$2:$M$301,"Train",Data!$C$2:$C$301,"&gt;"&amp;A186)</f>
        <v>136</v>
      </c>
      <c r="E186">
        <f>SUMIFS(Data!$L$2:$L$301,Data!$M$2:$M$301,"Train",Data!$C$2:$C$301,"&gt;"&amp;A186)</f>
        <v>84</v>
      </c>
      <c r="F186">
        <f t="shared" si="13"/>
        <v>0.45580715850986114</v>
      </c>
      <c r="G186">
        <f t="shared" si="14"/>
        <v>0.47231833910034604</v>
      </c>
      <c r="H186">
        <f t="shared" si="15"/>
        <v>0.46650011355893706</v>
      </c>
      <c r="I186">
        <f t="shared" si="16"/>
        <v>1</v>
      </c>
      <c r="J186">
        <f t="shared" si="17"/>
        <v>0.46650011355893706</v>
      </c>
    </row>
    <row r="187" spans="1:10" x14ac:dyDescent="0.2">
      <c r="A187">
        <f>Data!C187</f>
        <v>52</v>
      </c>
      <c r="B187">
        <f>COUNTIFS(Data!$M$2:$M$301,"Train",Data!$C$2:$C$301,"&lt;="&amp;A187)</f>
        <v>160</v>
      </c>
      <c r="C187">
        <f>SUMIFS(Data!$L$2:$L$301,Data!$M$2:$M$301,"Train",Data!$C$2:$C$301,"&lt;="&amp;A187)</f>
        <v>81</v>
      </c>
      <c r="D187">
        <f>COUNTIFS(Data!$M$2:$M$301,"Train",Data!$C$2:$C$301,"&gt;"&amp;A187)</f>
        <v>50</v>
      </c>
      <c r="E187">
        <f>SUMIFS(Data!$L$2:$L$301,Data!$M$2:$M$301,"Train",Data!$C$2:$C$301,"&gt;"&amp;A187)</f>
        <v>29</v>
      </c>
      <c r="F187">
        <f t="shared" si="13"/>
        <v>0.49992187499999996</v>
      </c>
      <c r="G187">
        <f t="shared" si="14"/>
        <v>0.48719999999999997</v>
      </c>
      <c r="H187">
        <f t="shared" si="15"/>
        <v>0.49689285714285714</v>
      </c>
      <c r="I187">
        <f t="shared" si="16"/>
        <v>1</v>
      </c>
      <c r="J187">
        <f t="shared" si="17"/>
        <v>0.49689285714285714</v>
      </c>
    </row>
    <row r="188" spans="1:10" x14ac:dyDescent="0.2">
      <c r="A188">
        <f>Data!C188</f>
        <v>26</v>
      </c>
      <c r="B188">
        <f>COUNTIFS(Data!$M$2:$M$301,"Train",Data!$C$2:$C$301,"&lt;="&amp;A188)</f>
        <v>22</v>
      </c>
      <c r="C188">
        <f>SUMIFS(Data!$L$2:$L$301,Data!$M$2:$M$301,"Train",Data!$C$2:$C$301,"&lt;="&amp;A188)</f>
        <v>1</v>
      </c>
      <c r="D188">
        <f>COUNTIFS(Data!$M$2:$M$301,"Train",Data!$C$2:$C$301,"&gt;"&amp;A188)</f>
        <v>188</v>
      </c>
      <c r="E188">
        <f>SUMIFS(Data!$L$2:$L$301,Data!$M$2:$M$301,"Train",Data!$C$2:$C$301,"&gt;"&amp;A188)</f>
        <v>109</v>
      </c>
      <c r="F188">
        <f t="shared" si="13"/>
        <v>8.6776859504132053E-2</v>
      </c>
      <c r="G188">
        <f t="shared" si="14"/>
        <v>0.48726799456767766</v>
      </c>
      <c r="H188">
        <f t="shared" si="15"/>
        <v>0.44531178041816338</v>
      </c>
      <c r="I188">
        <f t="shared" si="16"/>
        <v>1</v>
      </c>
      <c r="J188">
        <f t="shared" si="17"/>
        <v>0.44531178041816338</v>
      </c>
    </row>
    <row r="189" spans="1:10" x14ac:dyDescent="0.2">
      <c r="A189">
        <f>Data!C189</f>
        <v>39</v>
      </c>
      <c r="B189">
        <f>COUNTIFS(Data!$M$2:$M$301,"Train",Data!$C$2:$C$301,"&lt;="&amp;A189)</f>
        <v>87</v>
      </c>
      <c r="C189">
        <f>SUMIFS(Data!$L$2:$L$301,Data!$M$2:$M$301,"Train",Data!$C$2:$C$301,"&lt;="&amp;A189)</f>
        <v>36</v>
      </c>
      <c r="D189">
        <f>COUNTIFS(Data!$M$2:$M$301,"Train",Data!$C$2:$C$301,"&gt;"&amp;A189)</f>
        <v>123</v>
      </c>
      <c r="E189">
        <f>SUMIFS(Data!$L$2:$L$301,Data!$M$2:$M$301,"Train",Data!$C$2:$C$301,"&gt;"&amp;A189)</f>
        <v>74</v>
      </c>
      <c r="F189">
        <f t="shared" si="13"/>
        <v>0.4851367419738406</v>
      </c>
      <c r="G189">
        <f t="shared" si="14"/>
        <v>0.47934430563817831</v>
      </c>
      <c r="H189">
        <f t="shared" si="15"/>
        <v>0.48174402926295273</v>
      </c>
      <c r="I189">
        <f t="shared" si="16"/>
        <v>1</v>
      </c>
      <c r="J189">
        <f t="shared" si="17"/>
        <v>0.48174402926295273</v>
      </c>
    </row>
    <row r="190" spans="1:10" x14ac:dyDescent="0.2">
      <c r="A190">
        <f>Data!C190</f>
        <v>25</v>
      </c>
      <c r="B190">
        <f>COUNTIFS(Data!$M$2:$M$301,"Train",Data!$C$2:$C$301,"&lt;="&amp;A190)</f>
        <v>20</v>
      </c>
      <c r="C190">
        <f>SUMIFS(Data!$L$2:$L$301,Data!$M$2:$M$301,"Train",Data!$C$2:$C$301,"&lt;="&amp;A190)</f>
        <v>1</v>
      </c>
      <c r="D190">
        <f>COUNTIFS(Data!$M$2:$M$301,"Train",Data!$C$2:$C$301,"&gt;"&amp;A190)</f>
        <v>190</v>
      </c>
      <c r="E190">
        <f>SUMIFS(Data!$L$2:$L$301,Data!$M$2:$M$301,"Train",Data!$C$2:$C$301,"&gt;"&amp;A190)</f>
        <v>109</v>
      </c>
      <c r="F190">
        <f t="shared" si="13"/>
        <v>9.5000000000000084E-2</v>
      </c>
      <c r="G190">
        <f t="shared" si="14"/>
        <v>0.48914127423822717</v>
      </c>
      <c r="H190">
        <f t="shared" si="15"/>
        <v>0.45160401002506273</v>
      </c>
      <c r="I190">
        <f t="shared" si="16"/>
        <v>1</v>
      </c>
      <c r="J190">
        <f t="shared" si="17"/>
        <v>0.45160401002506273</v>
      </c>
    </row>
    <row r="191" spans="1:10" x14ac:dyDescent="0.2">
      <c r="A191">
        <f>Data!C191</f>
        <v>31</v>
      </c>
      <c r="B191">
        <f>COUNTIFS(Data!$M$2:$M$301,"Train",Data!$C$2:$C$301,"&lt;="&amp;A191)</f>
        <v>37</v>
      </c>
      <c r="C191">
        <f>SUMIFS(Data!$L$2:$L$301,Data!$M$2:$M$301,"Train",Data!$C$2:$C$301,"&lt;="&amp;A191)</f>
        <v>9</v>
      </c>
      <c r="D191">
        <f>COUNTIFS(Data!$M$2:$M$301,"Train",Data!$C$2:$C$301,"&gt;"&amp;A191)</f>
        <v>173</v>
      </c>
      <c r="E191">
        <f>SUMIFS(Data!$L$2:$L$301,Data!$M$2:$M$301,"Train",Data!$C$2:$C$301,"&gt;"&amp;A191)</f>
        <v>101</v>
      </c>
      <c r="F191">
        <f t="shared" si="13"/>
        <v>0.36815193571950322</v>
      </c>
      <c r="G191">
        <f t="shared" si="14"/>
        <v>0.485950081860403</v>
      </c>
      <c r="H191">
        <f t="shared" si="15"/>
        <v>0.46519517039748254</v>
      </c>
      <c r="I191">
        <f t="shared" si="16"/>
        <v>1</v>
      </c>
      <c r="J191">
        <f t="shared" si="17"/>
        <v>0.46519517039748254</v>
      </c>
    </row>
    <row r="192" spans="1:10" x14ac:dyDescent="0.2">
      <c r="A192">
        <f>Data!C192</f>
        <v>58</v>
      </c>
      <c r="B192">
        <f>COUNTIFS(Data!$M$2:$M$301,"Train",Data!$C$2:$C$301,"&lt;="&amp;A192)</f>
        <v>188</v>
      </c>
      <c r="C192">
        <f>SUMIFS(Data!$L$2:$L$301,Data!$M$2:$M$301,"Train",Data!$C$2:$C$301,"&lt;="&amp;A192)</f>
        <v>98</v>
      </c>
      <c r="D192">
        <f>COUNTIFS(Data!$M$2:$M$301,"Train",Data!$C$2:$C$301,"&gt;"&amp;A192)</f>
        <v>22</v>
      </c>
      <c r="E192">
        <f>SUMIFS(Data!$L$2:$L$301,Data!$M$2:$M$301,"Train",Data!$C$2:$C$301,"&gt;"&amp;A192)</f>
        <v>12</v>
      </c>
      <c r="F192">
        <f t="shared" si="13"/>
        <v>0.49909461294703483</v>
      </c>
      <c r="G192">
        <f t="shared" si="14"/>
        <v>0.49586776859504139</v>
      </c>
      <c r="H192">
        <f t="shared" si="15"/>
        <v>0.49875656258634982</v>
      </c>
      <c r="I192">
        <f t="shared" si="16"/>
        <v>1</v>
      </c>
      <c r="J192">
        <f t="shared" si="17"/>
        <v>0.49875656258634982</v>
      </c>
    </row>
    <row r="193" spans="1:10" x14ac:dyDescent="0.2">
      <c r="A193">
        <f>Data!C193</f>
        <v>30</v>
      </c>
      <c r="B193">
        <f>COUNTIFS(Data!$M$2:$M$301,"Train",Data!$C$2:$C$301,"&lt;="&amp;A193)</f>
        <v>35</v>
      </c>
      <c r="C193">
        <f>SUMIFS(Data!$L$2:$L$301,Data!$M$2:$M$301,"Train",Data!$C$2:$C$301,"&lt;="&amp;A193)</f>
        <v>9</v>
      </c>
      <c r="D193">
        <f>COUNTIFS(Data!$M$2:$M$301,"Train",Data!$C$2:$C$301,"&gt;"&amp;A193)</f>
        <v>175</v>
      </c>
      <c r="E193">
        <f>SUMIFS(Data!$L$2:$L$301,Data!$M$2:$M$301,"Train",Data!$C$2:$C$301,"&gt;"&amp;A193)</f>
        <v>101</v>
      </c>
      <c r="F193">
        <f t="shared" si="13"/>
        <v>0.38204081632653053</v>
      </c>
      <c r="G193">
        <f t="shared" si="14"/>
        <v>0.48809795918367349</v>
      </c>
      <c r="H193">
        <f t="shared" si="15"/>
        <v>0.47042176870748298</v>
      </c>
      <c r="I193">
        <f t="shared" si="16"/>
        <v>1</v>
      </c>
      <c r="J193">
        <f t="shared" si="17"/>
        <v>0.47042176870748298</v>
      </c>
    </row>
    <row r="194" spans="1:10" x14ac:dyDescent="0.2">
      <c r="A194">
        <f>Data!C194</f>
        <v>27</v>
      </c>
      <c r="B194">
        <f>COUNTIFS(Data!$M$2:$M$301,"Train",Data!$C$2:$C$301,"&lt;="&amp;A194)</f>
        <v>27</v>
      </c>
      <c r="C194">
        <f>SUMIFS(Data!$L$2:$L$301,Data!$M$2:$M$301,"Train",Data!$C$2:$C$301,"&lt;="&amp;A194)</f>
        <v>3</v>
      </c>
      <c r="D194">
        <f>COUNTIFS(Data!$M$2:$M$301,"Train",Data!$C$2:$C$301,"&gt;"&amp;A194)</f>
        <v>183</v>
      </c>
      <c r="E194">
        <f>SUMIFS(Data!$L$2:$L$301,Data!$M$2:$M$301,"Train",Data!$C$2:$C$301,"&gt;"&amp;A194)</f>
        <v>107</v>
      </c>
      <c r="F194">
        <f t="shared" ref="F194:F251" si="18">IF(B194=0,0,1-(C194/B194)^2-(1-C194/B194)^2)</f>
        <v>0.19753086419753085</v>
      </c>
      <c r="G194">
        <f t="shared" ref="G194:G251" si="19">IF(D194=0,0,1-(E194/D194)^2-(1-E194/D194)^2)</f>
        <v>0.48565200513601475</v>
      </c>
      <c r="H194">
        <f t="shared" ref="H194:H257" si="20">IF(B194+D194=0,1,(B194*F194+D194*G194)/(B194+D194))</f>
        <v>0.44860785844392398</v>
      </c>
      <c r="I194">
        <f t="shared" ref="I194:I251" si="21">IF(AND(B194&gt;0,D194&gt;0),1,0)</f>
        <v>1</v>
      </c>
      <c r="J194">
        <f t="shared" ref="J194:J257" si="22">IF(I194=1,H194,1E+99)</f>
        <v>0.44860785844392398</v>
      </c>
    </row>
    <row r="195" spans="1:10" x14ac:dyDescent="0.2">
      <c r="A195">
        <f>Data!C195</f>
        <v>40</v>
      </c>
      <c r="B195">
        <f>COUNTIFS(Data!$M$2:$M$301,"Train",Data!$C$2:$C$301,"&lt;="&amp;A195)</f>
        <v>95</v>
      </c>
      <c r="C195">
        <f>SUMIFS(Data!$L$2:$L$301,Data!$M$2:$M$301,"Train",Data!$C$2:$C$301,"&lt;="&amp;A195)</f>
        <v>40</v>
      </c>
      <c r="D195">
        <f>COUNTIFS(Data!$M$2:$M$301,"Train",Data!$C$2:$C$301,"&gt;"&amp;A195)</f>
        <v>115</v>
      </c>
      <c r="E195">
        <f>SUMIFS(Data!$L$2:$L$301,Data!$M$2:$M$301,"Train",Data!$C$2:$C$301,"&gt;"&amp;A195)</f>
        <v>70</v>
      </c>
      <c r="F195">
        <f t="shared" si="18"/>
        <v>0.48753462603878117</v>
      </c>
      <c r="G195">
        <f t="shared" si="19"/>
        <v>0.47637051039697548</v>
      </c>
      <c r="H195">
        <f t="shared" si="20"/>
        <v>0.48142094366350663</v>
      </c>
      <c r="I195">
        <f t="shared" si="21"/>
        <v>1</v>
      </c>
      <c r="J195">
        <f t="shared" si="22"/>
        <v>0.48142094366350663</v>
      </c>
    </row>
    <row r="196" spans="1:10" x14ac:dyDescent="0.2">
      <c r="A196">
        <f>Data!C196</f>
        <v>55</v>
      </c>
      <c r="B196">
        <f>COUNTIFS(Data!$M$2:$M$301,"Train",Data!$C$2:$C$301,"&lt;="&amp;A196)</f>
        <v>176</v>
      </c>
      <c r="C196">
        <f>SUMIFS(Data!$L$2:$L$301,Data!$M$2:$M$301,"Train",Data!$C$2:$C$301,"&lt;="&amp;A196)</f>
        <v>91</v>
      </c>
      <c r="D196">
        <f>COUNTIFS(Data!$M$2:$M$301,"Train",Data!$C$2:$C$301,"&gt;"&amp;A196)</f>
        <v>34</v>
      </c>
      <c r="E196">
        <f>SUMIFS(Data!$L$2:$L$301,Data!$M$2:$M$301,"Train",Data!$C$2:$C$301,"&gt;"&amp;A196)</f>
        <v>19</v>
      </c>
      <c r="F196">
        <f t="shared" si="18"/>
        <v>0.49941890495867769</v>
      </c>
      <c r="G196">
        <f t="shared" si="19"/>
        <v>0.49307958477508645</v>
      </c>
      <c r="H196">
        <f t="shared" si="20"/>
        <v>0.49839253883371537</v>
      </c>
      <c r="I196">
        <f t="shared" si="21"/>
        <v>1</v>
      </c>
      <c r="J196">
        <f t="shared" si="22"/>
        <v>0.49839253883371537</v>
      </c>
    </row>
    <row r="197" spans="1:10" x14ac:dyDescent="0.2">
      <c r="A197">
        <f>Data!C197</f>
        <v>35</v>
      </c>
      <c r="B197">
        <f>COUNTIFS(Data!$M$2:$M$301,"Train",Data!$C$2:$C$301,"&lt;="&amp;A197)</f>
        <v>64</v>
      </c>
      <c r="C197">
        <f>SUMIFS(Data!$L$2:$L$301,Data!$M$2:$M$301,"Train",Data!$C$2:$C$301,"&lt;="&amp;A197)</f>
        <v>22</v>
      </c>
      <c r="D197">
        <f>COUNTIFS(Data!$M$2:$M$301,"Train",Data!$C$2:$C$301,"&gt;"&amp;A197)</f>
        <v>146</v>
      </c>
      <c r="E197">
        <f>SUMIFS(Data!$L$2:$L$301,Data!$M$2:$M$301,"Train",Data!$C$2:$C$301,"&gt;"&amp;A197)</f>
        <v>88</v>
      </c>
      <c r="F197">
        <f t="shared" si="18"/>
        <v>0.451171875</v>
      </c>
      <c r="G197">
        <f t="shared" si="19"/>
        <v>0.47888909739163077</v>
      </c>
      <c r="H197">
        <f t="shared" si="20"/>
        <v>0.47044194390084809</v>
      </c>
      <c r="I197">
        <f t="shared" si="21"/>
        <v>1</v>
      </c>
      <c r="J197">
        <f t="shared" si="22"/>
        <v>0.47044194390084809</v>
      </c>
    </row>
    <row r="198" spans="1:10" x14ac:dyDescent="0.2">
      <c r="A198">
        <f>Data!C198</f>
        <v>48</v>
      </c>
      <c r="B198">
        <f>COUNTIFS(Data!$M$2:$M$301,"Train",Data!$C$2:$C$301,"&lt;="&amp;A198)</f>
        <v>136</v>
      </c>
      <c r="C198">
        <f>SUMIFS(Data!$L$2:$L$301,Data!$M$2:$M$301,"Train",Data!$C$2:$C$301,"&lt;="&amp;A198)</f>
        <v>64</v>
      </c>
      <c r="D198">
        <f>COUNTIFS(Data!$M$2:$M$301,"Train",Data!$C$2:$C$301,"&gt;"&amp;A198)</f>
        <v>74</v>
      </c>
      <c r="E198">
        <f>SUMIFS(Data!$L$2:$L$301,Data!$M$2:$M$301,"Train",Data!$C$2:$C$301,"&gt;"&amp;A198)</f>
        <v>46</v>
      </c>
      <c r="F198">
        <f t="shared" si="18"/>
        <v>0.49826989619377154</v>
      </c>
      <c r="G198">
        <f t="shared" si="19"/>
        <v>0.47041636230825423</v>
      </c>
      <c r="H198">
        <f t="shared" si="20"/>
        <v>0.4884548413960178</v>
      </c>
      <c r="I198">
        <f t="shared" si="21"/>
        <v>1</v>
      </c>
      <c r="J198">
        <f t="shared" si="22"/>
        <v>0.4884548413960178</v>
      </c>
    </row>
    <row r="199" spans="1:10" x14ac:dyDescent="0.2">
      <c r="A199">
        <f>Data!C199</f>
        <v>29</v>
      </c>
      <c r="B199">
        <f>COUNTIFS(Data!$M$2:$M$301,"Train",Data!$C$2:$C$301,"&lt;="&amp;A199)</f>
        <v>32</v>
      </c>
      <c r="C199">
        <f>SUMIFS(Data!$L$2:$L$301,Data!$M$2:$M$301,"Train",Data!$C$2:$C$301,"&lt;="&amp;A199)</f>
        <v>6</v>
      </c>
      <c r="D199">
        <f>COUNTIFS(Data!$M$2:$M$301,"Train",Data!$C$2:$C$301,"&gt;"&amp;A199)</f>
        <v>178</v>
      </c>
      <c r="E199">
        <f>SUMIFS(Data!$L$2:$L$301,Data!$M$2:$M$301,"Train",Data!$C$2:$C$301,"&gt;"&amp;A199)</f>
        <v>104</v>
      </c>
      <c r="F199">
        <f t="shared" si="18"/>
        <v>0.3046875</v>
      </c>
      <c r="G199">
        <f t="shared" si="19"/>
        <v>0.48579724782224459</v>
      </c>
      <c r="H199">
        <f t="shared" si="20"/>
        <v>0.45819957196361683</v>
      </c>
      <c r="I199">
        <f t="shared" si="21"/>
        <v>1</v>
      </c>
      <c r="J199">
        <f t="shared" si="22"/>
        <v>0.45819957196361683</v>
      </c>
    </row>
    <row r="200" spans="1:10" x14ac:dyDescent="0.2">
      <c r="A200">
        <f>Data!C200</f>
        <v>25</v>
      </c>
      <c r="B200">
        <f>COUNTIFS(Data!$M$2:$M$301,"Train",Data!$C$2:$C$301,"&lt;="&amp;A200)</f>
        <v>20</v>
      </c>
      <c r="C200">
        <f>SUMIFS(Data!$L$2:$L$301,Data!$M$2:$M$301,"Train",Data!$C$2:$C$301,"&lt;="&amp;A200)</f>
        <v>1</v>
      </c>
      <c r="D200">
        <f>COUNTIFS(Data!$M$2:$M$301,"Train",Data!$C$2:$C$301,"&gt;"&amp;A200)</f>
        <v>190</v>
      </c>
      <c r="E200">
        <f>SUMIFS(Data!$L$2:$L$301,Data!$M$2:$M$301,"Train",Data!$C$2:$C$301,"&gt;"&amp;A200)</f>
        <v>109</v>
      </c>
      <c r="F200">
        <f t="shared" si="18"/>
        <v>9.5000000000000084E-2</v>
      </c>
      <c r="G200">
        <f t="shared" si="19"/>
        <v>0.48914127423822717</v>
      </c>
      <c r="H200">
        <f t="shared" si="20"/>
        <v>0.45160401002506273</v>
      </c>
      <c r="I200">
        <f t="shared" si="21"/>
        <v>1</v>
      </c>
      <c r="J200">
        <f t="shared" si="22"/>
        <v>0.45160401002506273</v>
      </c>
    </row>
    <row r="201" spans="1:10" x14ac:dyDescent="0.2">
      <c r="A201">
        <f>Data!C201</f>
        <v>40</v>
      </c>
      <c r="B201">
        <f>COUNTIFS(Data!$M$2:$M$301,"Train",Data!$C$2:$C$301,"&lt;="&amp;A201)</f>
        <v>95</v>
      </c>
      <c r="C201">
        <f>SUMIFS(Data!$L$2:$L$301,Data!$M$2:$M$301,"Train",Data!$C$2:$C$301,"&lt;="&amp;A201)</f>
        <v>40</v>
      </c>
      <c r="D201">
        <f>COUNTIFS(Data!$M$2:$M$301,"Train",Data!$C$2:$C$301,"&gt;"&amp;A201)</f>
        <v>115</v>
      </c>
      <c r="E201">
        <f>SUMIFS(Data!$L$2:$L$301,Data!$M$2:$M$301,"Train",Data!$C$2:$C$301,"&gt;"&amp;A201)</f>
        <v>70</v>
      </c>
      <c r="F201">
        <f t="shared" si="18"/>
        <v>0.48753462603878117</v>
      </c>
      <c r="G201">
        <f t="shared" si="19"/>
        <v>0.47637051039697548</v>
      </c>
      <c r="H201">
        <f t="shared" si="20"/>
        <v>0.48142094366350663</v>
      </c>
      <c r="I201">
        <f t="shared" si="21"/>
        <v>1</v>
      </c>
      <c r="J201">
        <f t="shared" si="22"/>
        <v>0.48142094366350663</v>
      </c>
    </row>
    <row r="202" spans="1:10" x14ac:dyDescent="0.2">
      <c r="A202">
        <f>Data!C202</f>
        <v>27</v>
      </c>
      <c r="B202">
        <f>COUNTIFS(Data!$M$2:$M$301,"Train",Data!$C$2:$C$301,"&lt;="&amp;A202)</f>
        <v>27</v>
      </c>
      <c r="C202">
        <f>SUMIFS(Data!$L$2:$L$301,Data!$M$2:$M$301,"Train",Data!$C$2:$C$301,"&lt;="&amp;A202)</f>
        <v>3</v>
      </c>
      <c r="D202">
        <f>COUNTIFS(Data!$M$2:$M$301,"Train",Data!$C$2:$C$301,"&gt;"&amp;A202)</f>
        <v>183</v>
      </c>
      <c r="E202">
        <f>SUMIFS(Data!$L$2:$L$301,Data!$M$2:$M$301,"Train",Data!$C$2:$C$301,"&gt;"&amp;A202)</f>
        <v>107</v>
      </c>
      <c r="F202">
        <f t="shared" si="18"/>
        <v>0.19753086419753085</v>
      </c>
      <c r="G202">
        <f t="shared" si="19"/>
        <v>0.48565200513601475</v>
      </c>
      <c r="H202">
        <f t="shared" si="20"/>
        <v>0.44860785844392398</v>
      </c>
      <c r="I202">
        <f t="shared" si="21"/>
        <v>1</v>
      </c>
      <c r="J202">
        <f t="shared" si="22"/>
        <v>0.44860785844392398</v>
      </c>
    </row>
    <row r="203" spans="1:10" x14ac:dyDescent="0.2">
      <c r="A203">
        <f>Data!C203</f>
        <v>44</v>
      </c>
      <c r="B203">
        <f>COUNTIFS(Data!$M$2:$M$301,"Train",Data!$C$2:$C$301,"&lt;="&amp;A203)</f>
        <v>119</v>
      </c>
      <c r="C203">
        <f>SUMIFS(Data!$L$2:$L$301,Data!$M$2:$M$301,"Train",Data!$C$2:$C$301,"&lt;="&amp;A203)</f>
        <v>52</v>
      </c>
      <c r="D203">
        <f>COUNTIFS(Data!$M$2:$M$301,"Train",Data!$C$2:$C$301,"&gt;"&amp;A203)</f>
        <v>91</v>
      </c>
      <c r="E203">
        <f>SUMIFS(Data!$L$2:$L$301,Data!$M$2:$M$301,"Train",Data!$C$2:$C$301,"&gt;"&amp;A203)</f>
        <v>58</v>
      </c>
      <c r="F203">
        <f t="shared" si="18"/>
        <v>0.49205564578772693</v>
      </c>
      <c r="G203">
        <f t="shared" si="19"/>
        <v>0.46226301171356127</v>
      </c>
      <c r="H203">
        <f t="shared" si="20"/>
        <v>0.47914550435558845</v>
      </c>
      <c r="I203">
        <f t="shared" si="21"/>
        <v>1</v>
      </c>
      <c r="J203">
        <f t="shared" si="22"/>
        <v>0.47914550435558845</v>
      </c>
    </row>
    <row r="204" spans="1:10" x14ac:dyDescent="0.2">
      <c r="A204">
        <f>Data!C204</f>
        <v>49</v>
      </c>
      <c r="B204">
        <f>COUNTIFS(Data!$M$2:$M$301,"Train",Data!$C$2:$C$301,"&lt;="&amp;A204)</f>
        <v>143</v>
      </c>
      <c r="C204">
        <f>SUMIFS(Data!$L$2:$L$301,Data!$M$2:$M$301,"Train",Data!$C$2:$C$301,"&lt;="&amp;A204)</f>
        <v>70</v>
      </c>
      <c r="D204">
        <f>COUNTIFS(Data!$M$2:$M$301,"Train",Data!$C$2:$C$301,"&gt;"&amp;A204)</f>
        <v>67</v>
      </c>
      <c r="E204">
        <f>SUMIFS(Data!$L$2:$L$301,Data!$M$2:$M$301,"Train",Data!$C$2:$C$301,"&gt;"&amp;A204)</f>
        <v>40</v>
      </c>
      <c r="F204">
        <f t="shared" si="18"/>
        <v>0.49977994033938095</v>
      </c>
      <c r="G204">
        <f t="shared" si="19"/>
        <v>0.48117620850969045</v>
      </c>
      <c r="H204">
        <f t="shared" si="20"/>
        <v>0.49384446399371779</v>
      </c>
      <c r="I204">
        <f t="shared" si="21"/>
        <v>1</v>
      </c>
      <c r="J204">
        <f t="shared" si="22"/>
        <v>0.49384446399371779</v>
      </c>
    </row>
    <row r="205" spans="1:10" x14ac:dyDescent="0.2">
      <c r="A205">
        <f>Data!C205</f>
        <v>22</v>
      </c>
      <c r="B205">
        <f>COUNTIFS(Data!$M$2:$M$301,"Train",Data!$C$2:$C$301,"&lt;="&amp;A205)</f>
        <v>8</v>
      </c>
      <c r="C205">
        <f>SUMIFS(Data!$L$2:$L$301,Data!$M$2:$M$301,"Train",Data!$C$2:$C$301,"&lt;="&amp;A205)</f>
        <v>0</v>
      </c>
      <c r="D205">
        <f>COUNTIFS(Data!$M$2:$M$301,"Train",Data!$C$2:$C$301,"&gt;"&amp;A205)</f>
        <v>202</v>
      </c>
      <c r="E205">
        <f>SUMIFS(Data!$L$2:$L$301,Data!$M$2:$M$301,"Train",Data!$C$2:$C$301,"&gt;"&amp;A205)</f>
        <v>110</v>
      </c>
      <c r="F205">
        <f t="shared" si="18"/>
        <v>0</v>
      </c>
      <c r="G205">
        <f t="shared" si="19"/>
        <v>0.49602980099990202</v>
      </c>
      <c r="H205">
        <f t="shared" si="20"/>
        <v>0.47713342762847716</v>
      </c>
      <c r="I205">
        <f t="shared" si="21"/>
        <v>1</v>
      </c>
      <c r="J205">
        <f t="shared" si="22"/>
        <v>0.47713342762847716</v>
      </c>
    </row>
    <row r="206" spans="1:10" x14ac:dyDescent="0.2">
      <c r="A206">
        <f>Data!C206</f>
        <v>45</v>
      </c>
      <c r="B206">
        <f>COUNTIFS(Data!$M$2:$M$301,"Train",Data!$C$2:$C$301,"&lt;="&amp;A206)</f>
        <v>123</v>
      </c>
      <c r="C206">
        <f>SUMIFS(Data!$L$2:$L$301,Data!$M$2:$M$301,"Train",Data!$C$2:$C$301,"&lt;="&amp;A206)</f>
        <v>55</v>
      </c>
      <c r="D206">
        <f>COUNTIFS(Data!$M$2:$M$301,"Train",Data!$C$2:$C$301,"&gt;"&amp;A206)</f>
        <v>87</v>
      </c>
      <c r="E206">
        <f>SUMIFS(Data!$L$2:$L$301,Data!$M$2:$M$301,"Train",Data!$C$2:$C$301,"&gt;"&amp;A206)</f>
        <v>55</v>
      </c>
      <c r="F206">
        <f t="shared" si="18"/>
        <v>0.49441470024456341</v>
      </c>
      <c r="G206">
        <f t="shared" si="19"/>
        <v>0.46505482890738531</v>
      </c>
      <c r="H206">
        <f t="shared" si="20"/>
        <v>0.48225132497630396</v>
      </c>
      <c r="I206">
        <f t="shared" si="21"/>
        <v>1</v>
      </c>
      <c r="J206">
        <f t="shared" si="22"/>
        <v>0.48225132497630396</v>
      </c>
    </row>
    <row r="207" spans="1:10" x14ac:dyDescent="0.2">
      <c r="A207">
        <f>Data!C207</f>
        <v>33</v>
      </c>
      <c r="B207">
        <f>COUNTIFS(Data!$M$2:$M$301,"Train",Data!$C$2:$C$301,"&lt;="&amp;A207)</f>
        <v>47</v>
      </c>
      <c r="C207">
        <f>SUMIFS(Data!$L$2:$L$301,Data!$M$2:$M$301,"Train",Data!$C$2:$C$301,"&lt;="&amp;A207)</f>
        <v>14</v>
      </c>
      <c r="D207">
        <f>COUNTIFS(Data!$M$2:$M$301,"Train",Data!$C$2:$C$301,"&gt;"&amp;A207)</f>
        <v>163</v>
      </c>
      <c r="E207">
        <f>SUMIFS(Data!$L$2:$L$301,Data!$M$2:$M$301,"Train",Data!$C$2:$C$301,"&gt;"&amp;A207)</f>
        <v>96</v>
      </c>
      <c r="F207">
        <f t="shared" si="18"/>
        <v>0.41828881846989585</v>
      </c>
      <c r="G207">
        <f t="shared" si="19"/>
        <v>0.48417328465504905</v>
      </c>
      <c r="H207">
        <f t="shared" si="20"/>
        <v>0.46942771365170516</v>
      </c>
      <c r="I207">
        <f t="shared" si="21"/>
        <v>1</v>
      </c>
      <c r="J207">
        <f t="shared" si="22"/>
        <v>0.46942771365170516</v>
      </c>
    </row>
    <row r="208" spans="1:10" x14ac:dyDescent="0.2">
      <c r="A208">
        <f>Data!C208</f>
        <v>63</v>
      </c>
      <c r="B208">
        <f>COUNTIFS(Data!$M$2:$M$301,"Train",Data!$C$2:$C$301,"&lt;="&amp;A208)</f>
        <v>202</v>
      </c>
      <c r="C208">
        <f>SUMIFS(Data!$L$2:$L$301,Data!$M$2:$M$301,"Train",Data!$C$2:$C$301,"&lt;="&amp;A208)</f>
        <v>108</v>
      </c>
      <c r="D208">
        <f>COUNTIFS(Data!$M$2:$M$301,"Train",Data!$C$2:$C$301,"&gt;"&amp;A208)</f>
        <v>8</v>
      </c>
      <c r="E208">
        <f>SUMIFS(Data!$L$2:$L$301,Data!$M$2:$M$301,"Train",Data!$C$2:$C$301,"&gt;"&amp;A208)</f>
        <v>2</v>
      </c>
      <c r="F208">
        <f t="shared" si="18"/>
        <v>0.49759827467895296</v>
      </c>
      <c r="G208">
        <f t="shared" si="19"/>
        <v>0.375</v>
      </c>
      <c r="H208">
        <f t="shared" si="20"/>
        <v>0.49292786421499285</v>
      </c>
      <c r="I208">
        <f t="shared" si="21"/>
        <v>1</v>
      </c>
      <c r="J208">
        <f t="shared" si="22"/>
        <v>0.49292786421499285</v>
      </c>
    </row>
    <row r="209" spans="1:10" x14ac:dyDescent="0.2">
      <c r="A209">
        <f>Data!C209</f>
        <v>49</v>
      </c>
      <c r="B209">
        <f>COUNTIFS(Data!$M$2:$M$301,"Train",Data!$C$2:$C$301,"&lt;="&amp;A209)</f>
        <v>143</v>
      </c>
      <c r="C209">
        <f>SUMIFS(Data!$L$2:$L$301,Data!$M$2:$M$301,"Train",Data!$C$2:$C$301,"&lt;="&amp;A209)</f>
        <v>70</v>
      </c>
      <c r="D209">
        <f>COUNTIFS(Data!$M$2:$M$301,"Train",Data!$C$2:$C$301,"&gt;"&amp;A209)</f>
        <v>67</v>
      </c>
      <c r="E209">
        <f>SUMIFS(Data!$L$2:$L$301,Data!$M$2:$M$301,"Train",Data!$C$2:$C$301,"&gt;"&amp;A209)</f>
        <v>40</v>
      </c>
      <c r="F209">
        <f t="shared" si="18"/>
        <v>0.49977994033938095</v>
      </c>
      <c r="G209">
        <f t="shared" si="19"/>
        <v>0.48117620850969045</v>
      </c>
      <c r="H209">
        <f t="shared" si="20"/>
        <v>0.49384446399371779</v>
      </c>
      <c r="I209">
        <f t="shared" si="21"/>
        <v>1</v>
      </c>
      <c r="J209">
        <f t="shared" si="22"/>
        <v>0.49384446399371779</v>
      </c>
    </row>
    <row r="210" spans="1:10" x14ac:dyDescent="0.2">
      <c r="A210">
        <f>Data!C210</f>
        <v>39</v>
      </c>
      <c r="B210">
        <f>COUNTIFS(Data!$M$2:$M$301,"Train",Data!$C$2:$C$301,"&lt;="&amp;A210)</f>
        <v>87</v>
      </c>
      <c r="C210">
        <f>SUMIFS(Data!$L$2:$L$301,Data!$M$2:$M$301,"Train",Data!$C$2:$C$301,"&lt;="&amp;A210)</f>
        <v>36</v>
      </c>
      <c r="D210">
        <f>COUNTIFS(Data!$M$2:$M$301,"Train",Data!$C$2:$C$301,"&gt;"&amp;A210)</f>
        <v>123</v>
      </c>
      <c r="E210">
        <f>SUMIFS(Data!$L$2:$L$301,Data!$M$2:$M$301,"Train",Data!$C$2:$C$301,"&gt;"&amp;A210)</f>
        <v>74</v>
      </c>
      <c r="F210">
        <f t="shared" si="18"/>
        <v>0.4851367419738406</v>
      </c>
      <c r="G210">
        <f t="shared" si="19"/>
        <v>0.47934430563817831</v>
      </c>
      <c r="H210">
        <f t="shared" si="20"/>
        <v>0.48174402926295273</v>
      </c>
      <c r="I210">
        <f t="shared" si="21"/>
        <v>1</v>
      </c>
      <c r="J210">
        <f t="shared" si="22"/>
        <v>0.48174402926295273</v>
      </c>
    </row>
    <row r="211" spans="1:10" x14ac:dyDescent="0.2">
      <c r="A211">
        <f>Data!C211</f>
        <v>25</v>
      </c>
      <c r="B211">
        <f>COUNTIFS(Data!$M$2:$M$301,"Train",Data!$C$2:$C$301,"&lt;="&amp;A211)</f>
        <v>20</v>
      </c>
      <c r="C211">
        <f>SUMIFS(Data!$L$2:$L$301,Data!$M$2:$M$301,"Train",Data!$C$2:$C$301,"&lt;="&amp;A211)</f>
        <v>1</v>
      </c>
      <c r="D211">
        <f>COUNTIFS(Data!$M$2:$M$301,"Train",Data!$C$2:$C$301,"&gt;"&amp;A211)</f>
        <v>190</v>
      </c>
      <c r="E211">
        <f>SUMIFS(Data!$L$2:$L$301,Data!$M$2:$M$301,"Train",Data!$C$2:$C$301,"&gt;"&amp;A211)</f>
        <v>109</v>
      </c>
      <c r="F211">
        <f t="shared" si="18"/>
        <v>9.5000000000000084E-2</v>
      </c>
      <c r="G211">
        <f t="shared" si="19"/>
        <v>0.48914127423822717</v>
      </c>
      <c r="H211">
        <f t="shared" si="20"/>
        <v>0.45160401002506273</v>
      </c>
      <c r="I211">
        <f t="shared" si="21"/>
        <v>1</v>
      </c>
      <c r="J211">
        <f t="shared" si="22"/>
        <v>0.45160401002506273</v>
      </c>
    </row>
    <row r="212" spans="1:10" x14ac:dyDescent="0.2">
      <c r="A212">
        <f>Data!C212</f>
        <v>29</v>
      </c>
      <c r="B212">
        <f>COUNTIFS(Data!$M$2:$M$301,"Train",Data!$C$2:$C$301,"&lt;="&amp;A212)</f>
        <v>32</v>
      </c>
      <c r="C212">
        <f>SUMIFS(Data!$L$2:$L$301,Data!$M$2:$M$301,"Train",Data!$C$2:$C$301,"&lt;="&amp;A212)</f>
        <v>6</v>
      </c>
      <c r="D212">
        <f>COUNTIFS(Data!$M$2:$M$301,"Train",Data!$C$2:$C$301,"&gt;"&amp;A212)</f>
        <v>178</v>
      </c>
      <c r="E212">
        <f>SUMIFS(Data!$L$2:$L$301,Data!$M$2:$M$301,"Train",Data!$C$2:$C$301,"&gt;"&amp;A212)</f>
        <v>104</v>
      </c>
      <c r="F212">
        <f t="shared" si="18"/>
        <v>0.3046875</v>
      </c>
      <c r="G212">
        <f t="shared" si="19"/>
        <v>0.48579724782224459</v>
      </c>
      <c r="H212">
        <f t="shared" si="20"/>
        <v>0.45819957196361683</v>
      </c>
      <c r="I212">
        <f t="shared" si="21"/>
        <v>1</v>
      </c>
      <c r="J212">
        <f t="shared" si="22"/>
        <v>0.45819957196361683</v>
      </c>
    </row>
    <row r="213" spans="1:10" x14ac:dyDescent="0.2">
      <c r="A213">
        <f>Data!C213</f>
        <v>37</v>
      </c>
      <c r="B213">
        <f>COUNTIFS(Data!$M$2:$M$301,"Train",Data!$C$2:$C$301,"&lt;="&amp;A213)</f>
        <v>74</v>
      </c>
      <c r="C213">
        <f>SUMIFS(Data!$L$2:$L$301,Data!$M$2:$M$301,"Train",Data!$C$2:$C$301,"&lt;="&amp;A213)</f>
        <v>26</v>
      </c>
      <c r="D213">
        <f>COUNTIFS(Data!$M$2:$M$301,"Train",Data!$C$2:$C$301,"&gt;"&amp;A213)</f>
        <v>136</v>
      </c>
      <c r="E213">
        <f>SUMIFS(Data!$L$2:$L$301,Data!$M$2:$M$301,"Train",Data!$C$2:$C$301,"&gt;"&amp;A213)</f>
        <v>84</v>
      </c>
      <c r="F213">
        <f t="shared" si="18"/>
        <v>0.45580715850986114</v>
      </c>
      <c r="G213">
        <f t="shared" si="19"/>
        <v>0.47231833910034604</v>
      </c>
      <c r="H213">
        <f t="shared" si="20"/>
        <v>0.46650011355893706</v>
      </c>
      <c r="I213">
        <f t="shared" si="21"/>
        <v>1</v>
      </c>
      <c r="J213">
        <f t="shared" si="22"/>
        <v>0.46650011355893706</v>
      </c>
    </row>
    <row r="214" spans="1:10" x14ac:dyDescent="0.2">
      <c r="A214">
        <f>Data!C214</f>
        <v>35</v>
      </c>
      <c r="B214">
        <f>COUNTIFS(Data!$M$2:$M$301,"Train",Data!$C$2:$C$301,"&lt;="&amp;A214)</f>
        <v>64</v>
      </c>
      <c r="C214">
        <f>SUMIFS(Data!$L$2:$L$301,Data!$M$2:$M$301,"Train",Data!$C$2:$C$301,"&lt;="&amp;A214)</f>
        <v>22</v>
      </c>
      <c r="D214">
        <f>COUNTIFS(Data!$M$2:$M$301,"Train",Data!$C$2:$C$301,"&gt;"&amp;A214)</f>
        <v>146</v>
      </c>
      <c r="E214">
        <f>SUMIFS(Data!$L$2:$L$301,Data!$M$2:$M$301,"Train",Data!$C$2:$C$301,"&gt;"&amp;A214)</f>
        <v>88</v>
      </c>
      <c r="F214">
        <f t="shared" si="18"/>
        <v>0.451171875</v>
      </c>
      <c r="G214">
        <f t="shared" si="19"/>
        <v>0.47888909739163077</v>
      </c>
      <c r="H214">
        <f t="shared" si="20"/>
        <v>0.47044194390084809</v>
      </c>
      <c r="I214">
        <f t="shared" si="21"/>
        <v>1</v>
      </c>
      <c r="J214">
        <f t="shared" si="22"/>
        <v>0.47044194390084809</v>
      </c>
    </row>
    <row r="215" spans="1:10" x14ac:dyDescent="0.2">
      <c r="A215">
        <f>Data!C215</f>
        <v>46</v>
      </c>
      <c r="B215">
        <f>COUNTIFS(Data!$M$2:$M$301,"Train",Data!$C$2:$C$301,"&lt;="&amp;A215)</f>
        <v>128</v>
      </c>
      <c r="C215">
        <f>SUMIFS(Data!$L$2:$L$301,Data!$M$2:$M$301,"Train",Data!$C$2:$C$301,"&lt;="&amp;A215)</f>
        <v>56</v>
      </c>
      <c r="D215">
        <f>COUNTIFS(Data!$M$2:$M$301,"Train",Data!$C$2:$C$301,"&gt;"&amp;A215)</f>
        <v>82</v>
      </c>
      <c r="E215">
        <f>SUMIFS(Data!$L$2:$L$301,Data!$M$2:$M$301,"Train",Data!$C$2:$C$301,"&gt;"&amp;A215)</f>
        <v>54</v>
      </c>
      <c r="F215">
        <f t="shared" si="18"/>
        <v>0.4921875</v>
      </c>
      <c r="G215">
        <f t="shared" si="19"/>
        <v>0.44973230220107069</v>
      </c>
      <c r="H215">
        <f t="shared" si="20"/>
        <v>0.47560975609756095</v>
      </c>
      <c r="I215">
        <f t="shared" si="21"/>
        <v>1</v>
      </c>
      <c r="J215">
        <f t="shared" si="22"/>
        <v>0.47560975609756095</v>
      </c>
    </row>
    <row r="216" spans="1:10" x14ac:dyDescent="0.2">
      <c r="A216">
        <f>Data!C216</f>
        <v>58</v>
      </c>
      <c r="B216">
        <f>COUNTIFS(Data!$M$2:$M$301,"Train",Data!$C$2:$C$301,"&lt;="&amp;A216)</f>
        <v>188</v>
      </c>
      <c r="C216">
        <f>SUMIFS(Data!$L$2:$L$301,Data!$M$2:$M$301,"Train",Data!$C$2:$C$301,"&lt;="&amp;A216)</f>
        <v>98</v>
      </c>
      <c r="D216">
        <f>COUNTIFS(Data!$M$2:$M$301,"Train",Data!$C$2:$C$301,"&gt;"&amp;A216)</f>
        <v>22</v>
      </c>
      <c r="E216">
        <f>SUMIFS(Data!$L$2:$L$301,Data!$M$2:$M$301,"Train",Data!$C$2:$C$301,"&gt;"&amp;A216)</f>
        <v>12</v>
      </c>
      <c r="F216">
        <f t="shared" si="18"/>
        <v>0.49909461294703483</v>
      </c>
      <c r="G216">
        <f t="shared" si="19"/>
        <v>0.49586776859504139</v>
      </c>
      <c r="H216">
        <f t="shared" si="20"/>
        <v>0.49875656258634982</v>
      </c>
      <c r="I216">
        <f t="shared" si="21"/>
        <v>1</v>
      </c>
      <c r="J216">
        <f t="shared" si="22"/>
        <v>0.49875656258634982</v>
      </c>
    </row>
    <row r="217" spans="1:10" x14ac:dyDescent="0.2">
      <c r="A217">
        <f>Data!C217</f>
        <v>39</v>
      </c>
      <c r="B217">
        <f>COUNTIFS(Data!$M$2:$M$301,"Train",Data!$C$2:$C$301,"&lt;="&amp;A217)</f>
        <v>87</v>
      </c>
      <c r="C217">
        <f>SUMIFS(Data!$L$2:$L$301,Data!$M$2:$M$301,"Train",Data!$C$2:$C$301,"&lt;="&amp;A217)</f>
        <v>36</v>
      </c>
      <c r="D217">
        <f>COUNTIFS(Data!$M$2:$M$301,"Train",Data!$C$2:$C$301,"&gt;"&amp;A217)</f>
        <v>123</v>
      </c>
      <c r="E217">
        <f>SUMIFS(Data!$L$2:$L$301,Data!$M$2:$M$301,"Train",Data!$C$2:$C$301,"&gt;"&amp;A217)</f>
        <v>74</v>
      </c>
      <c r="F217">
        <f t="shared" si="18"/>
        <v>0.4851367419738406</v>
      </c>
      <c r="G217">
        <f t="shared" si="19"/>
        <v>0.47934430563817831</v>
      </c>
      <c r="H217">
        <f t="shared" si="20"/>
        <v>0.48174402926295273</v>
      </c>
      <c r="I217">
        <f t="shared" si="21"/>
        <v>1</v>
      </c>
      <c r="J217">
        <f t="shared" si="22"/>
        <v>0.48174402926295273</v>
      </c>
    </row>
    <row r="218" spans="1:10" x14ac:dyDescent="0.2">
      <c r="A218">
        <f>Data!C218</f>
        <v>41</v>
      </c>
      <c r="B218">
        <f>COUNTIFS(Data!$M$2:$M$301,"Train",Data!$C$2:$C$301,"&lt;="&amp;A218)</f>
        <v>99</v>
      </c>
      <c r="C218">
        <f>SUMIFS(Data!$L$2:$L$301,Data!$M$2:$M$301,"Train",Data!$C$2:$C$301,"&lt;="&amp;A218)</f>
        <v>41</v>
      </c>
      <c r="D218">
        <f>COUNTIFS(Data!$M$2:$M$301,"Train",Data!$C$2:$C$301,"&gt;"&amp;A218)</f>
        <v>111</v>
      </c>
      <c r="E218">
        <f>SUMIFS(Data!$L$2:$L$301,Data!$M$2:$M$301,"Train",Data!$C$2:$C$301,"&gt;"&amp;A218)</f>
        <v>69</v>
      </c>
      <c r="F218">
        <f t="shared" si="18"/>
        <v>0.48525660646872776</v>
      </c>
      <c r="G218">
        <f t="shared" si="19"/>
        <v>0.47041636230825423</v>
      </c>
      <c r="H218">
        <f t="shared" si="20"/>
        <v>0.47741247741247744</v>
      </c>
      <c r="I218">
        <f t="shared" si="21"/>
        <v>1</v>
      </c>
      <c r="J218">
        <f t="shared" si="22"/>
        <v>0.47741247741247744</v>
      </c>
    </row>
    <row r="219" spans="1:10" x14ac:dyDescent="0.2">
      <c r="A219">
        <f>Data!C219</f>
        <v>29</v>
      </c>
      <c r="B219">
        <f>COUNTIFS(Data!$M$2:$M$301,"Train",Data!$C$2:$C$301,"&lt;="&amp;A219)</f>
        <v>32</v>
      </c>
      <c r="C219">
        <f>SUMIFS(Data!$L$2:$L$301,Data!$M$2:$M$301,"Train",Data!$C$2:$C$301,"&lt;="&amp;A219)</f>
        <v>6</v>
      </c>
      <c r="D219">
        <f>COUNTIFS(Data!$M$2:$M$301,"Train",Data!$C$2:$C$301,"&gt;"&amp;A219)</f>
        <v>178</v>
      </c>
      <c r="E219">
        <f>SUMIFS(Data!$L$2:$L$301,Data!$M$2:$M$301,"Train",Data!$C$2:$C$301,"&gt;"&amp;A219)</f>
        <v>104</v>
      </c>
      <c r="F219">
        <f t="shared" si="18"/>
        <v>0.3046875</v>
      </c>
      <c r="G219">
        <f t="shared" si="19"/>
        <v>0.48579724782224459</v>
      </c>
      <c r="H219">
        <f t="shared" si="20"/>
        <v>0.45819957196361683</v>
      </c>
      <c r="I219">
        <f t="shared" si="21"/>
        <v>1</v>
      </c>
      <c r="J219">
        <f t="shared" si="22"/>
        <v>0.45819957196361683</v>
      </c>
    </row>
    <row r="220" spans="1:10" x14ac:dyDescent="0.2">
      <c r="A220">
        <f>Data!C220</f>
        <v>37</v>
      </c>
      <c r="B220">
        <f>COUNTIFS(Data!$M$2:$M$301,"Train",Data!$C$2:$C$301,"&lt;="&amp;A220)</f>
        <v>74</v>
      </c>
      <c r="C220">
        <f>SUMIFS(Data!$L$2:$L$301,Data!$M$2:$M$301,"Train",Data!$C$2:$C$301,"&lt;="&amp;A220)</f>
        <v>26</v>
      </c>
      <c r="D220">
        <f>COUNTIFS(Data!$M$2:$M$301,"Train",Data!$C$2:$C$301,"&gt;"&amp;A220)</f>
        <v>136</v>
      </c>
      <c r="E220">
        <f>SUMIFS(Data!$L$2:$L$301,Data!$M$2:$M$301,"Train",Data!$C$2:$C$301,"&gt;"&amp;A220)</f>
        <v>84</v>
      </c>
      <c r="F220">
        <f t="shared" si="18"/>
        <v>0.45580715850986114</v>
      </c>
      <c r="G220">
        <f t="shared" si="19"/>
        <v>0.47231833910034604</v>
      </c>
      <c r="H220">
        <f t="shared" si="20"/>
        <v>0.46650011355893706</v>
      </c>
      <c r="I220">
        <f t="shared" si="21"/>
        <v>1</v>
      </c>
      <c r="J220">
        <f t="shared" si="22"/>
        <v>0.46650011355893706</v>
      </c>
    </row>
    <row r="221" spans="1:10" x14ac:dyDescent="0.2">
      <c r="A221">
        <f>Data!C221</f>
        <v>62</v>
      </c>
      <c r="B221">
        <f>COUNTIFS(Data!$M$2:$M$301,"Train",Data!$C$2:$C$301,"&lt;="&amp;A221)</f>
        <v>200</v>
      </c>
      <c r="C221">
        <f>SUMIFS(Data!$L$2:$L$301,Data!$M$2:$M$301,"Train",Data!$C$2:$C$301,"&lt;="&amp;A221)</f>
        <v>107</v>
      </c>
      <c r="D221">
        <f>COUNTIFS(Data!$M$2:$M$301,"Train",Data!$C$2:$C$301,"&gt;"&amp;A221)</f>
        <v>10</v>
      </c>
      <c r="E221">
        <f>SUMIFS(Data!$L$2:$L$301,Data!$M$2:$M$301,"Train",Data!$C$2:$C$301,"&gt;"&amp;A221)</f>
        <v>3</v>
      </c>
      <c r="F221">
        <f t="shared" si="18"/>
        <v>0.49755000000000005</v>
      </c>
      <c r="G221">
        <f t="shared" si="19"/>
        <v>0.4200000000000001</v>
      </c>
      <c r="H221">
        <f t="shared" si="20"/>
        <v>0.49385714285714288</v>
      </c>
      <c r="I221">
        <f t="shared" si="21"/>
        <v>1</v>
      </c>
      <c r="J221">
        <f t="shared" si="22"/>
        <v>0.49385714285714288</v>
      </c>
    </row>
    <row r="222" spans="1:10" x14ac:dyDescent="0.2">
      <c r="A222">
        <f>Data!C222</f>
        <v>27</v>
      </c>
      <c r="B222">
        <f>COUNTIFS(Data!$M$2:$M$301,"Train",Data!$C$2:$C$301,"&lt;="&amp;A222)</f>
        <v>27</v>
      </c>
      <c r="C222">
        <f>SUMIFS(Data!$L$2:$L$301,Data!$M$2:$M$301,"Train",Data!$C$2:$C$301,"&lt;="&amp;A222)</f>
        <v>3</v>
      </c>
      <c r="D222">
        <f>COUNTIFS(Data!$M$2:$M$301,"Train",Data!$C$2:$C$301,"&gt;"&amp;A222)</f>
        <v>183</v>
      </c>
      <c r="E222">
        <f>SUMIFS(Data!$L$2:$L$301,Data!$M$2:$M$301,"Train",Data!$C$2:$C$301,"&gt;"&amp;A222)</f>
        <v>107</v>
      </c>
      <c r="F222">
        <f t="shared" si="18"/>
        <v>0.19753086419753085</v>
      </c>
      <c r="G222">
        <f t="shared" si="19"/>
        <v>0.48565200513601475</v>
      </c>
      <c r="H222">
        <f t="shared" si="20"/>
        <v>0.44860785844392398</v>
      </c>
      <c r="I222">
        <f t="shared" si="21"/>
        <v>1</v>
      </c>
      <c r="J222">
        <f t="shared" si="22"/>
        <v>0.44860785844392398</v>
      </c>
    </row>
    <row r="223" spans="1:10" x14ac:dyDescent="0.2">
      <c r="A223">
        <f>Data!C223</f>
        <v>37</v>
      </c>
      <c r="B223">
        <f>COUNTIFS(Data!$M$2:$M$301,"Train",Data!$C$2:$C$301,"&lt;="&amp;A223)</f>
        <v>74</v>
      </c>
      <c r="C223">
        <f>SUMIFS(Data!$L$2:$L$301,Data!$M$2:$M$301,"Train",Data!$C$2:$C$301,"&lt;="&amp;A223)</f>
        <v>26</v>
      </c>
      <c r="D223">
        <f>COUNTIFS(Data!$M$2:$M$301,"Train",Data!$C$2:$C$301,"&gt;"&amp;A223)</f>
        <v>136</v>
      </c>
      <c r="E223">
        <f>SUMIFS(Data!$L$2:$L$301,Data!$M$2:$M$301,"Train",Data!$C$2:$C$301,"&gt;"&amp;A223)</f>
        <v>84</v>
      </c>
      <c r="F223">
        <f t="shared" si="18"/>
        <v>0.45580715850986114</v>
      </c>
      <c r="G223">
        <f t="shared" si="19"/>
        <v>0.47231833910034604</v>
      </c>
      <c r="H223">
        <f t="shared" si="20"/>
        <v>0.46650011355893706</v>
      </c>
      <c r="I223">
        <f t="shared" si="21"/>
        <v>1</v>
      </c>
      <c r="J223">
        <f t="shared" si="22"/>
        <v>0.46650011355893706</v>
      </c>
    </row>
    <row r="224" spans="1:10" x14ac:dyDescent="0.2">
      <c r="A224">
        <f>Data!C224</f>
        <v>56</v>
      </c>
      <c r="B224">
        <f>COUNTIFS(Data!$M$2:$M$301,"Train",Data!$C$2:$C$301,"&lt;="&amp;A224)</f>
        <v>178</v>
      </c>
      <c r="C224">
        <f>SUMIFS(Data!$L$2:$L$301,Data!$M$2:$M$301,"Train",Data!$C$2:$C$301,"&lt;="&amp;A224)</f>
        <v>92</v>
      </c>
      <c r="D224">
        <f>COUNTIFS(Data!$M$2:$M$301,"Train",Data!$C$2:$C$301,"&gt;"&amp;A224)</f>
        <v>32</v>
      </c>
      <c r="E224">
        <f>SUMIFS(Data!$L$2:$L$301,Data!$M$2:$M$301,"Train",Data!$C$2:$C$301,"&gt;"&amp;A224)</f>
        <v>18</v>
      </c>
      <c r="F224">
        <f t="shared" si="18"/>
        <v>0.49943188991288978</v>
      </c>
      <c r="G224">
        <f t="shared" si="19"/>
        <v>0.4921875</v>
      </c>
      <c r="H224">
        <f t="shared" si="20"/>
        <v>0.49832798287854468</v>
      </c>
      <c r="I224">
        <f t="shared" si="21"/>
        <v>1</v>
      </c>
      <c r="J224">
        <f t="shared" si="22"/>
        <v>0.49832798287854468</v>
      </c>
    </row>
    <row r="225" spans="1:10" x14ac:dyDescent="0.2">
      <c r="A225">
        <f>Data!C225</f>
        <v>36</v>
      </c>
      <c r="B225">
        <f>COUNTIFS(Data!$M$2:$M$301,"Train",Data!$C$2:$C$301,"&lt;="&amp;A225)</f>
        <v>65</v>
      </c>
      <c r="C225">
        <f>SUMIFS(Data!$L$2:$L$301,Data!$M$2:$M$301,"Train",Data!$C$2:$C$301,"&lt;="&amp;A225)</f>
        <v>22</v>
      </c>
      <c r="D225">
        <f>COUNTIFS(Data!$M$2:$M$301,"Train",Data!$C$2:$C$301,"&gt;"&amp;A225)</f>
        <v>145</v>
      </c>
      <c r="E225">
        <f>SUMIFS(Data!$L$2:$L$301,Data!$M$2:$M$301,"Train",Data!$C$2:$C$301,"&gt;"&amp;A225)</f>
        <v>88</v>
      </c>
      <c r="F225">
        <f t="shared" si="18"/>
        <v>0.44781065088757394</v>
      </c>
      <c r="G225">
        <f t="shared" si="19"/>
        <v>0.47714625445897746</v>
      </c>
      <c r="H225">
        <f t="shared" si="20"/>
        <v>0.46806618668687638</v>
      </c>
      <c r="I225">
        <f t="shared" si="21"/>
        <v>1</v>
      </c>
      <c r="J225">
        <f t="shared" si="22"/>
        <v>0.46806618668687638</v>
      </c>
    </row>
    <row r="226" spans="1:10" x14ac:dyDescent="0.2">
      <c r="A226">
        <f>Data!C226</f>
        <v>23</v>
      </c>
      <c r="B226">
        <f>COUNTIFS(Data!$M$2:$M$301,"Train",Data!$C$2:$C$301,"&lt;="&amp;A226)</f>
        <v>10</v>
      </c>
      <c r="C226">
        <f>SUMIFS(Data!$L$2:$L$301,Data!$M$2:$M$301,"Train",Data!$C$2:$C$301,"&lt;="&amp;A226)</f>
        <v>0</v>
      </c>
      <c r="D226">
        <f>COUNTIFS(Data!$M$2:$M$301,"Train",Data!$C$2:$C$301,"&gt;"&amp;A226)</f>
        <v>200</v>
      </c>
      <c r="E226">
        <f>SUMIFS(Data!$L$2:$L$301,Data!$M$2:$M$301,"Train",Data!$C$2:$C$301,"&gt;"&amp;A226)</f>
        <v>110</v>
      </c>
      <c r="F226">
        <f t="shared" si="18"/>
        <v>0</v>
      </c>
      <c r="G226">
        <f t="shared" si="19"/>
        <v>0.49500000000000005</v>
      </c>
      <c r="H226">
        <f t="shared" si="20"/>
        <v>0.47142857142857147</v>
      </c>
      <c r="I226">
        <f t="shared" si="21"/>
        <v>1</v>
      </c>
      <c r="J226">
        <f t="shared" si="22"/>
        <v>0.47142857142857147</v>
      </c>
    </row>
    <row r="227" spans="1:10" x14ac:dyDescent="0.2">
      <c r="A227">
        <f>Data!C227</f>
        <v>46</v>
      </c>
      <c r="B227">
        <f>COUNTIFS(Data!$M$2:$M$301,"Train",Data!$C$2:$C$301,"&lt;="&amp;A227)</f>
        <v>128</v>
      </c>
      <c r="C227">
        <f>SUMIFS(Data!$L$2:$L$301,Data!$M$2:$M$301,"Train",Data!$C$2:$C$301,"&lt;="&amp;A227)</f>
        <v>56</v>
      </c>
      <c r="D227">
        <f>COUNTIFS(Data!$M$2:$M$301,"Train",Data!$C$2:$C$301,"&gt;"&amp;A227)</f>
        <v>82</v>
      </c>
      <c r="E227">
        <f>SUMIFS(Data!$L$2:$L$301,Data!$M$2:$M$301,"Train",Data!$C$2:$C$301,"&gt;"&amp;A227)</f>
        <v>54</v>
      </c>
      <c r="F227">
        <f t="shared" si="18"/>
        <v>0.4921875</v>
      </c>
      <c r="G227">
        <f t="shared" si="19"/>
        <v>0.44973230220107069</v>
      </c>
      <c r="H227">
        <f t="shared" si="20"/>
        <v>0.47560975609756095</v>
      </c>
      <c r="I227">
        <f t="shared" si="21"/>
        <v>1</v>
      </c>
      <c r="J227">
        <f t="shared" si="22"/>
        <v>0.47560975609756095</v>
      </c>
    </row>
    <row r="228" spans="1:10" x14ac:dyDescent="0.2">
      <c r="A228">
        <f>Data!C228</f>
        <v>26</v>
      </c>
      <c r="B228">
        <f>COUNTIFS(Data!$M$2:$M$301,"Train",Data!$C$2:$C$301,"&lt;="&amp;A228)</f>
        <v>22</v>
      </c>
      <c r="C228">
        <f>SUMIFS(Data!$L$2:$L$301,Data!$M$2:$M$301,"Train",Data!$C$2:$C$301,"&lt;="&amp;A228)</f>
        <v>1</v>
      </c>
      <c r="D228">
        <f>COUNTIFS(Data!$M$2:$M$301,"Train",Data!$C$2:$C$301,"&gt;"&amp;A228)</f>
        <v>188</v>
      </c>
      <c r="E228">
        <f>SUMIFS(Data!$L$2:$L$301,Data!$M$2:$M$301,"Train",Data!$C$2:$C$301,"&gt;"&amp;A228)</f>
        <v>109</v>
      </c>
      <c r="F228">
        <f t="shared" si="18"/>
        <v>8.6776859504132053E-2</v>
      </c>
      <c r="G228">
        <f t="shared" si="19"/>
        <v>0.48726799456767766</v>
      </c>
      <c r="H228">
        <f t="shared" si="20"/>
        <v>0.44531178041816338</v>
      </c>
      <c r="I228">
        <f t="shared" si="21"/>
        <v>1</v>
      </c>
      <c r="J228">
        <f t="shared" si="22"/>
        <v>0.44531178041816338</v>
      </c>
    </row>
    <row r="229" spans="1:10" x14ac:dyDescent="0.2">
      <c r="A229">
        <f>Data!C229</f>
        <v>43</v>
      </c>
      <c r="B229">
        <f>COUNTIFS(Data!$M$2:$M$301,"Train",Data!$C$2:$C$301,"&lt;="&amp;A229)</f>
        <v>113</v>
      </c>
      <c r="C229">
        <f>SUMIFS(Data!$L$2:$L$301,Data!$M$2:$M$301,"Train",Data!$C$2:$C$301,"&lt;="&amp;A229)</f>
        <v>48</v>
      </c>
      <c r="D229">
        <f>COUNTIFS(Data!$M$2:$M$301,"Train",Data!$C$2:$C$301,"&gt;"&amp;A229)</f>
        <v>97</v>
      </c>
      <c r="E229">
        <f>SUMIFS(Data!$L$2:$L$301,Data!$M$2:$M$301,"Train",Data!$C$2:$C$301,"&gt;"&amp;A229)</f>
        <v>62</v>
      </c>
      <c r="F229">
        <f t="shared" si="18"/>
        <v>0.48868353042524865</v>
      </c>
      <c r="G229">
        <f t="shared" si="19"/>
        <v>0.46126049527048574</v>
      </c>
      <c r="H229">
        <f t="shared" si="20"/>
        <v>0.47601669990138196</v>
      </c>
      <c r="I229">
        <f t="shared" si="21"/>
        <v>1</v>
      </c>
      <c r="J229">
        <f t="shared" si="22"/>
        <v>0.47601669990138196</v>
      </c>
    </row>
    <row r="230" spans="1:10" x14ac:dyDescent="0.2">
      <c r="A230">
        <f>Data!C230</f>
        <v>36</v>
      </c>
      <c r="B230">
        <f>COUNTIFS(Data!$M$2:$M$301,"Train",Data!$C$2:$C$301,"&lt;="&amp;A230)</f>
        <v>65</v>
      </c>
      <c r="C230">
        <f>SUMIFS(Data!$L$2:$L$301,Data!$M$2:$M$301,"Train",Data!$C$2:$C$301,"&lt;="&amp;A230)</f>
        <v>22</v>
      </c>
      <c r="D230">
        <f>COUNTIFS(Data!$M$2:$M$301,"Train",Data!$C$2:$C$301,"&gt;"&amp;A230)</f>
        <v>145</v>
      </c>
      <c r="E230">
        <f>SUMIFS(Data!$L$2:$L$301,Data!$M$2:$M$301,"Train",Data!$C$2:$C$301,"&gt;"&amp;A230)</f>
        <v>88</v>
      </c>
      <c r="F230">
        <f t="shared" si="18"/>
        <v>0.44781065088757394</v>
      </c>
      <c r="G230">
        <f t="shared" si="19"/>
        <v>0.47714625445897746</v>
      </c>
      <c r="H230">
        <f t="shared" si="20"/>
        <v>0.46806618668687638</v>
      </c>
      <c r="I230">
        <f t="shared" si="21"/>
        <v>1</v>
      </c>
      <c r="J230">
        <f t="shared" si="22"/>
        <v>0.46806618668687638</v>
      </c>
    </row>
    <row r="231" spans="1:10" x14ac:dyDescent="0.2">
      <c r="A231">
        <f>Data!C231</f>
        <v>54</v>
      </c>
      <c r="B231">
        <f>COUNTIFS(Data!$M$2:$M$301,"Train",Data!$C$2:$C$301,"&lt;="&amp;A231)</f>
        <v>169</v>
      </c>
      <c r="C231">
        <f>SUMIFS(Data!$L$2:$L$301,Data!$M$2:$M$301,"Train",Data!$C$2:$C$301,"&lt;="&amp;A231)</f>
        <v>87</v>
      </c>
      <c r="D231">
        <f>COUNTIFS(Data!$M$2:$M$301,"Train",Data!$C$2:$C$301,"&gt;"&amp;A231)</f>
        <v>41</v>
      </c>
      <c r="E231">
        <f>SUMIFS(Data!$L$2:$L$301,Data!$M$2:$M$301,"Train",Data!$C$2:$C$301,"&gt;"&amp;A231)</f>
        <v>23</v>
      </c>
      <c r="F231">
        <f t="shared" si="18"/>
        <v>0.49956234025419283</v>
      </c>
      <c r="G231">
        <f t="shared" si="19"/>
        <v>0.49256395002974424</v>
      </c>
      <c r="H231">
        <f t="shared" si="20"/>
        <v>0.49819598787703856</v>
      </c>
      <c r="I231">
        <f t="shared" si="21"/>
        <v>1</v>
      </c>
      <c r="J231">
        <f t="shared" si="22"/>
        <v>0.49819598787703856</v>
      </c>
    </row>
    <row r="232" spans="1:10" x14ac:dyDescent="0.2">
      <c r="A232">
        <f>Data!C232</f>
        <v>62</v>
      </c>
      <c r="B232">
        <f>COUNTIFS(Data!$M$2:$M$301,"Train",Data!$C$2:$C$301,"&lt;="&amp;A232)</f>
        <v>200</v>
      </c>
      <c r="C232">
        <f>SUMIFS(Data!$L$2:$L$301,Data!$M$2:$M$301,"Train",Data!$C$2:$C$301,"&lt;="&amp;A232)</f>
        <v>107</v>
      </c>
      <c r="D232">
        <f>COUNTIFS(Data!$M$2:$M$301,"Train",Data!$C$2:$C$301,"&gt;"&amp;A232)</f>
        <v>10</v>
      </c>
      <c r="E232">
        <f>SUMIFS(Data!$L$2:$L$301,Data!$M$2:$M$301,"Train",Data!$C$2:$C$301,"&gt;"&amp;A232)</f>
        <v>3</v>
      </c>
      <c r="F232">
        <f t="shared" si="18"/>
        <v>0.49755000000000005</v>
      </c>
      <c r="G232">
        <f t="shared" si="19"/>
        <v>0.4200000000000001</v>
      </c>
      <c r="H232">
        <f t="shared" si="20"/>
        <v>0.49385714285714288</v>
      </c>
      <c r="I232">
        <f t="shared" si="21"/>
        <v>1</v>
      </c>
      <c r="J232">
        <f t="shared" si="22"/>
        <v>0.49385714285714288</v>
      </c>
    </row>
    <row r="233" spans="1:10" x14ac:dyDescent="0.2">
      <c r="A233">
        <f>Data!C233</f>
        <v>40</v>
      </c>
      <c r="B233">
        <f>COUNTIFS(Data!$M$2:$M$301,"Train",Data!$C$2:$C$301,"&lt;="&amp;A233)</f>
        <v>95</v>
      </c>
      <c r="C233">
        <f>SUMIFS(Data!$L$2:$L$301,Data!$M$2:$M$301,"Train",Data!$C$2:$C$301,"&lt;="&amp;A233)</f>
        <v>40</v>
      </c>
      <c r="D233">
        <f>COUNTIFS(Data!$M$2:$M$301,"Train",Data!$C$2:$C$301,"&gt;"&amp;A233)</f>
        <v>115</v>
      </c>
      <c r="E233">
        <f>SUMIFS(Data!$L$2:$L$301,Data!$M$2:$M$301,"Train",Data!$C$2:$C$301,"&gt;"&amp;A233)</f>
        <v>70</v>
      </c>
      <c r="F233">
        <f t="shared" si="18"/>
        <v>0.48753462603878117</v>
      </c>
      <c r="G233">
        <f t="shared" si="19"/>
        <v>0.47637051039697548</v>
      </c>
      <c r="H233">
        <f t="shared" si="20"/>
        <v>0.48142094366350663</v>
      </c>
      <c r="I233">
        <f t="shared" si="21"/>
        <v>1</v>
      </c>
      <c r="J233">
        <f t="shared" si="22"/>
        <v>0.48142094366350663</v>
      </c>
    </row>
    <row r="234" spans="1:10" x14ac:dyDescent="0.2">
      <c r="A234">
        <f>Data!C234</f>
        <v>53</v>
      </c>
      <c r="B234">
        <f>COUNTIFS(Data!$M$2:$M$301,"Train",Data!$C$2:$C$301,"&lt;="&amp;A234)</f>
        <v>164</v>
      </c>
      <c r="C234">
        <f>SUMIFS(Data!$L$2:$L$301,Data!$M$2:$M$301,"Train",Data!$C$2:$C$301,"&lt;="&amp;A234)</f>
        <v>83</v>
      </c>
      <c r="D234">
        <f>COUNTIFS(Data!$M$2:$M$301,"Train",Data!$C$2:$C$301,"&gt;"&amp;A234)</f>
        <v>46</v>
      </c>
      <c r="E234">
        <f>SUMIFS(Data!$L$2:$L$301,Data!$M$2:$M$301,"Train",Data!$C$2:$C$301,"&gt;"&amp;A234)</f>
        <v>27</v>
      </c>
      <c r="F234">
        <f t="shared" si="18"/>
        <v>0.49992563950029739</v>
      </c>
      <c r="G234">
        <f t="shared" si="19"/>
        <v>0.48487712665406429</v>
      </c>
      <c r="H234">
        <f t="shared" si="20"/>
        <v>0.49662929859112254</v>
      </c>
      <c r="I234">
        <f t="shared" si="21"/>
        <v>1</v>
      </c>
      <c r="J234">
        <f t="shared" si="22"/>
        <v>0.49662929859112254</v>
      </c>
    </row>
    <row r="235" spans="1:10" x14ac:dyDescent="0.2">
      <c r="A235">
        <f>Data!C235</f>
        <v>48</v>
      </c>
      <c r="B235">
        <f>COUNTIFS(Data!$M$2:$M$301,"Train",Data!$C$2:$C$301,"&lt;="&amp;A235)</f>
        <v>136</v>
      </c>
      <c r="C235">
        <f>SUMIFS(Data!$L$2:$L$301,Data!$M$2:$M$301,"Train",Data!$C$2:$C$301,"&lt;="&amp;A235)</f>
        <v>64</v>
      </c>
      <c r="D235">
        <f>COUNTIFS(Data!$M$2:$M$301,"Train",Data!$C$2:$C$301,"&gt;"&amp;A235)</f>
        <v>74</v>
      </c>
      <c r="E235">
        <f>SUMIFS(Data!$L$2:$L$301,Data!$M$2:$M$301,"Train",Data!$C$2:$C$301,"&gt;"&amp;A235)</f>
        <v>46</v>
      </c>
      <c r="F235">
        <f t="shared" si="18"/>
        <v>0.49826989619377154</v>
      </c>
      <c r="G235">
        <f t="shared" si="19"/>
        <v>0.47041636230825423</v>
      </c>
      <c r="H235">
        <f t="shared" si="20"/>
        <v>0.4884548413960178</v>
      </c>
      <c r="I235">
        <f t="shared" si="21"/>
        <v>1</v>
      </c>
      <c r="J235">
        <f t="shared" si="22"/>
        <v>0.4884548413960178</v>
      </c>
    </row>
    <row r="236" spans="1:10" x14ac:dyDescent="0.2">
      <c r="A236">
        <f>Data!C236</f>
        <v>23</v>
      </c>
      <c r="B236">
        <f>COUNTIFS(Data!$M$2:$M$301,"Train",Data!$C$2:$C$301,"&lt;="&amp;A236)</f>
        <v>10</v>
      </c>
      <c r="C236">
        <f>SUMIFS(Data!$L$2:$L$301,Data!$M$2:$M$301,"Train",Data!$C$2:$C$301,"&lt;="&amp;A236)</f>
        <v>0</v>
      </c>
      <c r="D236">
        <f>COUNTIFS(Data!$M$2:$M$301,"Train",Data!$C$2:$C$301,"&gt;"&amp;A236)</f>
        <v>200</v>
      </c>
      <c r="E236">
        <f>SUMIFS(Data!$L$2:$L$301,Data!$M$2:$M$301,"Train",Data!$C$2:$C$301,"&gt;"&amp;A236)</f>
        <v>110</v>
      </c>
      <c r="F236">
        <f t="shared" si="18"/>
        <v>0</v>
      </c>
      <c r="G236">
        <f t="shared" si="19"/>
        <v>0.49500000000000005</v>
      </c>
      <c r="H236">
        <f t="shared" si="20"/>
        <v>0.47142857142857147</v>
      </c>
      <c r="I236">
        <f t="shared" si="21"/>
        <v>1</v>
      </c>
      <c r="J236">
        <f t="shared" si="22"/>
        <v>0.47142857142857147</v>
      </c>
    </row>
    <row r="237" spans="1:10" x14ac:dyDescent="0.2">
      <c r="A237">
        <f>Data!C237</f>
        <v>34</v>
      </c>
      <c r="B237">
        <f>COUNTIFS(Data!$M$2:$M$301,"Train",Data!$C$2:$C$301,"&lt;="&amp;A237)</f>
        <v>55</v>
      </c>
      <c r="C237">
        <f>SUMIFS(Data!$L$2:$L$301,Data!$M$2:$M$301,"Train",Data!$C$2:$C$301,"&lt;="&amp;A237)</f>
        <v>17</v>
      </c>
      <c r="D237">
        <f>COUNTIFS(Data!$M$2:$M$301,"Train",Data!$C$2:$C$301,"&gt;"&amp;A237)</f>
        <v>155</v>
      </c>
      <c r="E237">
        <f>SUMIFS(Data!$L$2:$L$301,Data!$M$2:$M$301,"Train",Data!$C$2:$C$301,"&gt;"&amp;A237)</f>
        <v>93</v>
      </c>
      <c r="F237">
        <f t="shared" si="18"/>
        <v>0.42710743801652895</v>
      </c>
      <c r="G237">
        <f t="shared" si="19"/>
        <v>0.48</v>
      </c>
      <c r="H237">
        <f t="shared" si="20"/>
        <v>0.46614718614718609</v>
      </c>
      <c r="I237">
        <f t="shared" si="21"/>
        <v>1</v>
      </c>
      <c r="J237">
        <f t="shared" si="22"/>
        <v>0.46614718614718609</v>
      </c>
    </row>
    <row r="238" spans="1:10" x14ac:dyDescent="0.2">
      <c r="A238">
        <f>Data!C238</f>
        <v>43</v>
      </c>
      <c r="B238">
        <f>COUNTIFS(Data!$M$2:$M$301,"Train",Data!$C$2:$C$301,"&lt;="&amp;A238)</f>
        <v>113</v>
      </c>
      <c r="C238">
        <f>SUMIFS(Data!$L$2:$L$301,Data!$M$2:$M$301,"Train",Data!$C$2:$C$301,"&lt;="&amp;A238)</f>
        <v>48</v>
      </c>
      <c r="D238">
        <f>COUNTIFS(Data!$M$2:$M$301,"Train",Data!$C$2:$C$301,"&gt;"&amp;A238)</f>
        <v>97</v>
      </c>
      <c r="E238">
        <f>SUMIFS(Data!$L$2:$L$301,Data!$M$2:$M$301,"Train",Data!$C$2:$C$301,"&gt;"&amp;A238)</f>
        <v>62</v>
      </c>
      <c r="F238">
        <f t="shared" si="18"/>
        <v>0.48868353042524865</v>
      </c>
      <c r="G238">
        <f t="shared" si="19"/>
        <v>0.46126049527048574</v>
      </c>
      <c r="H238">
        <f t="shared" si="20"/>
        <v>0.47601669990138196</v>
      </c>
      <c r="I238">
        <f t="shared" si="21"/>
        <v>1</v>
      </c>
      <c r="J238">
        <f t="shared" si="22"/>
        <v>0.47601669990138196</v>
      </c>
    </row>
    <row r="239" spans="1:10" x14ac:dyDescent="0.2">
      <c r="A239">
        <f>Data!C239</f>
        <v>55</v>
      </c>
      <c r="B239">
        <f>COUNTIFS(Data!$M$2:$M$301,"Train",Data!$C$2:$C$301,"&lt;="&amp;A239)</f>
        <v>176</v>
      </c>
      <c r="C239">
        <f>SUMIFS(Data!$L$2:$L$301,Data!$M$2:$M$301,"Train",Data!$C$2:$C$301,"&lt;="&amp;A239)</f>
        <v>91</v>
      </c>
      <c r="D239">
        <f>COUNTIFS(Data!$M$2:$M$301,"Train",Data!$C$2:$C$301,"&gt;"&amp;A239)</f>
        <v>34</v>
      </c>
      <c r="E239">
        <f>SUMIFS(Data!$L$2:$L$301,Data!$M$2:$M$301,"Train",Data!$C$2:$C$301,"&gt;"&amp;A239)</f>
        <v>19</v>
      </c>
      <c r="F239">
        <f t="shared" si="18"/>
        <v>0.49941890495867769</v>
      </c>
      <c r="G239">
        <f t="shared" si="19"/>
        <v>0.49307958477508645</v>
      </c>
      <c r="H239">
        <f t="shared" si="20"/>
        <v>0.49839253883371537</v>
      </c>
      <c r="I239">
        <f t="shared" si="21"/>
        <v>1</v>
      </c>
      <c r="J239">
        <f t="shared" si="22"/>
        <v>0.49839253883371537</v>
      </c>
    </row>
    <row r="240" spans="1:10" x14ac:dyDescent="0.2">
      <c r="A240">
        <f>Data!C240</f>
        <v>59</v>
      </c>
      <c r="B240">
        <f>COUNTIFS(Data!$M$2:$M$301,"Train",Data!$C$2:$C$301,"&lt;="&amp;A240)</f>
        <v>190</v>
      </c>
      <c r="C240">
        <f>SUMIFS(Data!$L$2:$L$301,Data!$M$2:$M$301,"Train",Data!$C$2:$C$301,"&lt;="&amp;A240)</f>
        <v>100</v>
      </c>
      <c r="D240">
        <f>COUNTIFS(Data!$M$2:$M$301,"Train",Data!$C$2:$C$301,"&gt;"&amp;A240)</f>
        <v>20</v>
      </c>
      <c r="E240">
        <f>SUMIFS(Data!$L$2:$L$301,Data!$M$2:$M$301,"Train",Data!$C$2:$C$301,"&gt;"&amp;A240)</f>
        <v>10</v>
      </c>
      <c r="F240">
        <f t="shared" si="18"/>
        <v>0.49861495844875342</v>
      </c>
      <c r="G240">
        <f t="shared" si="19"/>
        <v>0.5</v>
      </c>
      <c r="H240">
        <f t="shared" si="20"/>
        <v>0.49874686716791977</v>
      </c>
      <c r="I240">
        <f t="shared" si="21"/>
        <v>1</v>
      </c>
      <c r="J240">
        <f t="shared" si="22"/>
        <v>0.49874686716791977</v>
      </c>
    </row>
    <row r="241" spans="1:10" x14ac:dyDescent="0.2">
      <c r="A241">
        <f>Data!C241</f>
        <v>60</v>
      </c>
      <c r="B241">
        <f>COUNTIFS(Data!$M$2:$M$301,"Train",Data!$C$2:$C$301,"&lt;="&amp;A241)</f>
        <v>194</v>
      </c>
      <c r="C241">
        <f>SUMIFS(Data!$L$2:$L$301,Data!$M$2:$M$301,"Train",Data!$C$2:$C$301,"&lt;="&amp;A241)</f>
        <v>104</v>
      </c>
      <c r="D241">
        <f>COUNTIFS(Data!$M$2:$M$301,"Train",Data!$C$2:$C$301,"&gt;"&amp;A241)</f>
        <v>16</v>
      </c>
      <c r="E241">
        <f>SUMIFS(Data!$L$2:$L$301,Data!$M$2:$M$301,"Train",Data!$C$2:$C$301,"&gt;"&amp;A241)</f>
        <v>6</v>
      </c>
      <c r="F241">
        <f t="shared" si="18"/>
        <v>0.49739611010734408</v>
      </c>
      <c r="G241">
        <f t="shared" si="19"/>
        <v>0.46875</v>
      </c>
      <c r="H241">
        <f t="shared" si="20"/>
        <v>0.49521354933726075</v>
      </c>
      <c r="I241">
        <f t="shared" si="21"/>
        <v>1</v>
      </c>
      <c r="J241">
        <f t="shared" si="22"/>
        <v>0.49521354933726075</v>
      </c>
    </row>
    <row r="242" spans="1:10" x14ac:dyDescent="0.2">
      <c r="A242">
        <f>Data!C242</f>
        <v>49</v>
      </c>
      <c r="B242">
        <f>COUNTIFS(Data!$M$2:$M$301,"Train",Data!$C$2:$C$301,"&lt;="&amp;A242)</f>
        <v>143</v>
      </c>
      <c r="C242">
        <f>SUMIFS(Data!$L$2:$L$301,Data!$M$2:$M$301,"Train",Data!$C$2:$C$301,"&lt;="&amp;A242)</f>
        <v>70</v>
      </c>
      <c r="D242">
        <f>COUNTIFS(Data!$M$2:$M$301,"Train",Data!$C$2:$C$301,"&gt;"&amp;A242)</f>
        <v>67</v>
      </c>
      <c r="E242">
        <f>SUMIFS(Data!$L$2:$L$301,Data!$M$2:$M$301,"Train",Data!$C$2:$C$301,"&gt;"&amp;A242)</f>
        <v>40</v>
      </c>
      <c r="F242">
        <f t="shared" si="18"/>
        <v>0.49977994033938095</v>
      </c>
      <c r="G242">
        <f t="shared" si="19"/>
        <v>0.48117620850969045</v>
      </c>
      <c r="H242">
        <f t="shared" si="20"/>
        <v>0.49384446399371779</v>
      </c>
      <c r="I242">
        <f t="shared" si="21"/>
        <v>1</v>
      </c>
      <c r="J242">
        <f t="shared" si="22"/>
        <v>0.49384446399371779</v>
      </c>
    </row>
    <row r="243" spans="1:10" x14ac:dyDescent="0.2">
      <c r="A243">
        <f>Data!C243</f>
        <v>45</v>
      </c>
      <c r="B243">
        <f>COUNTIFS(Data!$M$2:$M$301,"Train",Data!$C$2:$C$301,"&lt;="&amp;A243)</f>
        <v>123</v>
      </c>
      <c r="C243">
        <f>SUMIFS(Data!$L$2:$L$301,Data!$M$2:$M$301,"Train",Data!$C$2:$C$301,"&lt;="&amp;A243)</f>
        <v>55</v>
      </c>
      <c r="D243">
        <f>COUNTIFS(Data!$M$2:$M$301,"Train",Data!$C$2:$C$301,"&gt;"&amp;A243)</f>
        <v>87</v>
      </c>
      <c r="E243">
        <f>SUMIFS(Data!$L$2:$L$301,Data!$M$2:$M$301,"Train",Data!$C$2:$C$301,"&gt;"&amp;A243)</f>
        <v>55</v>
      </c>
      <c r="F243">
        <f t="shared" si="18"/>
        <v>0.49441470024456341</v>
      </c>
      <c r="G243">
        <f t="shared" si="19"/>
        <v>0.46505482890738531</v>
      </c>
      <c r="H243">
        <f t="shared" si="20"/>
        <v>0.48225132497630396</v>
      </c>
      <c r="I243">
        <f t="shared" si="21"/>
        <v>1</v>
      </c>
      <c r="J243">
        <f t="shared" si="22"/>
        <v>0.48225132497630396</v>
      </c>
    </row>
    <row r="244" spans="1:10" x14ac:dyDescent="0.2">
      <c r="A244">
        <f>Data!C244</f>
        <v>31</v>
      </c>
      <c r="B244">
        <f>COUNTIFS(Data!$M$2:$M$301,"Train",Data!$C$2:$C$301,"&lt;="&amp;A244)</f>
        <v>37</v>
      </c>
      <c r="C244">
        <f>SUMIFS(Data!$L$2:$L$301,Data!$M$2:$M$301,"Train",Data!$C$2:$C$301,"&lt;="&amp;A244)</f>
        <v>9</v>
      </c>
      <c r="D244">
        <f>COUNTIFS(Data!$M$2:$M$301,"Train",Data!$C$2:$C$301,"&gt;"&amp;A244)</f>
        <v>173</v>
      </c>
      <c r="E244">
        <f>SUMIFS(Data!$L$2:$L$301,Data!$M$2:$M$301,"Train",Data!$C$2:$C$301,"&gt;"&amp;A244)</f>
        <v>101</v>
      </c>
      <c r="F244">
        <f t="shared" si="18"/>
        <v>0.36815193571950322</v>
      </c>
      <c r="G244">
        <f t="shared" si="19"/>
        <v>0.485950081860403</v>
      </c>
      <c r="H244">
        <f t="shared" si="20"/>
        <v>0.46519517039748254</v>
      </c>
      <c r="I244">
        <f t="shared" si="21"/>
        <v>1</v>
      </c>
      <c r="J244">
        <f t="shared" si="22"/>
        <v>0.46519517039748254</v>
      </c>
    </row>
    <row r="245" spans="1:10" x14ac:dyDescent="0.2">
      <c r="A245">
        <f>Data!C245</f>
        <v>34</v>
      </c>
      <c r="B245">
        <f>COUNTIFS(Data!$M$2:$M$301,"Train",Data!$C$2:$C$301,"&lt;="&amp;A245)</f>
        <v>55</v>
      </c>
      <c r="C245">
        <f>SUMIFS(Data!$L$2:$L$301,Data!$M$2:$M$301,"Train",Data!$C$2:$C$301,"&lt;="&amp;A245)</f>
        <v>17</v>
      </c>
      <c r="D245">
        <f>COUNTIFS(Data!$M$2:$M$301,"Train",Data!$C$2:$C$301,"&gt;"&amp;A245)</f>
        <v>155</v>
      </c>
      <c r="E245">
        <f>SUMIFS(Data!$L$2:$L$301,Data!$M$2:$M$301,"Train",Data!$C$2:$C$301,"&gt;"&amp;A245)</f>
        <v>93</v>
      </c>
      <c r="F245">
        <f t="shared" si="18"/>
        <v>0.42710743801652895</v>
      </c>
      <c r="G245">
        <f t="shared" si="19"/>
        <v>0.48</v>
      </c>
      <c r="H245">
        <f t="shared" si="20"/>
        <v>0.46614718614718609</v>
      </c>
      <c r="I245">
        <f t="shared" si="21"/>
        <v>1</v>
      </c>
      <c r="J245">
        <f t="shared" si="22"/>
        <v>0.46614718614718609</v>
      </c>
    </row>
    <row r="246" spans="1:10" x14ac:dyDescent="0.2">
      <c r="A246">
        <f>Data!C246</f>
        <v>26</v>
      </c>
      <c r="B246">
        <f>COUNTIFS(Data!$M$2:$M$301,"Train",Data!$C$2:$C$301,"&lt;="&amp;A246)</f>
        <v>22</v>
      </c>
      <c r="C246">
        <f>SUMIFS(Data!$L$2:$L$301,Data!$M$2:$M$301,"Train",Data!$C$2:$C$301,"&lt;="&amp;A246)</f>
        <v>1</v>
      </c>
      <c r="D246">
        <f>COUNTIFS(Data!$M$2:$M$301,"Train",Data!$C$2:$C$301,"&gt;"&amp;A246)</f>
        <v>188</v>
      </c>
      <c r="E246">
        <f>SUMIFS(Data!$L$2:$L$301,Data!$M$2:$M$301,"Train",Data!$C$2:$C$301,"&gt;"&amp;A246)</f>
        <v>109</v>
      </c>
      <c r="F246">
        <f t="shared" si="18"/>
        <v>8.6776859504132053E-2</v>
      </c>
      <c r="G246">
        <f t="shared" si="19"/>
        <v>0.48726799456767766</v>
      </c>
      <c r="H246">
        <f t="shared" si="20"/>
        <v>0.44531178041816338</v>
      </c>
      <c r="I246">
        <f t="shared" si="21"/>
        <v>1</v>
      </c>
      <c r="J246">
        <f t="shared" si="22"/>
        <v>0.44531178041816338</v>
      </c>
    </row>
    <row r="247" spans="1:10" x14ac:dyDescent="0.2">
      <c r="A247">
        <f>Data!C247</f>
        <v>22</v>
      </c>
      <c r="B247">
        <f>COUNTIFS(Data!$M$2:$M$301,"Train",Data!$C$2:$C$301,"&lt;="&amp;A247)</f>
        <v>8</v>
      </c>
      <c r="C247">
        <f>SUMIFS(Data!$L$2:$L$301,Data!$M$2:$M$301,"Train",Data!$C$2:$C$301,"&lt;="&amp;A247)</f>
        <v>0</v>
      </c>
      <c r="D247">
        <f>COUNTIFS(Data!$M$2:$M$301,"Train",Data!$C$2:$C$301,"&gt;"&amp;A247)</f>
        <v>202</v>
      </c>
      <c r="E247">
        <f>SUMIFS(Data!$L$2:$L$301,Data!$M$2:$M$301,"Train",Data!$C$2:$C$301,"&gt;"&amp;A247)</f>
        <v>110</v>
      </c>
      <c r="F247">
        <f t="shared" si="18"/>
        <v>0</v>
      </c>
      <c r="G247">
        <f t="shared" si="19"/>
        <v>0.49602980099990202</v>
      </c>
      <c r="H247">
        <f t="shared" si="20"/>
        <v>0.47713342762847716</v>
      </c>
      <c r="I247">
        <f t="shared" si="21"/>
        <v>1</v>
      </c>
      <c r="J247">
        <f t="shared" si="22"/>
        <v>0.47713342762847716</v>
      </c>
    </row>
    <row r="248" spans="1:10" x14ac:dyDescent="0.2">
      <c r="A248">
        <f>Data!C248</f>
        <v>40</v>
      </c>
      <c r="B248">
        <f>COUNTIFS(Data!$M$2:$M$301,"Train",Data!$C$2:$C$301,"&lt;="&amp;A248)</f>
        <v>95</v>
      </c>
      <c r="C248">
        <f>SUMIFS(Data!$L$2:$L$301,Data!$M$2:$M$301,"Train",Data!$C$2:$C$301,"&lt;="&amp;A248)</f>
        <v>40</v>
      </c>
      <c r="D248">
        <f>COUNTIFS(Data!$M$2:$M$301,"Train",Data!$C$2:$C$301,"&gt;"&amp;A248)</f>
        <v>115</v>
      </c>
      <c r="E248">
        <f>SUMIFS(Data!$L$2:$L$301,Data!$M$2:$M$301,"Train",Data!$C$2:$C$301,"&gt;"&amp;A248)</f>
        <v>70</v>
      </c>
      <c r="F248">
        <f t="shared" si="18"/>
        <v>0.48753462603878117</v>
      </c>
      <c r="G248">
        <f t="shared" si="19"/>
        <v>0.47637051039697548</v>
      </c>
      <c r="H248">
        <f t="shared" si="20"/>
        <v>0.48142094366350663</v>
      </c>
      <c r="I248">
        <f t="shared" si="21"/>
        <v>1</v>
      </c>
      <c r="J248">
        <f t="shared" si="22"/>
        <v>0.48142094366350663</v>
      </c>
    </row>
    <row r="249" spans="1:10" x14ac:dyDescent="0.2">
      <c r="A249">
        <f>Data!C249</f>
        <v>41</v>
      </c>
      <c r="B249">
        <f>COUNTIFS(Data!$M$2:$M$301,"Train",Data!$C$2:$C$301,"&lt;="&amp;A249)</f>
        <v>99</v>
      </c>
      <c r="C249">
        <f>SUMIFS(Data!$L$2:$L$301,Data!$M$2:$M$301,"Train",Data!$C$2:$C$301,"&lt;="&amp;A249)</f>
        <v>41</v>
      </c>
      <c r="D249">
        <f>COUNTIFS(Data!$M$2:$M$301,"Train",Data!$C$2:$C$301,"&gt;"&amp;A249)</f>
        <v>111</v>
      </c>
      <c r="E249">
        <f>SUMIFS(Data!$L$2:$L$301,Data!$M$2:$M$301,"Train",Data!$C$2:$C$301,"&gt;"&amp;A249)</f>
        <v>69</v>
      </c>
      <c r="F249">
        <f t="shared" si="18"/>
        <v>0.48525660646872776</v>
      </c>
      <c r="G249">
        <f t="shared" si="19"/>
        <v>0.47041636230825423</v>
      </c>
      <c r="H249">
        <f t="shared" si="20"/>
        <v>0.47741247741247744</v>
      </c>
      <c r="I249">
        <f t="shared" si="21"/>
        <v>1</v>
      </c>
      <c r="J249">
        <f t="shared" si="22"/>
        <v>0.47741247741247744</v>
      </c>
    </row>
    <row r="250" spans="1:10" x14ac:dyDescent="0.2">
      <c r="A250">
        <f>Data!C250</f>
        <v>36</v>
      </c>
      <c r="B250">
        <f>COUNTIFS(Data!$M$2:$M$301,"Train",Data!$C$2:$C$301,"&lt;="&amp;A250)</f>
        <v>65</v>
      </c>
      <c r="C250">
        <f>SUMIFS(Data!$L$2:$L$301,Data!$M$2:$M$301,"Train",Data!$C$2:$C$301,"&lt;="&amp;A250)</f>
        <v>22</v>
      </c>
      <c r="D250">
        <f>COUNTIFS(Data!$M$2:$M$301,"Train",Data!$C$2:$C$301,"&gt;"&amp;A250)</f>
        <v>145</v>
      </c>
      <c r="E250">
        <f>SUMIFS(Data!$L$2:$L$301,Data!$M$2:$M$301,"Train",Data!$C$2:$C$301,"&gt;"&amp;A250)</f>
        <v>88</v>
      </c>
      <c r="F250">
        <f t="shared" si="18"/>
        <v>0.44781065088757394</v>
      </c>
      <c r="G250">
        <f t="shared" si="19"/>
        <v>0.47714625445897746</v>
      </c>
      <c r="H250">
        <f t="shared" si="20"/>
        <v>0.46806618668687638</v>
      </c>
      <c r="I250">
        <f t="shared" si="21"/>
        <v>1</v>
      </c>
      <c r="J250">
        <f t="shared" si="22"/>
        <v>0.46806618668687638</v>
      </c>
    </row>
    <row r="251" spans="1:10" x14ac:dyDescent="0.2">
      <c r="A251">
        <f>Data!C251</f>
        <v>38</v>
      </c>
      <c r="B251">
        <f>COUNTIFS(Data!$M$2:$M$301,"Train",Data!$C$2:$C$301,"&lt;="&amp;A251)</f>
        <v>81</v>
      </c>
      <c r="C251">
        <f>SUMIFS(Data!$L$2:$L$301,Data!$M$2:$M$301,"Train",Data!$C$2:$C$301,"&lt;="&amp;A251)</f>
        <v>32</v>
      </c>
      <c r="D251">
        <f>COUNTIFS(Data!$M$2:$M$301,"Train",Data!$C$2:$C$301,"&gt;"&amp;A251)</f>
        <v>129</v>
      </c>
      <c r="E251">
        <f>SUMIFS(Data!$L$2:$L$301,Data!$M$2:$M$301,"Train",Data!$C$2:$C$301,"&gt;"&amp;A251)</f>
        <v>78</v>
      </c>
      <c r="F251">
        <f t="shared" si="18"/>
        <v>0.47797591830513642</v>
      </c>
      <c r="G251">
        <f t="shared" si="19"/>
        <v>0.4780962682531098</v>
      </c>
      <c r="H251">
        <f t="shared" si="20"/>
        <v>0.47804984755889152</v>
      </c>
      <c r="I251">
        <f t="shared" si="21"/>
        <v>1</v>
      </c>
      <c r="J251">
        <f t="shared" si="22"/>
        <v>0.47804984755889152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/>
  </sheetViews>
  <sheetFormatPr baseColWidth="10" defaultColWidth="8.83203125" defaultRowHeight="15" x14ac:dyDescent="0.2"/>
  <cols>
    <col min="1" max="7" width="13" customWidth="1"/>
    <col min="9" max="9" width="13" customWidth="1"/>
  </cols>
  <sheetData>
    <row r="1" spans="1:9" x14ac:dyDescent="0.2">
      <c r="A1" t="s">
        <v>108</v>
      </c>
      <c r="B1" t="s">
        <v>104</v>
      </c>
      <c r="C1" t="s">
        <v>106</v>
      </c>
      <c r="D1" t="s">
        <v>105</v>
      </c>
      <c r="E1" t="s">
        <v>107</v>
      </c>
      <c r="F1" t="s">
        <v>109</v>
      </c>
      <c r="G1" t="s">
        <v>110</v>
      </c>
      <c r="I1" t="s">
        <v>111</v>
      </c>
    </row>
    <row r="2" spans="1:9" x14ac:dyDescent="0.2">
      <c r="A2">
        <v>0</v>
      </c>
      <c r="B2">
        <f>COUNTIFS(ClassTree!$O$2:$O$91,1,ClassTree!$P$2:$P$91,"&gt;="&amp;A2)</f>
        <v>47</v>
      </c>
      <c r="C2">
        <f>COUNTIFS(ClassTree!$O$2:$O$91,0,ClassTree!$P$2:$P$91,"&gt;="&amp;A2)</f>
        <v>43</v>
      </c>
      <c r="D2">
        <f>COUNTIFS(ClassTree!$O$2:$O$91,0,ClassTree!$P$2:$P$91,"&lt;"&amp;A2)</f>
        <v>0</v>
      </c>
      <c r="E2">
        <f>COUNTIFS(ClassTree!$O$2:$O$91,1,ClassTree!$P$2:$P$91,"&lt;"&amp;A2)</f>
        <v>0</v>
      </c>
      <c r="F2">
        <f t="shared" ref="F2:F22" si="0">IF(B2+E2=0,0,B2/(B2+E2))</f>
        <v>1</v>
      </c>
      <c r="G2">
        <f t="shared" ref="G2:G22" si="1">IF(C2+D2=0,0,C2/(C2+D2))</f>
        <v>1</v>
      </c>
      <c r="I2">
        <f>SUMPRODUCT((G2:G21-G3:G22),(F2:F21+F3:F22)/2)</f>
        <v>0.55912914398812463</v>
      </c>
    </row>
    <row r="3" spans="1:9" x14ac:dyDescent="0.2">
      <c r="A3">
        <v>0.05</v>
      </c>
      <c r="B3">
        <f>COUNTIFS(ClassTree!$O$2:$O$91,1,ClassTree!$P$2:$P$91,"&gt;="&amp;A3)</f>
        <v>46</v>
      </c>
      <c r="C3">
        <f>COUNTIFS(ClassTree!$O$2:$O$91,0,ClassTree!$P$2:$P$91,"&gt;="&amp;A3)</f>
        <v>37</v>
      </c>
      <c r="D3">
        <f>COUNTIFS(ClassTree!$O$2:$O$91,0,ClassTree!$P$2:$P$91,"&lt;"&amp;A3)</f>
        <v>6</v>
      </c>
      <c r="E3">
        <f>COUNTIFS(ClassTree!$O$2:$O$91,1,ClassTree!$P$2:$P$91,"&lt;"&amp;A3)</f>
        <v>1</v>
      </c>
      <c r="F3">
        <f t="shared" si="0"/>
        <v>0.97872340425531912</v>
      </c>
      <c r="G3">
        <f t="shared" si="1"/>
        <v>0.86046511627906974</v>
      </c>
    </row>
    <row r="4" spans="1:9" x14ac:dyDescent="0.2">
      <c r="A4">
        <v>0.1</v>
      </c>
      <c r="B4">
        <f>COUNTIFS(ClassTree!$O$2:$O$91,1,ClassTree!$P$2:$P$91,"&gt;="&amp;A4)</f>
        <v>46</v>
      </c>
      <c r="C4">
        <f>COUNTIFS(ClassTree!$O$2:$O$91,0,ClassTree!$P$2:$P$91,"&gt;="&amp;A4)</f>
        <v>37</v>
      </c>
      <c r="D4">
        <f>COUNTIFS(ClassTree!$O$2:$O$91,0,ClassTree!$P$2:$P$91,"&lt;"&amp;A4)</f>
        <v>6</v>
      </c>
      <c r="E4">
        <f>COUNTIFS(ClassTree!$O$2:$O$91,1,ClassTree!$P$2:$P$91,"&lt;"&amp;A4)</f>
        <v>1</v>
      </c>
      <c r="F4">
        <f t="shared" si="0"/>
        <v>0.97872340425531912</v>
      </c>
      <c r="G4">
        <f t="shared" si="1"/>
        <v>0.86046511627906974</v>
      </c>
    </row>
    <row r="5" spans="1:9" x14ac:dyDescent="0.2">
      <c r="A5">
        <v>0.15</v>
      </c>
      <c r="B5">
        <f>COUNTIFS(ClassTree!$O$2:$O$91,1,ClassTree!$P$2:$P$91,"&gt;="&amp;A5)</f>
        <v>46</v>
      </c>
      <c r="C5">
        <f>COUNTIFS(ClassTree!$O$2:$O$91,0,ClassTree!$P$2:$P$91,"&gt;="&amp;A5)</f>
        <v>37</v>
      </c>
      <c r="D5">
        <f>COUNTIFS(ClassTree!$O$2:$O$91,0,ClassTree!$P$2:$P$91,"&lt;"&amp;A5)</f>
        <v>6</v>
      </c>
      <c r="E5">
        <f>COUNTIFS(ClassTree!$O$2:$O$91,1,ClassTree!$P$2:$P$91,"&lt;"&amp;A5)</f>
        <v>1</v>
      </c>
      <c r="F5">
        <f t="shared" si="0"/>
        <v>0.97872340425531912</v>
      </c>
      <c r="G5">
        <f t="shared" si="1"/>
        <v>0.86046511627906974</v>
      </c>
    </row>
    <row r="6" spans="1:9" x14ac:dyDescent="0.2">
      <c r="A6">
        <v>0.2</v>
      </c>
      <c r="B6">
        <f>COUNTIFS(ClassTree!$O$2:$O$91,1,ClassTree!$P$2:$P$91,"&gt;="&amp;A6)</f>
        <v>46</v>
      </c>
      <c r="C6">
        <f>COUNTIFS(ClassTree!$O$2:$O$91,0,ClassTree!$P$2:$P$91,"&gt;="&amp;A6)</f>
        <v>37</v>
      </c>
      <c r="D6">
        <f>COUNTIFS(ClassTree!$O$2:$O$91,0,ClassTree!$P$2:$P$91,"&lt;"&amp;A6)</f>
        <v>6</v>
      </c>
      <c r="E6">
        <f>COUNTIFS(ClassTree!$O$2:$O$91,1,ClassTree!$P$2:$P$91,"&lt;"&amp;A6)</f>
        <v>1</v>
      </c>
      <c r="F6">
        <f t="shared" si="0"/>
        <v>0.97872340425531912</v>
      </c>
      <c r="G6">
        <f t="shared" si="1"/>
        <v>0.86046511627906974</v>
      </c>
    </row>
    <row r="7" spans="1:9" x14ac:dyDescent="0.2">
      <c r="A7">
        <v>0.25</v>
      </c>
      <c r="B7">
        <f>COUNTIFS(ClassTree!$O$2:$O$91,1,ClassTree!$P$2:$P$91,"&gt;="&amp;A7)</f>
        <v>46</v>
      </c>
      <c r="C7">
        <f>COUNTIFS(ClassTree!$O$2:$O$91,0,ClassTree!$P$2:$P$91,"&gt;="&amp;A7)</f>
        <v>37</v>
      </c>
      <c r="D7">
        <f>COUNTIFS(ClassTree!$O$2:$O$91,0,ClassTree!$P$2:$P$91,"&lt;"&amp;A7)</f>
        <v>6</v>
      </c>
      <c r="E7">
        <f>COUNTIFS(ClassTree!$O$2:$O$91,1,ClassTree!$P$2:$P$91,"&lt;"&amp;A7)</f>
        <v>1</v>
      </c>
      <c r="F7">
        <f t="shared" si="0"/>
        <v>0.97872340425531912</v>
      </c>
      <c r="G7">
        <f t="shared" si="1"/>
        <v>0.86046511627906974</v>
      </c>
    </row>
    <row r="8" spans="1:9" x14ac:dyDescent="0.2">
      <c r="A8">
        <v>0.3</v>
      </c>
      <c r="B8">
        <f>COUNTIFS(ClassTree!$O$2:$O$91,1,ClassTree!$P$2:$P$91,"&gt;="&amp;A8)</f>
        <v>46</v>
      </c>
      <c r="C8">
        <f>COUNTIFS(ClassTree!$O$2:$O$91,0,ClassTree!$P$2:$P$91,"&gt;="&amp;A8)</f>
        <v>37</v>
      </c>
      <c r="D8">
        <f>COUNTIFS(ClassTree!$O$2:$O$91,0,ClassTree!$P$2:$P$91,"&lt;"&amp;A8)</f>
        <v>6</v>
      </c>
      <c r="E8">
        <f>COUNTIFS(ClassTree!$O$2:$O$91,1,ClassTree!$P$2:$P$91,"&lt;"&amp;A8)</f>
        <v>1</v>
      </c>
      <c r="F8">
        <f t="shared" si="0"/>
        <v>0.97872340425531912</v>
      </c>
      <c r="G8">
        <f t="shared" si="1"/>
        <v>0.86046511627906974</v>
      </c>
    </row>
    <row r="9" spans="1:9" x14ac:dyDescent="0.2">
      <c r="A9">
        <v>0.35</v>
      </c>
      <c r="B9">
        <f>COUNTIFS(ClassTree!$O$2:$O$91,1,ClassTree!$P$2:$P$91,"&gt;="&amp;A9)</f>
        <v>46</v>
      </c>
      <c r="C9">
        <f>COUNTIFS(ClassTree!$O$2:$O$91,0,ClassTree!$P$2:$P$91,"&gt;="&amp;A9)</f>
        <v>37</v>
      </c>
      <c r="D9">
        <f>COUNTIFS(ClassTree!$O$2:$O$91,0,ClassTree!$P$2:$P$91,"&lt;"&amp;A9)</f>
        <v>6</v>
      </c>
      <c r="E9">
        <f>COUNTIFS(ClassTree!$O$2:$O$91,1,ClassTree!$P$2:$P$91,"&lt;"&amp;A9)</f>
        <v>1</v>
      </c>
      <c r="F9">
        <f t="shared" si="0"/>
        <v>0.97872340425531912</v>
      </c>
      <c r="G9">
        <f t="shared" si="1"/>
        <v>0.86046511627906974</v>
      </c>
    </row>
    <row r="10" spans="1:9" x14ac:dyDescent="0.2">
      <c r="A10">
        <v>0.4</v>
      </c>
      <c r="B10">
        <f>COUNTIFS(ClassTree!$O$2:$O$91,1,ClassTree!$P$2:$P$91,"&gt;="&amp;A10)</f>
        <v>46</v>
      </c>
      <c r="C10">
        <f>COUNTIFS(ClassTree!$O$2:$O$91,0,ClassTree!$P$2:$P$91,"&gt;="&amp;A10)</f>
        <v>37</v>
      </c>
      <c r="D10">
        <f>COUNTIFS(ClassTree!$O$2:$O$91,0,ClassTree!$P$2:$P$91,"&lt;"&amp;A10)</f>
        <v>6</v>
      </c>
      <c r="E10">
        <f>COUNTIFS(ClassTree!$O$2:$O$91,1,ClassTree!$P$2:$P$91,"&lt;"&amp;A10)</f>
        <v>1</v>
      </c>
      <c r="F10">
        <f t="shared" si="0"/>
        <v>0.97872340425531912</v>
      </c>
      <c r="G10">
        <f t="shared" si="1"/>
        <v>0.86046511627906974</v>
      </c>
    </row>
    <row r="11" spans="1:9" x14ac:dyDescent="0.2">
      <c r="A11">
        <v>0.45</v>
      </c>
      <c r="B11">
        <f>COUNTIFS(ClassTree!$O$2:$O$91,1,ClassTree!$P$2:$P$91,"&gt;="&amp;A11)</f>
        <v>46</v>
      </c>
      <c r="C11">
        <f>COUNTIFS(ClassTree!$O$2:$O$91,0,ClassTree!$P$2:$P$91,"&gt;="&amp;A11)</f>
        <v>37</v>
      </c>
      <c r="D11">
        <f>COUNTIFS(ClassTree!$O$2:$O$91,0,ClassTree!$P$2:$P$91,"&lt;"&amp;A11)</f>
        <v>6</v>
      </c>
      <c r="E11">
        <f>COUNTIFS(ClassTree!$O$2:$O$91,1,ClassTree!$P$2:$P$91,"&lt;"&amp;A11)</f>
        <v>1</v>
      </c>
      <c r="F11">
        <f t="shared" si="0"/>
        <v>0.97872340425531912</v>
      </c>
      <c r="G11">
        <f t="shared" si="1"/>
        <v>0.86046511627906974</v>
      </c>
    </row>
    <row r="12" spans="1:9" x14ac:dyDescent="0.2">
      <c r="A12">
        <v>0.5</v>
      </c>
      <c r="B12">
        <f>COUNTIFS(ClassTree!$O$2:$O$91,1,ClassTree!$P$2:$P$91,"&gt;="&amp;A12)</f>
        <v>46</v>
      </c>
      <c r="C12">
        <f>COUNTIFS(ClassTree!$O$2:$O$91,0,ClassTree!$P$2:$P$91,"&gt;="&amp;A12)</f>
        <v>37</v>
      </c>
      <c r="D12">
        <f>COUNTIFS(ClassTree!$O$2:$O$91,0,ClassTree!$P$2:$P$91,"&lt;"&amp;A12)</f>
        <v>6</v>
      </c>
      <c r="E12">
        <f>COUNTIFS(ClassTree!$O$2:$O$91,1,ClassTree!$P$2:$P$91,"&lt;"&amp;A12)</f>
        <v>1</v>
      </c>
      <c r="F12">
        <f t="shared" si="0"/>
        <v>0.97872340425531912</v>
      </c>
      <c r="G12">
        <f t="shared" si="1"/>
        <v>0.86046511627906974</v>
      </c>
    </row>
    <row r="13" spans="1:9" x14ac:dyDescent="0.2">
      <c r="A13">
        <v>0.55000000000000004</v>
      </c>
      <c r="B13">
        <f>COUNTIFS(ClassTree!$O$2:$O$91,1,ClassTree!$P$2:$P$91,"&gt;="&amp;A13)</f>
        <v>46</v>
      </c>
      <c r="C13">
        <f>COUNTIFS(ClassTree!$O$2:$O$91,0,ClassTree!$P$2:$P$91,"&gt;="&amp;A13)</f>
        <v>37</v>
      </c>
      <c r="D13">
        <f>COUNTIFS(ClassTree!$O$2:$O$91,0,ClassTree!$P$2:$P$91,"&lt;"&amp;A13)</f>
        <v>6</v>
      </c>
      <c r="E13">
        <f>COUNTIFS(ClassTree!$O$2:$O$91,1,ClassTree!$P$2:$P$91,"&lt;"&amp;A13)</f>
        <v>1</v>
      </c>
      <c r="F13">
        <f t="shared" si="0"/>
        <v>0.97872340425531912</v>
      </c>
      <c r="G13">
        <f t="shared" si="1"/>
        <v>0.86046511627906974</v>
      </c>
    </row>
    <row r="14" spans="1:9" x14ac:dyDescent="0.2">
      <c r="A14">
        <v>0.6</v>
      </c>
      <c r="B14">
        <f>COUNTIFS(ClassTree!$O$2:$O$91,1,ClassTree!$P$2:$P$91,"&gt;="&amp;A14)</f>
        <v>0</v>
      </c>
      <c r="C14">
        <f>COUNTIFS(ClassTree!$O$2:$O$91,0,ClassTree!$P$2:$P$91,"&gt;="&amp;A14)</f>
        <v>0</v>
      </c>
      <c r="D14">
        <f>COUNTIFS(ClassTree!$O$2:$O$91,0,ClassTree!$P$2:$P$91,"&lt;"&amp;A14)</f>
        <v>43</v>
      </c>
      <c r="E14">
        <f>COUNTIFS(ClassTree!$O$2:$O$91,1,ClassTree!$P$2:$P$91,"&lt;"&amp;A14)</f>
        <v>47</v>
      </c>
      <c r="F14">
        <f t="shared" si="0"/>
        <v>0</v>
      </c>
      <c r="G14">
        <f t="shared" si="1"/>
        <v>0</v>
      </c>
    </row>
    <row r="15" spans="1:9" x14ac:dyDescent="0.2">
      <c r="A15">
        <v>0.65</v>
      </c>
      <c r="B15">
        <f>COUNTIFS(ClassTree!$O$2:$O$91,1,ClassTree!$P$2:$P$91,"&gt;="&amp;A15)</f>
        <v>0</v>
      </c>
      <c r="C15">
        <f>COUNTIFS(ClassTree!$O$2:$O$91,0,ClassTree!$P$2:$P$91,"&gt;="&amp;A15)</f>
        <v>0</v>
      </c>
      <c r="D15">
        <f>COUNTIFS(ClassTree!$O$2:$O$91,0,ClassTree!$P$2:$P$91,"&lt;"&amp;A15)</f>
        <v>43</v>
      </c>
      <c r="E15">
        <f>COUNTIFS(ClassTree!$O$2:$O$91,1,ClassTree!$P$2:$P$91,"&lt;"&amp;A15)</f>
        <v>47</v>
      </c>
      <c r="F15">
        <f t="shared" si="0"/>
        <v>0</v>
      </c>
      <c r="G15">
        <f t="shared" si="1"/>
        <v>0</v>
      </c>
    </row>
    <row r="16" spans="1:9" x14ac:dyDescent="0.2">
      <c r="A16">
        <v>0.7</v>
      </c>
      <c r="B16">
        <f>COUNTIFS(ClassTree!$O$2:$O$91,1,ClassTree!$P$2:$P$91,"&gt;="&amp;A16)</f>
        <v>0</v>
      </c>
      <c r="C16">
        <f>COUNTIFS(ClassTree!$O$2:$O$91,0,ClassTree!$P$2:$P$91,"&gt;="&amp;A16)</f>
        <v>0</v>
      </c>
      <c r="D16">
        <f>COUNTIFS(ClassTree!$O$2:$O$91,0,ClassTree!$P$2:$P$91,"&lt;"&amp;A16)</f>
        <v>43</v>
      </c>
      <c r="E16">
        <f>COUNTIFS(ClassTree!$O$2:$O$91,1,ClassTree!$P$2:$P$91,"&lt;"&amp;A16)</f>
        <v>47</v>
      </c>
      <c r="F16">
        <f t="shared" si="0"/>
        <v>0</v>
      </c>
      <c r="G16">
        <f t="shared" si="1"/>
        <v>0</v>
      </c>
    </row>
    <row r="17" spans="1:7" x14ac:dyDescent="0.2">
      <c r="A17">
        <v>0.75</v>
      </c>
      <c r="B17">
        <f>COUNTIFS(ClassTree!$O$2:$O$91,1,ClassTree!$P$2:$P$91,"&gt;="&amp;A17)</f>
        <v>0</v>
      </c>
      <c r="C17">
        <f>COUNTIFS(ClassTree!$O$2:$O$91,0,ClassTree!$P$2:$P$91,"&gt;="&amp;A17)</f>
        <v>0</v>
      </c>
      <c r="D17">
        <f>COUNTIFS(ClassTree!$O$2:$O$91,0,ClassTree!$P$2:$P$91,"&lt;"&amp;A17)</f>
        <v>43</v>
      </c>
      <c r="E17">
        <f>COUNTIFS(ClassTree!$O$2:$O$91,1,ClassTree!$P$2:$P$91,"&lt;"&amp;A17)</f>
        <v>47</v>
      </c>
      <c r="F17">
        <f t="shared" si="0"/>
        <v>0</v>
      </c>
      <c r="G17">
        <f t="shared" si="1"/>
        <v>0</v>
      </c>
    </row>
    <row r="18" spans="1:7" x14ac:dyDescent="0.2">
      <c r="A18">
        <v>0.8</v>
      </c>
      <c r="B18">
        <f>COUNTIFS(ClassTree!$O$2:$O$91,1,ClassTree!$P$2:$P$91,"&gt;="&amp;A18)</f>
        <v>0</v>
      </c>
      <c r="C18">
        <f>COUNTIFS(ClassTree!$O$2:$O$91,0,ClassTree!$P$2:$P$91,"&gt;="&amp;A18)</f>
        <v>0</v>
      </c>
      <c r="D18">
        <f>COUNTIFS(ClassTree!$O$2:$O$91,0,ClassTree!$P$2:$P$91,"&lt;"&amp;A18)</f>
        <v>43</v>
      </c>
      <c r="E18">
        <f>COUNTIFS(ClassTree!$O$2:$O$91,1,ClassTree!$P$2:$P$91,"&lt;"&amp;A18)</f>
        <v>47</v>
      </c>
      <c r="F18">
        <f t="shared" si="0"/>
        <v>0</v>
      </c>
      <c r="G18">
        <f t="shared" si="1"/>
        <v>0</v>
      </c>
    </row>
    <row r="19" spans="1:7" x14ac:dyDescent="0.2">
      <c r="A19">
        <v>0.85</v>
      </c>
      <c r="B19">
        <f>COUNTIFS(ClassTree!$O$2:$O$91,1,ClassTree!$P$2:$P$91,"&gt;="&amp;A19)</f>
        <v>0</v>
      </c>
      <c r="C19">
        <f>COUNTIFS(ClassTree!$O$2:$O$91,0,ClassTree!$P$2:$P$91,"&gt;="&amp;A19)</f>
        <v>0</v>
      </c>
      <c r="D19">
        <f>COUNTIFS(ClassTree!$O$2:$O$91,0,ClassTree!$P$2:$P$91,"&lt;"&amp;A19)</f>
        <v>43</v>
      </c>
      <c r="E19">
        <f>COUNTIFS(ClassTree!$O$2:$O$91,1,ClassTree!$P$2:$P$91,"&lt;"&amp;A19)</f>
        <v>47</v>
      </c>
      <c r="F19">
        <f t="shared" si="0"/>
        <v>0</v>
      </c>
      <c r="G19">
        <f t="shared" si="1"/>
        <v>0</v>
      </c>
    </row>
    <row r="20" spans="1:7" x14ac:dyDescent="0.2">
      <c r="A20">
        <v>0.9</v>
      </c>
      <c r="B20">
        <f>COUNTIFS(ClassTree!$O$2:$O$91,1,ClassTree!$P$2:$P$91,"&gt;="&amp;A20)</f>
        <v>0</v>
      </c>
      <c r="C20">
        <f>COUNTIFS(ClassTree!$O$2:$O$91,0,ClassTree!$P$2:$P$91,"&gt;="&amp;A20)</f>
        <v>0</v>
      </c>
      <c r="D20">
        <f>COUNTIFS(ClassTree!$O$2:$O$91,0,ClassTree!$P$2:$P$91,"&lt;"&amp;A20)</f>
        <v>43</v>
      </c>
      <c r="E20">
        <f>COUNTIFS(ClassTree!$O$2:$O$91,1,ClassTree!$P$2:$P$91,"&lt;"&amp;A20)</f>
        <v>47</v>
      </c>
      <c r="F20">
        <f t="shared" si="0"/>
        <v>0</v>
      </c>
      <c r="G20">
        <f t="shared" si="1"/>
        <v>0</v>
      </c>
    </row>
    <row r="21" spans="1:7" x14ac:dyDescent="0.2">
      <c r="A21">
        <v>0.95</v>
      </c>
      <c r="B21">
        <f>COUNTIFS(ClassTree!$O$2:$O$91,1,ClassTree!$P$2:$P$91,"&gt;="&amp;A21)</f>
        <v>0</v>
      </c>
      <c r="C21">
        <f>COUNTIFS(ClassTree!$O$2:$O$91,0,ClassTree!$P$2:$P$91,"&gt;="&amp;A21)</f>
        <v>0</v>
      </c>
      <c r="D21">
        <f>COUNTIFS(ClassTree!$O$2:$O$91,0,ClassTree!$P$2:$P$91,"&lt;"&amp;A21)</f>
        <v>43</v>
      </c>
      <c r="E21">
        <f>COUNTIFS(ClassTree!$O$2:$O$91,1,ClassTree!$P$2:$P$91,"&lt;"&amp;A21)</f>
        <v>47</v>
      </c>
      <c r="F21">
        <f t="shared" si="0"/>
        <v>0</v>
      </c>
      <c r="G21">
        <f t="shared" si="1"/>
        <v>0</v>
      </c>
    </row>
    <row r="22" spans="1:7" x14ac:dyDescent="0.2">
      <c r="A22">
        <v>1</v>
      </c>
      <c r="B22">
        <f>COUNTIFS(ClassTree!$O$2:$O$91,1,ClassTree!$P$2:$P$91,"&gt;="&amp;A22)</f>
        <v>0</v>
      </c>
      <c r="C22">
        <f>COUNTIFS(ClassTree!$O$2:$O$91,0,ClassTree!$P$2:$P$91,"&gt;="&amp;A22)</f>
        <v>0</v>
      </c>
      <c r="D22">
        <f>COUNTIFS(ClassTree!$O$2:$O$91,0,ClassTree!$P$2:$P$91,"&lt;"&amp;A22)</f>
        <v>43</v>
      </c>
      <c r="E22">
        <f>COUNTIFS(ClassTree!$O$2:$O$91,1,ClassTree!$P$2:$P$91,"&lt;"&amp;A22)</f>
        <v>47</v>
      </c>
      <c r="F22">
        <f t="shared" si="0"/>
        <v>0</v>
      </c>
      <c r="G22">
        <f t="shared" si="1"/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98"/>
  <sheetViews>
    <sheetView workbookViewId="0"/>
  </sheetViews>
  <sheetFormatPr baseColWidth="10" defaultColWidth="8.83203125" defaultRowHeight="15" x14ac:dyDescent="0.2"/>
  <cols>
    <col min="1" max="1" width="13" customWidth="1"/>
    <col min="2" max="2" width="14" customWidth="1"/>
    <col min="3" max="3" width="13" customWidth="1"/>
    <col min="4" max="4" width="16" customWidth="1"/>
    <col min="5" max="5" width="17" customWidth="1"/>
    <col min="6" max="7" width="13" customWidth="1"/>
    <col min="9" max="10" width="13" customWidth="1"/>
    <col min="11" max="30" width="14" customWidth="1"/>
  </cols>
  <sheetData>
    <row r="1" spans="1:38" x14ac:dyDescent="0.2">
      <c r="A1" t="s">
        <v>112</v>
      </c>
      <c r="B1" t="s">
        <v>113</v>
      </c>
      <c r="C1" t="s">
        <v>108</v>
      </c>
      <c r="D1" t="s">
        <v>99</v>
      </c>
      <c r="E1" t="s">
        <v>100</v>
      </c>
      <c r="F1" t="s">
        <v>114</v>
      </c>
      <c r="G1" t="s">
        <v>115</v>
      </c>
      <c r="I1" t="s">
        <v>94</v>
      </c>
      <c r="J1" t="s">
        <v>95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97</v>
      </c>
      <c r="AL1" t="s">
        <v>98</v>
      </c>
    </row>
    <row r="2" spans="1:38" x14ac:dyDescent="0.2">
      <c r="A2">
        <v>1</v>
      </c>
      <c r="B2" t="str">
        <f>IF(MOD(1,2)=1,"age","year")</f>
        <v>age</v>
      </c>
      <c r="C2">
        <f>IF(B2="age",INDEX(Data!$C$2:$C$301,1+MOD(INT(ABS(SIN((1*41+ROW()))*1000000)),300)),INDEX(Data!$B$2:$B$301,1+MOD(INT(ABS(SIN((1*53+ROW()))*1000000)),300)))</f>
        <v>50</v>
      </c>
      <c r="D2">
        <f>IF(B2="age",IFERROR(AVERAGEIFS(Data!$L$2:$L$301,Data!$M$2:$M$301,"Train",Data!$C$2:$C$301,"&lt;="&amp;C2),0),IFERROR(AVERAGEIFS(Data!$L$2:$L$301,Data!$M$2:$M$301,"Train",Data!$B$2:$B$301,"&lt;="&amp;C2),0))</f>
        <v>0.49664429530201343</v>
      </c>
      <c r="E2">
        <f>IF(B2="age",IFERROR(AVERAGEIFS(Data!$L$2:$L$301,Data!$M$2:$M$301,"Train",Data!$C$2:$C$301,"&gt;"&amp;C2),0),IFERROR(AVERAGEIFS(Data!$L$2:$L$301,Data!$M$2:$M$301,"Train",Data!$B$2:$B$301,"&gt;"&amp;C2),0))</f>
        <v>0.5901639344262295</v>
      </c>
      <c r="F2">
        <f>IF(D2&gt;=Controls!$B$2,1,0)</f>
        <v>0</v>
      </c>
      <c r="G2">
        <f>IF(E2&gt;=Controls!$B$2,1,0)</f>
        <v>1</v>
      </c>
      <c r="I2">
        <f>Data!A206</f>
        <v>205</v>
      </c>
      <c r="J2">
        <f>Data!L206</f>
        <v>1</v>
      </c>
      <c r="K2">
        <f>IF($B$2="age",IF(Data!C206&lt;=$C$2,$F$2,$G$2),IF(Data!B206&lt;=$C$2,$F$2,$G$2))</f>
        <v>0</v>
      </c>
      <c r="L2">
        <f>IF($B$3="age",IF(Data!C206&lt;=$C$3,$F$3,$G$3),IF(Data!B206&lt;=$C$3,$F$3,$G$3))</f>
        <v>1</v>
      </c>
      <c r="M2">
        <f>IF($B$4="age",IF(Data!C206&lt;=$C$4,$F$4,$G$4),IF(Data!B206&lt;=$C$4,$F$4,$G$4))</f>
        <v>1</v>
      </c>
      <c r="N2">
        <f>IF($B$5="age",IF(Data!C206&lt;=$C$5,$F$5,$G$5),IF(Data!B206&lt;=$C$5,$F$5,$G$5))</f>
        <v>1</v>
      </c>
      <c r="O2">
        <f>IF($B$6="age",IF(Data!C206&lt;=$C$6,$F$6,$G$6),IF(Data!B206&lt;=$C$6,$F$6,$G$6))</f>
        <v>1</v>
      </c>
      <c r="P2">
        <f>IF($B$7="age",IF(Data!C206&lt;=$C$7,$F$7,$G$7),IF(Data!B206&lt;=$C$7,$F$7,$G$7))</f>
        <v>1</v>
      </c>
      <c r="Q2">
        <f>IF($B$8="age",IF(Data!C206&lt;=$C$8,$F$8,$G$8),IF(Data!B206&lt;=$C$8,$F$8,$G$8))</f>
        <v>1</v>
      </c>
      <c r="R2">
        <f>IF($B$9="age",IF(Data!C206&lt;=$C$9,$F$9,$G$9),IF(Data!B206&lt;=$C$9,$F$9,$G$9))</f>
        <v>1</v>
      </c>
      <c r="S2">
        <f>IF($B$10="age",IF(Data!C206&lt;=$C$10,$F$10,$G$10),IF(Data!B206&lt;=$C$10,$F$10,$G$10))</f>
        <v>0</v>
      </c>
      <c r="T2">
        <f>IF($B$11="age",IF(Data!C206&lt;=$C$11,$F$11,$G$11),IF(Data!B206&lt;=$C$11,$F$11,$G$11))</f>
        <v>1</v>
      </c>
      <c r="U2">
        <f>IF($B$12="age",IF(Data!C206&lt;=$C$12,$F$12,$G$12),IF(Data!B206&lt;=$C$12,$F$12,$G$12))</f>
        <v>1</v>
      </c>
      <c r="V2">
        <f>IF($B$13="age",IF(Data!C206&lt;=$C$13,$F$13,$G$13),IF(Data!B206&lt;=$C$13,$F$13,$G$13))</f>
        <v>1</v>
      </c>
      <c r="W2">
        <f>IF($B$14="age",IF(Data!C206&lt;=$C$14,$F$14,$G$14),IF(Data!B206&lt;=$C$14,$F$14,$G$14))</f>
        <v>1</v>
      </c>
      <c r="X2">
        <f>IF($B$15="age",IF(Data!C206&lt;=$C$15,$F$15,$G$15),IF(Data!B206&lt;=$C$15,$F$15,$G$15))</f>
        <v>1</v>
      </c>
      <c r="Y2">
        <f>IF($B$16="age",IF(Data!C206&lt;=$C$16,$F$16,$G$16),IF(Data!B206&lt;=$C$16,$F$16,$G$16))</f>
        <v>1</v>
      </c>
      <c r="Z2">
        <f>IF($B$17="age",IF(Data!C206&lt;=$C$17,$F$17,$G$17),IF(Data!B206&lt;=$C$17,$F$17,$G$17))</f>
        <v>0</v>
      </c>
      <c r="AA2">
        <f>IF($B$18="age",IF(Data!C206&lt;=$C$18,$F$18,$G$18),IF(Data!B206&lt;=$C$18,$F$18,$G$18))</f>
        <v>1</v>
      </c>
      <c r="AB2">
        <f>IF($B$19="age",IF(Data!C206&lt;=$C$19,$F$19,$G$19),IF(Data!B206&lt;=$C$19,$F$19,$G$19))</f>
        <v>1</v>
      </c>
      <c r="AC2">
        <f>IF($B$20="age",IF(Data!C206&lt;=$C$20,$F$20,$G$20),IF(Data!B206&lt;=$C$20,$F$20,$G$20))</f>
        <v>1</v>
      </c>
      <c r="AD2">
        <f>IF($B$21="age",IF(Data!C206&lt;=$C$21,$F$21,$G$21),IF(Data!B206&lt;=$C$21,$F$21,$G$21))</f>
        <v>0</v>
      </c>
      <c r="AE2">
        <f>IF($B$22="age",IF(Data!C206&lt;=$C$22,$F$22,$G$22),IF(Data!B206&lt;=$C$22,$F$22,$G$22))</f>
        <v>1</v>
      </c>
      <c r="AF2">
        <f>IF($B$23="age",IF(Data!C206&lt;=$C$23,$F$23,$G$23),IF(Data!B206&lt;=$C$23,$F$23,$G$23))</f>
        <v>1</v>
      </c>
      <c r="AG2">
        <f>IF($B$24="age",IF(Data!C206&lt;=$C$24,$F$24,$G$24),IF(Data!B206&lt;=$C$24,$F$24,$G$24))</f>
        <v>1</v>
      </c>
      <c r="AH2">
        <f>IF($B$25="age",IF(Data!C206&lt;=$C$25,$F$25,$G$25),IF(Data!B206&lt;=$C$25,$F$25,$G$25))</f>
        <v>1</v>
      </c>
      <c r="AI2">
        <f>IF($B$26="age",IF(Data!C206&lt;=$C$26,$F$26,$G$26),IF(Data!B206&lt;=$C$26,$F$26,$G$26))</f>
        <v>1</v>
      </c>
      <c r="AJ2">
        <f t="shared" ref="AJ2:AJ33" si="0">AVERAGE(K2:AI2)</f>
        <v>0.84</v>
      </c>
      <c r="AK2">
        <f>IF(AJ2&gt;=Controls!$B$2,1,0)</f>
        <v>1</v>
      </c>
      <c r="AL2">
        <f t="shared" ref="AL2:AL33" si="1">--(AK2=J2)</f>
        <v>1</v>
      </c>
    </row>
    <row r="3" spans="1:38" x14ac:dyDescent="0.2">
      <c r="A3">
        <v>2</v>
      </c>
      <c r="B3" t="str">
        <f>IF(MOD(2,2)=1,"age","year")</f>
        <v>year</v>
      </c>
      <c r="C3">
        <f>IF(B3="age",INDEX(Data!$C$2:$C$301,1+MOD(INT(ABS(SIN((2*41+ROW()))*1000000)),300)),INDEX(Data!$B$2:$B$301,1+MOD(INT(ABS(SIN((2*53+ROW()))*1000000)),300)))</f>
        <v>2003</v>
      </c>
      <c r="D3">
        <f>IF(B3="age",IFERROR(AVERAGEIFS(Data!$L$2:$L$301,Data!$M$2:$M$301,"Train",Data!$C$2:$C$301,"&lt;="&amp;C3),0),IFERROR(AVERAGEIFS(Data!$L$2:$L$301,Data!$M$2:$M$301,"Train",Data!$B$2:$B$301,"&lt;="&amp;C3),0))</f>
        <v>0.47368421052631576</v>
      </c>
      <c r="E3">
        <f>IF(B3="age",IFERROR(AVERAGEIFS(Data!$L$2:$L$301,Data!$M$2:$M$301,"Train",Data!$C$2:$C$301,"&gt;"&amp;C3),0),IFERROR(AVERAGEIFS(Data!$L$2:$L$301,Data!$M$2:$M$301,"Train",Data!$B$2:$B$301,"&gt;"&amp;C3),0))</f>
        <v>0.53488372093023251</v>
      </c>
      <c r="F3">
        <f>IF(D3&gt;=Controls!$B$2,1,0)</f>
        <v>0</v>
      </c>
      <c r="G3">
        <f>IF(E3&gt;=Controls!$B$2,1,0)</f>
        <v>1</v>
      </c>
      <c r="I3">
        <f>Data!A208</f>
        <v>207</v>
      </c>
      <c r="J3">
        <f>Data!L208</f>
        <v>1</v>
      </c>
      <c r="K3">
        <f>IF($B$2="age",IF(Data!C208&lt;=$C$2,$F$2,$G$2),IF(Data!B208&lt;=$C$2,$F$2,$G$2))</f>
        <v>1</v>
      </c>
      <c r="L3">
        <f>IF($B$3="age",IF(Data!C208&lt;=$C$3,$F$3,$G$3),IF(Data!B208&lt;=$C$3,$F$3,$G$3))</f>
        <v>1</v>
      </c>
      <c r="M3">
        <f>IF($B$4="age",IF(Data!C208&lt;=$C$4,$F$4,$G$4),IF(Data!B208&lt;=$C$4,$F$4,$G$4))</f>
        <v>1</v>
      </c>
      <c r="N3">
        <f>IF($B$5="age",IF(Data!C208&lt;=$C$5,$F$5,$G$5),IF(Data!B208&lt;=$C$5,$F$5,$G$5))</f>
        <v>1</v>
      </c>
      <c r="O3">
        <f>IF($B$6="age",IF(Data!C208&lt;=$C$6,$F$6,$G$6),IF(Data!B208&lt;=$C$6,$F$6,$G$6))</f>
        <v>1</v>
      </c>
      <c r="P3">
        <f>IF($B$7="age",IF(Data!C208&lt;=$C$7,$F$7,$G$7),IF(Data!B208&lt;=$C$7,$F$7,$G$7))</f>
        <v>1</v>
      </c>
      <c r="Q3">
        <f>IF($B$8="age",IF(Data!C208&lt;=$C$8,$F$8,$G$8),IF(Data!B208&lt;=$C$8,$F$8,$G$8))</f>
        <v>1</v>
      </c>
      <c r="R3">
        <f>IF($B$9="age",IF(Data!C208&lt;=$C$9,$F$9,$G$9),IF(Data!B208&lt;=$C$9,$F$9,$G$9))</f>
        <v>1</v>
      </c>
      <c r="S3">
        <f>IF($B$10="age",IF(Data!C208&lt;=$C$10,$F$10,$G$10),IF(Data!B208&lt;=$C$10,$F$10,$G$10))</f>
        <v>1</v>
      </c>
      <c r="T3">
        <f>IF($B$11="age",IF(Data!C208&lt;=$C$11,$F$11,$G$11),IF(Data!B208&lt;=$C$11,$F$11,$G$11))</f>
        <v>1</v>
      </c>
      <c r="U3">
        <f>IF($B$12="age",IF(Data!C208&lt;=$C$12,$F$12,$G$12),IF(Data!B208&lt;=$C$12,$F$12,$G$12))</f>
        <v>0</v>
      </c>
      <c r="V3">
        <f>IF($B$13="age",IF(Data!C208&lt;=$C$13,$F$13,$G$13),IF(Data!B208&lt;=$C$13,$F$13,$G$13))</f>
        <v>1</v>
      </c>
      <c r="W3">
        <f>IF($B$14="age",IF(Data!C208&lt;=$C$14,$F$14,$G$14),IF(Data!B208&lt;=$C$14,$F$14,$G$14))</f>
        <v>1</v>
      </c>
      <c r="X3">
        <f>IF($B$15="age",IF(Data!C208&lt;=$C$15,$F$15,$G$15),IF(Data!B208&lt;=$C$15,$F$15,$G$15))</f>
        <v>1</v>
      </c>
      <c r="Y3">
        <f>IF($B$16="age",IF(Data!C208&lt;=$C$16,$F$16,$G$16),IF(Data!B208&lt;=$C$16,$F$16,$G$16))</f>
        <v>0</v>
      </c>
      <c r="Z3">
        <f>IF($B$17="age",IF(Data!C208&lt;=$C$17,$F$17,$G$17),IF(Data!B208&lt;=$C$17,$F$17,$G$17))</f>
        <v>0</v>
      </c>
      <c r="AA3">
        <f>IF($B$18="age",IF(Data!C208&lt;=$C$18,$F$18,$G$18),IF(Data!B208&lt;=$C$18,$F$18,$G$18))</f>
        <v>1</v>
      </c>
      <c r="AB3">
        <f>IF($B$19="age",IF(Data!C208&lt;=$C$19,$F$19,$G$19),IF(Data!B208&lt;=$C$19,$F$19,$G$19))</f>
        <v>1</v>
      </c>
      <c r="AC3">
        <f>IF($B$20="age",IF(Data!C208&lt;=$C$20,$F$20,$G$20),IF(Data!B208&lt;=$C$20,$F$20,$G$20))</f>
        <v>1</v>
      </c>
      <c r="AD3">
        <f>IF($B$21="age",IF(Data!C208&lt;=$C$21,$F$21,$G$21),IF(Data!B208&lt;=$C$21,$F$21,$G$21))</f>
        <v>0</v>
      </c>
      <c r="AE3">
        <f>IF($B$22="age",IF(Data!C208&lt;=$C$22,$F$22,$G$22),IF(Data!B208&lt;=$C$22,$F$22,$G$22))</f>
        <v>1</v>
      </c>
      <c r="AF3">
        <f>IF($B$23="age",IF(Data!C208&lt;=$C$23,$F$23,$G$23),IF(Data!B208&lt;=$C$23,$F$23,$G$23))</f>
        <v>1</v>
      </c>
      <c r="AG3">
        <f>IF($B$24="age",IF(Data!C208&lt;=$C$24,$F$24,$G$24),IF(Data!B208&lt;=$C$24,$F$24,$G$24))</f>
        <v>1</v>
      </c>
      <c r="AH3">
        <f>IF($B$25="age",IF(Data!C208&lt;=$C$25,$F$25,$G$25),IF(Data!B208&lt;=$C$25,$F$25,$G$25))</f>
        <v>1</v>
      </c>
      <c r="AI3">
        <f>IF($B$26="age",IF(Data!C208&lt;=$C$26,$F$26,$G$26),IF(Data!B208&lt;=$C$26,$F$26,$G$26))</f>
        <v>1</v>
      </c>
      <c r="AJ3">
        <f t="shared" si="0"/>
        <v>0.84</v>
      </c>
      <c r="AK3">
        <f>IF(AJ3&gt;=Controls!$B$2,1,0)</f>
        <v>1</v>
      </c>
      <c r="AL3">
        <f t="shared" si="1"/>
        <v>1</v>
      </c>
    </row>
    <row r="4" spans="1:38" x14ac:dyDescent="0.2">
      <c r="A4">
        <v>3</v>
      </c>
      <c r="B4" t="str">
        <f>IF(MOD(3,2)=1,"age","year")</f>
        <v>age</v>
      </c>
      <c r="C4">
        <f>IF(B4="age",INDEX(Data!$C$2:$C$301,1+MOD(INT(ABS(SIN((3*41+ROW()))*1000000)),300)),INDEX(Data!$B$2:$B$301,1+MOD(INT(ABS(SIN((3*53+ROW()))*1000000)),300)))</f>
        <v>55</v>
      </c>
      <c r="D4">
        <f>IF(B4="age",IFERROR(AVERAGEIFS(Data!$L$2:$L$301,Data!$M$2:$M$301,"Train",Data!$C$2:$C$301,"&lt;="&amp;C4),0),IFERROR(AVERAGEIFS(Data!$L$2:$L$301,Data!$M$2:$M$301,"Train",Data!$B$2:$B$301,"&lt;="&amp;C4),0))</f>
        <v>0.51704545454545459</v>
      </c>
      <c r="E4">
        <f>IF(B4="age",IFERROR(AVERAGEIFS(Data!$L$2:$L$301,Data!$M$2:$M$301,"Train",Data!$C$2:$C$301,"&gt;"&amp;C4),0),IFERROR(AVERAGEIFS(Data!$L$2:$L$301,Data!$M$2:$M$301,"Train",Data!$B$2:$B$301,"&gt;"&amp;C4),0))</f>
        <v>0.55882352941176472</v>
      </c>
      <c r="F4">
        <f>IF(D4&gt;=Controls!$B$2,1,0)</f>
        <v>1</v>
      </c>
      <c r="G4">
        <f>IF(E4&gt;=Controls!$B$2,1,0)</f>
        <v>1</v>
      </c>
      <c r="I4">
        <f>Data!A209</f>
        <v>208</v>
      </c>
      <c r="J4">
        <f>Data!L209</f>
        <v>1</v>
      </c>
      <c r="K4">
        <f>IF($B$2="age",IF(Data!C209&lt;=$C$2,$F$2,$G$2),IF(Data!B209&lt;=$C$2,$F$2,$G$2))</f>
        <v>0</v>
      </c>
      <c r="L4">
        <f>IF($B$3="age",IF(Data!C209&lt;=$C$3,$F$3,$G$3),IF(Data!B209&lt;=$C$3,$F$3,$G$3))</f>
        <v>1</v>
      </c>
      <c r="M4">
        <f>IF($B$4="age",IF(Data!C209&lt;=$C$4,$F$4,$G$4),IF(Data!B209&lt;=$C$4,$F$4,$G$4))</f>
        <v>1</v>
      </c>
      <c r="N4">
        <f>IF($B$5="age",IF(Data!C209&lt;=$C$5,$F$5,$G$5),IF(Data!B209&lt;=$C$5,$F$5,$G$5))</f>
        <v>1</v>
      </c>
      <c r="O4">
        <f>IF($B$6="age",IF(Data!C209&lt;=$C$6,$F$6,$G$6),IF(Data!B209&lt;=$C$6,$F$6,$G$6))</f>
        <v>1</v>
      </c>
      <c r="P4">
        <f>IF($B$7="age",IF(Data!C209&lt;=$C$7,$F$7,$G$7),IF(Data!B209&lt;=$C$7,$F$7,$G$7))</f>
        <v>1</v>
      </c>
      <c r="Q4">
        <f>IF($B$8="age",IF(Data!C209&lt;=$C$8,$F$8,$G$8),IF(Data!B209&lt;=$C$8,$F$8,$G$8))</f>
        <v>1</v>
      </c>
      <c r="R4">
        <f>IF($B$9="age",IF(Data!C209&lt;=$C$9,$F$9,$G$9),IF(Data!B209&lt;=$C$9,$F$9,$G$9))</f>
        <v>1</v>
      </c>
      <c r="S4">
        <f>IF($B$10="age",IF(Data!C209&lt;=$C$10,$F$10,$G$10),IF(Data!B209&lt;=$C$10,$F$10,$G$10))</f>
        <v>1</v>
      </c>
      <c r="T4">
        <f>IF($B$11="age",IF(Data!C209&lt;=$C$11,$F$11,$G$11),IF(Data!B209&lt;=$C$11,$F$11,$G$11))</f>
        <v>0</v>
      </c>
      <c r="U4">
        <f>IF($B$12="age",IF(Data!C209&lt;=$C$12,$F$12,$G$12),IF(Data!B209&lt;=$C$12,$F$12,$G$12))</f>
        <v>1</v>
      </c>
      <c r="V4">
        <f>IF($B$13="age",IF(Data!C209&lt;=$C$13,$F$13,$G$13),IF(Data!B209&lt;=$C$13,$F$13,$G$13))</f>
        <v>1</v>
      </c>
      <c r="W4">
        <f>IF($B$14="age",IF(Data!C209&lt;=$C$14,$F$14,$G$14),IF(Data!B209&lt;=$C$14,$F$14,$G$14))</f>
        <v>1</v>
      </c>
      <c r="X4">
        <f>IF($B$15="age",IF(Data!C209&lt;=$C$15,$F$15,$G$15),IF(Data!B209&lt;=$C$15,$F$15,$G$15))</f>
        <v>1</v>
      </c>
      <c r="Y4">
        <f>IF($B$16="age",IF(Data!C209&lt;=$C$16,$F$16,$G$16),IF(Data!B209&lt;=$C$16,$F$16,$G$16))</f>
        <v>1</v>
      </c>
      <c r="Z4">
        <f>IF($B$17="age",IF(Data!C209&lt;=$C$17,$F$17,$G$17),IF(Data!B209&lt;=$C$17,$F$17,$G$17))</f>
        <v>0</v>
      </c>
      <c r="AA4">
        <f>IF($B$18="age",IF(Data!C209&lt;=$C$18,$F$18,$G$18),IF(Data!B209&lt;=$C$18,$F$18,$G$18))</f>
        <v>1</v>
      </c>
      <c r="AB4">
        <f>IF($B$19="age",IF(Data!C209&lt;=$C$19,$F$19,$G$19),IF(Data!B209&lt;=$C$19,$F$19,$G$19))</f>
        <v>1</v>
      </c>
      <c r="AC4">
        <f>IF($B$20="age",IF(Data!C209&lt;=$C$20,$F$20,$G$20),IF(Data!B209&lt;=$C$20,$F$20,$G$20))</f>
        <v>1</v>
      </c>
      <c r="AD4">
        <f>IF($B$21="age",IF(Data!C209&lt;=$C$21,$F$21,$G$21),IF(Data!B209&lt;=$C$21,$F$21,$G$21))</f>
        <v>0</v>
      </c>
      <c r="AE4">
        <f>IF($B$22="age",IF(Data!C209&lt;=$C$22,$F$22,$G$22),IF(Data!B209&lt;=$C$22,$F$22,$G$22))</f>
        <v>1</v>
      </c>
      <c r="AF4">
        <f>IF($B$23="age",IF(Data!C209&lt;=$C$23,$F$23,$G$23),IF(Data!B209&lt;=$C$23,$F$23,$G$23))</f>
        <v>1</v>
      </c>
      <c r="AG4">
        <f>IF($B$24="age",IF(Data!C209&lt;=$C$24,$F$24,$G$24),IF(Data!B209&lt;=$C$24,$F$24,$G$24))</f>
        <v>1</v>
      </c>
      <c r="AH4">
        <f>IF($B$25="age",IF(Data!C209&lt;=$C$25,$F$25,$G$25),IF(Data!B209&lt;=$C$25,$F$25,$G$25))</f>
        <v>1</v>
      </c>
      <c r="AI4">
        <f>IF($B$26="age",IF(Data!C209&lt;=$C$26,$F$26,$G$26),IF(Data!B209&lt;=$C$26,$F$26,$G$26))</f>
        <v>1</v>
      </c>
      <c r="AJ4">
        <f t="shared" si="0"/>
        <v>0.84</v>
      </c>
      <c r="AK4">
        <f>IF(AJ4&gt;=Controls!$B$2,1,0)</f>
        <v>1</v>
      </c>
      <c r="AL4">
        <f t="shared" si="1"/>
        <v>1</v>
      </c>
    </row>
    <row r="5" spans="1:38" x14ac:dyDescent="0.2">
      <c r="A5">
        <v>4</v>
      </c>
      <c r="B5" t="str">
        <f>IF(MOD(4,2)=1,"age","year")</f>
        <v>year</v>
      </c>
      <c r="C5">
        <f>IF(B5="age",INDEX(Data!$C$2:$C$301,1+MOD(INT(ABS(SIN((4*41+ROW()))*1000000)),300)),INDEX(Data!$B$2:$B$301,1+MOD(INT(ABS(SIN((4*53+ROW()))*1000000)),300)))</f>
        <v>2004</v>
      </c>
      <c r="D5">
        <f>IF(B5="age",IFERROR(AVERAGEIFS(Data!$L$2:$L$301,Data!$M$2:$M$301,"Train",Data!$C$2:$C$301,"&lt;="&amp;C5),0),IFERROR(AVERAGEIFS(Data!$L$2:$L$301,Data!$M$2:$M$301,"Train",Data!$B$2:$B$301,"&lt;="&amp;C5),0))</f>
        <v>0.43835616438356162</v>
      </c>
      <c r="E5">
        <f>IF(B5="age",IFERROR(AVERAGEIFS(Data!$L$2:$L$301,Data!$M$2:$M$301,"Train",Data!$C$2:$C$301,"&gt;"&amp;C5),0),IFERROR(AVERAGEIFS(Data!$L$2:$L$301,Data!$M$2:$M$301,"Train",Data!$B$2:$B$301,"&gt;"&amp;C5),0))</f>
        <v>0.56934306569343063</v>
      </c>
      <c r="F5">
        <f>IF(D5&gt;=Controls!$B$2,1,0)</f>
        <v>0</v>
      </c>
      <c r="G5">
        <f>IF(E5&gt;=Controls!$B$2,1,0)</f>
        <v>1</v>
      </c>
      <c r="I5">
        <f>Data!A210</f>
        <v>209</v>
      </c>
      <c r="J5">
        <f>Data!L210</f>
        <v>1</v>
      </c>
      <c r="K5">
        <f>IF($B$2="age",IF(Data!C210&lt;=$C$2,$F$2,$G$2),IF(Data!B210&lt;=$C$2,$F$2,$G$2))</f>
        <v>0</v>
      </c>
      <c r="L5">
        <f>IF($B$3="age",IF(Data!C210&lt;=$C$3,$F$3,$G$3),IF(Data!B210&lt;=$C$3,$F$3,$G$3))</f>
        <v>1</v>
      </c>
      <c r="M5">
        <f>IF($B$4="age",IF(Data!C210&lt;=$C$4,$F$4,$G$4),IF(Data!B210&lt;=$C$4,$F$4,$G$4))</f>
        <v>1</v>
      </c>
      <c r="N5">
        <f>IF($B$5="age",IF(Data!C210&lt;=$C$5,$F$5,$G$5),IF(Data!B210&lt;=$C$5,$F$5,$G$5))</f>
        <v>1</v>
      </c>
      <c r="O5">
        <f>IF($B$6="age",IF(Data!C210&lt;=$C$6,$F$6,$G$6),IF(Data!B210&lt;=$C$6,$F$6,$G$6))</f>
        <v>0</v>
      </c>
      <c r="P5">
        <f>IF($B$7="age",IF(Data!C210&lt;=$C$7,$F$7,$G$7),IF(Data!B210&lt;=$C$7,$F$7,$G$7))</f>
        <v>1</v>
      </c>
      <c r="Q5">
        <f>IF($B$8="age",IF(Data!C210&lt;=$C$8,$F$8,$G$8),IF(Data!B210&lt;=$C$8,$F$8,$G$8))</f>
        <v>1</v>
      </c>
      <c r="R5">
        <f>IF($B$9="age",IF(Data!C210&lt;=$C$9,$F$9,$G$9),IF(Data!B210&lt;=$C$9,$F$9,$G$9))</f>
        <v>1</v>
      </c>
      <c r="S5">
        <f>IF($B$10="age",IF(Data!C210&lt;=$C$10,$F$10,$G$10),IF(Data!B210&lt;=$C$10,$F$10,$G$10))</f>
        <v>0</v>
      </c>
      <c r="T5">
        <f>IF($B$11="age",IF(Data!C210&lt;=$C$11,$F$11,$G$11),IF(Data!B210&lt;=$C$11,$F$11,$G$11))</f>
        <v>0</v>
      </c>
      <c r="U5">
        <f>IF($B$12="age",IF(Data!C210&lt;=$C$12,$F$12,$G$12),IF(Data!B210&lt;=$C$12,$F$12,$G$12))</f>
        <v>1</v>
      </c>
      <c r="V5">
        <f>IF($B$13="age",IF(Data!C210&lt;=$C$13,$F$13,$G$13),IF(Data!B210&lt;=$C$13,$F$13,$G$13))</f>
        <v>1</v>
      </c>
      <c r="W5">
        <f>IF($B$14="age",IF(Data!C210&lt;=$C$14,$F$14,$G$14),IF(Data!B210&lt;=$C$14,$F$14,$G$14))</f>
        <v>0</v>
      </c>
      <c r="X5">
        <f>IF($B$15="age",IF(Data!C210&lt;=$C$15,$F$15,$G$15),IF(Data!B210&lt;=$C$15,$F$15,$G$15))</f>
        <v>1</v>
      </c>
      <c r="Y5">
        <f>IF($B$16="age",IF(Data!C210&lt;=$C$16,$F$16,$G$16),IF(Data!B210&lt;=$C$16,$F$16,$G$16))</f>
        <v>1</v>
      </c>
      <c r="Z5">
        <f>IF($B$17="age",IF(Data!C210&lt;=$C$17,$F$17,$G$17),IF(Data!B210&lt;=$C$17,$F$17,$G$17))</f>
        <v>0</v>
      </c>
      <c r="AA5">
        <f>IF($B$18="age",IF(Data!C210&lt;=$C$18,$F$18,$G$18),IF(Data!B210&lt;=$C$18,$F$18,$G$18))</f>
        <v>1</v>
      </c>
      <c r="AB5">
        <f>IF($B$19="age",IF(Data!C210&lt;=$C$19,$F$19,$G$19),IF(Data!B210&lt;=$C$19,$F$19,$G$19))</f>
        <v>1</v>
      </c>
      <c r="AC5">
        <f>IF($B$20="age",IF(Data!C210&lt;=$C$20,$F$20,$G$20),IF(Data!B210&lt;=$C$20,$F$20,$G$20))</f>
        <v>1</v>
      </c>
      <c r="AD5">
        <f>IF($B$21="age",IF(Data!C210&lt;=$C$21,$F$21,$G$21),IF(Data!B210&lt;=$C$21,$F$21,$G$21))</f>
        <v>0</v>
      </c>
      <c r="AE5">
        <f>IF($B$22="age",IF(Data!C210&lt;=$C$22,$F$22,$G$22),IF(Data!B210&lt;=$C$22,$F$22,$G$22))</f>
        <v>0</v>
      </c>
      <c r="AF5">
        <f>IF($B$23="age",IF(Data!C210&lt;=$C$23,$F$23,$G$23),IF(Data!B210&lt;=$C$23,$F$23,$G$23))</f>
        <v>1</v>
      </c>
      <c r="AG5">
        <f>IF($B$24="age",IF(Data!C210&lt;=$C$24,$F$24,$G$24),IF(Data!B210&lt;=$C$24,$F$24,$G$24))</f>
        <v>1</v>
      </c>
      <c r="AH5">
        <f>IF($B$25="age",IF(Data!C210&lt;=$C$25,$F$25,$G$25),IF(Data!B210&lt;=$C$25,$F$25,$G$25))</f>
        <v>1</v>
      </c>
      <c r="AI5">
        <f>IF($B$26="age",IF(Data!C210&lt;=$C$26,$F$26,$G$26),IF(Data!B210&lt;=$C$26,$F$26,$G$26))</f>
        <v>1</v>
      </c>
      <c r="AJ5">
        <f t="shared" si="0"/>
        <v>0.68</v>
      </c>
      <c r="AK5">
        <f>IF(AJ5&gt;=Controls!$B$2,1,0)</f>
        <v>1</v>
      </c>
      <c r="AL5">
        <f t="shared" si="1"/>
        <v>1</v>
      </c>
    </row>
    <row r="6" spans="1:38" x14ac:dyDescent="0.2">
      <c r="A6">
        <v>5</v>
      </c>
      <c r="B6" t="str">
        <f>IF(MOD(5,2)=1,"age","year")</f>
        <v>age</v>
      </c>
      <c r="C6">
        <f>IF(B6="age",INDEX(Data!$C$2:$C$301,1+MOD(INT(ABS(SIN((5*41+ROW()))*1000000)),300)),INDEX(Data!$B$2:$B$301,1+MOD(INT(ABS(SIN((5*53+ROW()))*1000000)),300)))</f>
        <v>41</v>
      </c>
      <c r="D6">
        <f>IF(B6="age",IFERROR(AVERAGEIFS(Data!$L$2:$L$301,Data!$M$2:$M$301,"Train",Data!$C$2:$C$301,"&lt;="&amp;C6),0),IFERROR(AVERAGEIFS(Data!$L$2:$L$301,Data!$M$2:$M$301,"Train",Data!$B$2:$B$301,"&lt;="&amp;C6),0))</f>
        <v>0.41414141414141414</v>
      </c>
      <c r="E6">
        <f>IF(B6="age",IFERROR(AVERAGEIFS(Data!$L$2:$L$301,Data!$M$2:$M$301,"Train",Data!$C$2:$C$301,"&gt;"&amp;C6),0),IFERROR(AVERAGEIFS(Data!$L$2:$L$301,Data!$M$2:$M$301,"Train",Data!$B$2:$B$301,"&gt;"&amp;C6),0))</f>
        <v>0.6216216216216216</v>
      </c>
      <c r="F6">
        <f>IF(D6&gt;=Controls!$B$2,1,0)</f>
        <v>0</v>
      </c>
      <c r="G6">
        <f>IF(E6&gt;=Controls!$B$2,1,0)</f>
        <v>1</v>
      </c>
      <c r="I6">
        <f>Data!A212</f>
        <v>211</v>
      </c>
      <c r="J6">
        <f>Data!L212</f>
        <v>1</v>
      </c>
      <c r="K6">
        <f>IF($B$2="age",IF(Data!C212&lt;=$C$2,$F$2,$G$2),IF(Data!B212&lt;=$C$2,$F$2,$G$2))</f>
        <v>0</v>
      </c>
      <c r="L6">
        <f>IF($B$3="age",IF(Data!C212&lt;=$C$3,$F$3,$G$3),IF(Data!B212&lt;=$C$3,$F$3,$G$3))</f>
        <v>1</v>
      </c>
      <c r="M6">
        <f>IF($B$4="age",IF(Data!C212&lt;=$C$4,$F$4,$G$4),IF(Data!B212&lt;=$C$4,$F$4,$G$4))</f>
        <v>1</v>
      </c>
      <c r="N6">
        <f>IF($B$5="age",IF(Data!C212&lt;=$C$5,$F$5,$G$5),IF(Data!B212&lt;=$C$5,$F$5,$G$5))</f>
        <v>1</v>
      </c>
      <c r="O6">
        <f>IF($B$6="age",IF(Data!C212&lt;=$C$6,$F$6,$G$6),IF(Data!B212&lt;=$C$6,$F$6,$G$6))</f>
        <v>0</v>
      </c>
      <c r="P6">
        <f>IF($B$7="age",IF(Data!C212&lt;=$C$7,$F$7,$G$7),IF(Data!B212&lt;=$C$7,$F$7,$G$7))</f>
        <v>1</v>
      </c>
      <c r="Q6">
        <f>IF($B$8="age",IF(Data!C212&lt;=$C$8,$F$8,$G$8),IF(Data!B212&lt;=$C$8,$F$8,$G$8))</f>
        <v>1</v>
      </c>
      <c r="R6">
        <f>IF($B$9="age",IF(Data!C212&lt;=$C$9,$F$9,$G$9),IF(Data!B212&lt;=$C$9,$F$9,$G$9))</f>
        <v>1</v>
      </c>
      <c r="S6">
        <f>IF($B$10="age",IF(Data!C212&lt;=$C$10,$F$10,$G$10),IF(Data!B212&lt;=$C$10,$F$10,$G$10))</f>
        <v>0</v>
      </c>
      <c r="T6">
        <f>IF($B$11="age",IF(Data!C212&lt;=$C$11,$F$11,$G$11),IF(Data!B212&lt;=$C$11,$F$11,$G$11))</f>
        <v>0</v>
      </c>
      <c r="U6">
        <f>IF($B$12="age",IF(Data!C212&lt;=$C$12,$F$12,$G$12),IF(Data!B212&lt;=$C$12,$F$12,$G$12))</f>
        <v>1</v>
      </c>
      <c r="V6">
        <f>IF($B$13="age",IF(Data!C212&lt;=$C$13,$F$13,$G$13),IF(Data!B212&lt;=$C$13,$F$13,$G$13))</f>
        <v>1</v>
      </c>
      <c r="W6">
        <f>IF($B$14="age",IF(Data!C212&lt;=$C$14,$F$14,$G$14),IF(Data!B212&lt;=$C$14,$F$14,$G$14))</f>
        <v>0</v>
      </c>
      <c r="X6">
        <f>IF($B$15="age",IF(Data!C212&lt;=$C$15,$F$15,$G$15),IF(Data!B212&lt;=$C$15,$F$15,$G$15))</f>
        <v>1</v>
      </c>
      <c r="Y6">
        <f>IF($B$16="age",IF(Data!C212&lt;=$C$16,$F$16,$G$16),IF(Data!B212&lt;=$C$16,$F$16,$G$16))</f>
        <v>1</v>
      </c>
      <c r="Z6">
        <f>IF($B$17="age",IF(Data!C212&lt;=$C$17,$F$17,$G$17),IF(Data!B212&lt;=$C$17,$F$17,$G$17))</f>
        <v>0</v>
      </c>
      <c r="AA6">
        <f>IF($B$18="age",IF(Data!C212&lt;=$C$18,$F$18,$G$18),IF(Data!B212&lt;=$C$18,$F$18,$G$18))</f>
        <v>1</v>
      </c>
      <c r="AB6">
        <f>IF($B$19="age",IF(Data!C212&lt;=$C$19,$F$19,$G$19),IF(Data!B212&lt;=$C$19,$F$19,$G$19))</f>
        <v>1</v>
      </c>
      <c r="AC6">
        <f>IF($B$20="age",IF(Data!C212&lt;=$C$20,$F$20,$G$20),IF(Data!B212&lt;=$C$20,$F$20,$G$20))</f>
        <v>1</v>
      </c>
      <c r="AD6">
        <f>IF($B$21="age",IF(Data!C212&lt;=$C$21,$F$21,$G$21),IF(Data!B212&lt;=$C$21,$F$21,$G$21))</f>
        <v>0</v>
      </c>
      <c r="AE6">
        <f>IF($B$22="age",IF(Data!C212&lt;=$C$22,$F$22,$G$22),IF(Data!B212&lt;=$C$22,$F$22,$G$22))</f>
        <v>0</v>
      </c>
      <c r="AF6">
        <f>IF($B$23="age",IF(Data!C212&lt;=$C$23,$F$23,$G$23),IF(Data!B212&lt;=$C$23,$F$23,$G$23))</f>
        <v>1</v>
      </c>
      <c r="AG6">
        <f>IF($B$24="age",IF(Data!C212&lt;=$C$24,$F$24,$G$24),IF(Data!B212&lt;=$C$24,$F$24,$G$24))</f>
        <v>0</v>
      </c>
      <c r="AH6">
        <f>IF($B$25="age",IF(Data!C212&lt;=$C$25,$F$25,$G$25),IF(Data!B212&lt;=$C$25,$F$25,$G$25))</f>
        <v>1</v>
      </c>
      <c r="AI6">
        <f>IF($B$26="age",IF(Data!C212&lt;=$C$26,$F$26,$G$26),IF(Data!B212&lt;=$C$26,$F$26,$G$26))</f>
        <v>1</v>
      </c>
      <c r="AJ6">
        <f t="shared" si="0"/>
        <v>0.64</v>
      </c>
      <c r="AK6">
        <f>IF(AJ6&gt;=Controls!$B$2,1,0)</f>
        <v>1</v>
      </c>
      <c r="AL6">
        <f t="shared" si="1"/>
        <v>1</v>
      </c>
    </row>
    <row r="7" spans="1:38" x14ac:dyDescent="0.2">
      <c r="A7">
        <v>6</v>
      </c>
      <c r="B7" t="str">
        <f>IF(MOD(6,2)=1,"age","year")</f>
        <v>year</v>
      </c>
      <c r="C7">
        <f>IF(B7="age",INDEX(Data!$C$2:$C$301,1+MOD(INT(ABS(SIN((6*41+ROW()))*1000000)),300)),INDEX(Data!$B$2:$B$301,1+MOD(INT(ABS(SIN((6*53+ROW()))*1000000)),300)))</f>
        <v>2009</v>
      </c>
      <c r="D7">
        <f>IF(B7="age",IFERROR(AVERAGEIFS(Data!$L$2:$L$301,Data!$M$2:$M$301,"Train",Data!$C$2:$C$301,"&lt;="&amp;C7),0),IFERROR(AVERAGEIFS(Data!$L$2:$L$301,Data!$M$2:$M$301,"Train",Data!$B$2:$B$301,"&lt;="&amp;C7),0))</f>
        <v>0.52380952380952384</v>
      </c>
      <c r="E7">
        <f>IF(B7="age",IFERROR(AVERAGEIFS(Data!$L$2:$L$301,Data!$M$2:$M$301,"Train",Data!$C$2:$C$301,"&gt;"&amp;C7),0),IFERROR(AVERAGEIFS(Data!$L$2:$L$301,Data!$M$2:$M$301,"Train",Data!$B$2:$B$301,"&gt;"&amp;C7),0))</f>
        <v>0</v>
      </c>
      <c r="F7">
        <f>IF(D7&gt;=Controls!$B$2,1,0)</f>
        <v>1</v>
      </c>
      <c r="G7">
        <f>IF(E7&gt;=Controls!$B$2,1,0)</f>
        <v>0</v>
      </c>
      <c r="I7">
        <f>Data!A214</f>
        <v>213</v>
      </c>
      <c r="J7">
        <f>Data!L214</f>
        <v>1</v>
      </c>
      <c r="K7">
        <f>IF($B$2="age",IF(Data!C214&lt;=$C$2,$F$2,$G$2),IF(Data!B214&lt;=$C$2,$F$2,$G$2))</f>
        <v>0</v>
      </c>
      <c r="L7">
        <f>IF($B$3="age",IF(Data!C214&lt;=$C$3,$F$3,$G$3),IF(Data!B214&lt;=$C$3,$F$3,$G$3))</f>
        <v>1</v>
      </c>
      <c r="M7">
        <f>IF($B$4="age",IF(Data!C214&lt;=$C$4,$F$4,$G$4),IF(Data!B214&lt;=$C$4,$F$4,$G$4))</f>
        <v>1</v>
      </c>
      <c r="N7">
        <f>IF($B$5="age",IF(Data!C214&lt;=$C$5,$F$5,$G$5),IF(Data!B214&lt;=$C$5,$F$5,$G$5))</f>
        <v>1</v>
      </c>
      <c r="O7">
        <f>IF($B$6="age",IF(Data!C214&lt;=$C$6,$F$6,$G$6),IF(Data!B214&lt;=$C$6,$F$6,$G$6))</f>
        <v>0</v>
      </c>
      <c r="P7">
        <f>IF($B$7="age",IF(Data!C214&lt;=$C$7,$F$7,$G$7),IF(Data!B214&lt;=$C$7,$F$7,$G$7))</f>
        <v>1</v>
      </c>
      <c r="Q7">
        <f>IF($B$8="age",IF(Data!C214&lt;=$C$8,$F$8,$G$8),IF(Data!B214&lt;=$C$8,$F$8,$G$8))</f>
        <v>1</v>
      </c>
      <c r="R7">
        <f>IF($B$9="age",IF(Data!C214&lt;=$C$9,$F$9,$G$9),IF(Data!B214&lt;=$C$9,$F$9,$G$9))</f>
        <v>1</v>
      </c>
      <c r="S7">
        <f>IF($B$10="age",IF(Data!C214&lt;=$C$10,$F$10,$G$10),IF(Data!B214&lt;=$C$10,$F$10,$G$10))</f>
        <v>0</v>
      </c>
      <c r="T7">
        <f>IF($B$11="age",IF(Data!C214&lt;=$C$11,$F$11,$G$11),IF(Data!B214&lt;=$C$11,$F$11,$G$11))</f>
        <v>1</v>
      </c>
      <c r="U7">
        <f>IF($B$12="age",IF(Data!C214&lt;=$C$12,$F$12,$G$12),IF(Data!B214&lt;=$C$12,$F$12,$G$12))</f>
        <v>1</v>
      </c>
      <c r="V7">
        <f>IF($B$13="age",IF(Data!C214&lt;=$C$13,$F$13,$G$13),IF(Data!B214&lt;=$C$13,$F$13,$G$13))</f>
        <v>1</v>
      </c>
      <c r="W7">
        <f>IF($B$14="age",IF(Data!C214&lt;=$C$14,$F$14,$G$14),IF(Data!B214&lt;=$C$14,$F$14,$G$14))</f>
        <v>0</v>
      </c>
      <c r="X7">
        <f>IF($B$15="age",IF(Data!C214&lt;=$C$15,$F$15,$G$15),IF(Data!B214&lt;=$C$15,$F$15,$G$15))</f>
        <v>1</v>
      </c>
      <c r="Y7">
        <f>IF($B$16="age",IF(Data!C214&lt;=$C$16,$F$16,$G$16),IF(Data!B214&lt;=$C$16,$F$16,$G$16))</f>
        <v>1</v>
      </c>
      <c r="Z7">
        <f>IF($B$17="age",IF(Data!C214&lt;=$C$17,$F$17,$G$17),IF(Data!B214&lt;=$C$17,$F$17,$G$17))</f>
        <v>1</v>
      </c>
      <c r="AA7">
        <f>IF($B$18="age",IF(Data!C214&lt;=$C$18,$F$18,$G$18),IF(Data!B214&lt;=$C$18,$F$18,$G$18))</f>
        <v>1</v>
      </c>
      <c r="AB7">
        <f>IF($B$19="age",IF(Data!C214&lt;=$C$19,$F$19,$G$19),IF(Data!B214&lt;=$C$19,$F$19,$G$19))</f>
        <v>1</v>
      </c>
      <c r="AC7">
        <f>IF($B$20="age",IF(Data!C214&lt;=$C$20,$F$20,$G$20),IF(Data!B214&lt;=$C$20,$F$20,$G$20))</f>
        <v>1</v>
      </c>
      <c r="AD7">
        <f>IF($B$21="age",IF(Data!C214&lt;=$C$21,$F$21,$G$21),IF(Data!B214&lt;=$C$21,$F$21,$G$21))</f>
        <v>1</v>
      </c>
      <c r="AE7">
        <f>IF($B$22="age",IF(Data!C214&lt;=$C$22,$F$22,$G$22),IF(Data!B214&lt;=$C$22,$F$22,$G$22))</f>
        <v>0</v>
      </c>
      <c r="AF7">
        <f>IF($B$23="age",IF(Data!C214&lt;=$C$23,$F$23,$G$23),IF(Data!B214&lt;=$C$23,$F$23,$G$23))</f>
        <v>1</v>
      </c>
      <c r="AG7">
        <f>IF($B$24="age",IF(Data!C214&lt;=$C$24,$F$24,$G$24),IF(Data!B214&lt;=$C$24,$F$24,$G$24))</f>
        <v>1</v>
      </c>
      <c r="AH7">
        <f>IF($B$25="age",IF(Data!C214&lt;=$C$25,$F$25,$G$25),IF(Data!B214&lt;=$C$25,$F$25,$G$25))</f>
        <v>1</v>
      </c>
      <c r="AI7">
        <f>IF($B$26="age",IF(Data!C214&lt;=$C$26,$F$26,$G$26),IF(Data!B214&lt;=$C$26,$F$26,$G$26))</f>
        <v>1</v>
      </c>
      <c r="AJ7">
        <f t="shared" si="0"/>
        <v>0.8</v>
      </c>
      <c r="AK7">
        <f>IF(AJ7&gt;=Controls!$B$2,1,0)</f>
        <v>1</v>
      </c>
      <c r="AL7">
        <f t="shared" si="1"/>
        <v>1</v>
      </c>
    </row>
    <row r="8" spans="1:38" x14ac:dyDescent="0.2">
      <c r="A8">
        <v>7</v>
      </c>
      <c r="B8" t="str">
        <f>IF(MOD(7,2)=1,"age","year")</f>
        <v>age</v>
      </c>
      <c r="C8">
        <f>IF(B8="age",INDEX(Data!$C$2:$C$301,1+MOD(INT(ABS(SIN((7*41+ROW()))*1000000)),300)),INDEX(Data!$B$2:$B$301,1+MOD(INT(ABS(SIN((7*53+ROW()))*1000000)),300)))</f>
        <v>53</v>
      </c>
      <c r="D8">
        <f>IF(B8="age",IFERROR(AVERAGEIFS(Data!$L$2:$L$301,Data!$M$2:$M$301,"Train",Data!$C$2:$C$301,"&lt;="&amp;C8),0),IFERROR(AVERAGEIFS(Data!$L$2:$L$301,Data!$M$2:$M$301,"Train",Data!$B$2:$B$301,"&lt;="&amp;C8),0))</f>
        <v>0.50609756097560976</v>
      </c>
      <c r="E8">
        <f>IF(B8="age",IFERROR(AVERAGEIFS(Data!$L$2:$L$301,Data!$M$2:$M$301,"Train",Data!$C$2:$C$301,"&gt;"&amp;C8),0),IFERROR(AVERAGEIFS(Data!$L$2:$L$301,Data!$M$2:$M$301,"Train",Data!$B$2:$B$301,"&gt;"&amp;C8),0))</f>
        <v>0.58695652173913049</v>
      </c>
      <c r="F8">
        <f>IF(D8&gt;=Controls!$B$2,1,0)</f>
        <v>1</v>
      </c>
      <c r="G8">
        <f>IF(E8&gt;=Controls!$B$2,1,0)</f>
        <v>1</v>
      </c>
      <c r="I8">
        <f>Data!A215</f>
        <v>214</v>
      </c>
      <c r="J8">
        <f>Data!L215</f>
        <v>1</v>
      </c>
      <c r="K8">
        <f>IF($B$2="age",IF(Data!C215&lt;=$C$2,$F$2,$G$2),IF(Data!B215&lt;=$C$2,$F$2,$G$2))</f>
        <v>0</v>
      </c>
      <c r="L8">
        <f>IF($B$3="age",IF(Data!C215&lt;=$C$3,$F$3,$G$3),IF(Data!B215&lt;=$C$3,$F$3,$G$3))</f>
        <v>1</v>
      </c>
      <c r="M8">
        <f>IF($B$4="age",IF(Data!C215&lt;=$C$4,$F$4,$G$4),IF(Data!B215&lt;=$C$4,$F$4,$G$4))</f>
        <v>1</v>
      </c>
      <c r="N8">
        <f>IF($B$5="age",IF(Data!C215&lt;=$C$5,$F$5,$G$5),IF(Data!B215&lt;=$C$5,$F$5,$G$5))</f>
        <v>1</v>
      </c>
      <c r="O8">
        <f>IF($B$6="age",IF(Data!C215&lt;=$C$6,$F$6,$G$6),IF(Data!B215&lt;=$C$6,$F$6,$G$6))</f>
        <v>1</v>
      </c>
      <c r="P8">
        <f>IF($B$7="age",IF(Data!C215&lt;=$C$7,$F$7,$G$7),IF(Data!B215&lt;=$C$7,$F$7,$G$7))</f>
        <v>1</v>
      </c>
      <c r="Q8">
        <f>IF($B$8="age",IF(Data!C215&lt;=$C$8,$F$8,$G$8),IF(Data!B215&lt;=$C$8,$F$8,$G$8))</f>
        <v>1</v>
      </c>
      <c r="R8">
        <f>IF($B$9="age",IF(Data!C215&lt;=$C$9,$F$9,$G$9),IF(Data!B215&lt;=$C$9,$F$9,$G$9))</f>
        <v>1</v>
      </c>
      <c r="S8">
        <f>IF($B$10="age",IF(Data!C215&lt;=$C$10,$F$10,$G$10),IF(Data!B215&lt;=$C$10,$F$10,$G$10))</f>
        <v>0</v>
      </c>
      <c r="T8">
        <f>IF($B$11="age",IF(Data!C215&lt;=$C$11,$F$11,$G$11),IF(Data!B215&lt;=$C$11,$F$11,$G$11))</f>
        <v>1</v>
      </c>
      <c r="U8">
        <f>IF($B$12="age",IF(Data!C215&lt;=$C$12,$F$12,$G$12),IF(Data!B215&lt;=$C$12,$F$12,$G$12))</f>
        <v>1</v>
      </c>
      <c r="V8">
        <f>IF($B$13="age",IF(Data!C215&lt;=$C$13,$F$13,$G$13),IF(Data!B215&lt;=$C$13,$F$13,$G$13))</f>
        <v>1</v>
      </c>
      <c r="W8">
        <f>IF($B$14="age",IF(Data!C215&lt;=$C$14,$F$14,$G$14),IF(Data!B215&lt;=$C$14,$F$14,$G$14))</f>
        <v>1</v>
      </c>
      <c r="X8">
        <f>IF($B$15="age",IF(Data!C215&lt;=$C$15,$F$15,$G$15),IF(Data!B215&lt;=$C$15,$F$15,$G$15))</f>
        <v>1</v>
      </c>
      <c r="Y8">
        <f>IF($B$16="age",IF(Data!C215&lt;=$C$16,$F$16,$G$16),IF(Data!B215&lt;=$C$16,$F$16,$G$16))</f>
        <v>1</v>
      </c>
      <c r="Z8">
        <f>IF($B$17="age",IF(Data!C215&lt;=$C$17,$F$17,$G$17),IF(Data!B215&lt;=$C$17,$F$17,$G$17))</f>
        <v>1</v>
      </c>
      <c r="AA8">
        <f>IF($B$18="age",IF(Data!C215&lt;=$C$18,$F$18,$G$18),IF(Data!B215&lt;=$C$18,$F$18,$G$18))</f>
        <v>1</v>
      </c>
      <c r="AB8">
        <f>IF($B$19="age",IF(Data!C215&lt;=$C$19,$F$19,$G$19),IF(Data!B215&lt;=$C$19,$F$19,$G$19))</f>
        <v>1</v>
      </c>
      <c r="AC8">
        <f>IF($B$20="age",IF(Data!C215&lt;=$C$20,$F$20,$G$20),IF(Data!B215&lt;=$C$20,$F$20,$G$20))</f>
        <v>1</v>
      </c>
      <c r="AD8">
        <f>IF($B$21="age",IF(Data!C215&lt;=$C$21,$F$21,$G$21),IF(Data!B215&lt;=$C$21,$F$21,$G$21))</f>
        <v>1</v>
      </c>
      <c r="AE8">
        <f>IF($B$22="age",IF(Data!C215&lt;=$C$22,$F$22,$G$22),IF(Data!B215&lt;=$C$22,$F$22,$G$22))</f>
        <v>1</v>
      </c>
      <c r="AF8">
        <f>IF($B$23="age",IF(Data!C215&lt;=$C$23,$F$23,$G$23),IF(Data!B215&lt;=$C$23,$F$23,$G$23))</f>
        <v>1</v>
      </c>
      <c r="AG8">
        <f>IF($B$24="age",IF(Data!C215&lt;=$C$24,$F$24,$G$24),IF(Data!B215&lt;=$C$24,$F$24,$G$24))</f>
        <v>1</v>
      </c>
      <c r="AH8">
        <f>IF($B$25="age",IF(Data!C215&lt;=$C$25,$F$25,$G$25),IF(Data!B215&lt;=$C$25,$F$25,$G$25))</f>
        <v>1</v>
      </c>
      <c r="AI8">
        <f>IF($B$26="age",IF(Data!C215&lt;=$C$26,$F$26,$G$26),IF(Data!B215&lt;=$C$26,$F$26,$G$26))</f>
        <v>1</v>
      </c>
      <c r="AJ8">
        <f t="shared" si="0"/>
        <v>0.92</v>
      </c>
      <c r="AK8">
        <f>IF(AJ8&gt;=Controls!$B$2,1,0)</f>
        <v>1</v>
      </c>
      <c r="AL8">
        <f t="shared" si="1"/>
        <v>1</v>
      </c>
    </row>
    <row r="9" spans="1:38" x14ac:dyDescent="0.2">
      <c r="A9">
        <v>8</v>
      </c>
      <c r="B9" t="str">
        <f>IF(MOD(8,2)=1,"age","year")</f>
        <v>year</v>
      </c>
      <c r="C9">
        <f>IF(B9="age",INDEX(Data!$C$2:$C$301,1+MOD(INT(ABS(SIN((8*41+ROW()))*1000000)),300)),INDEX(Data!$B$2:$B$301,1+MOD(INT(ABS(SIN((8*53+ROW()))*1000000)),300)))</f>
        <v>2004</v>
      </c>
      <c r="D9">
        <f>IF(B9="age",IFERROR(AVERAGEIFS(Data!$L$2:$L$301,Data!$M$2:$M$301,"Train",Data!$C$2:$C$301,"&lt;="&amp;C9),0),IFERROR(AVERAGEIFS(Data!$L$2:$L$301,Data!$M$2:$M$301,"Train",Data!$B$2:$B$301,"&lt;="&amp;C9),0))</f>
        <v>0.43835616438356162</v>
      </c>
      <c r="E9">
        <f>IF(B9="age",IFERROR(AVERAGEIFS(Data!$L$2:$L$301,Data!$M$2:$M$301,"Train",Data!$C$2:$C$301,"&gt;"&amp;C9),0),IFERROR(AVERAGEIFS(Data!$L$2:$L$301,Data!$M$2:$M$301,"Train",Data!$B$2:$B$301,"&gt;"&amp;C9),0))</f>
        <v>0.56934306569343063</v>
      </c>
      <c r="F9">
        <f>IF(D9&gt;=Controls!$B$2,1,0)</f>
        <v>0</v>
      </c>
      <c r="G9">
        <f>IF(E9&gt;=Controls!$B$2,1,0)</f>
        <v>1</v>
      </c>
      <c r="I9">
        <f>Data!A217</f>
        <v>216</v>
      </c>
      <c r="J9">
        <f>Data!L217</f>
        <v>1</v>
      </c>
      <c r="K9">
        <f>IF($B$2="age",IF(Data!C217&lt;=$C$2,$F$2,$G$2),IF(Data!B217&lt;=$C$2,$F$2,$G$2))</f>
        <v>0</v>
      </c>
      <c r="L9">
        <f>IF($B$3="age",IF(Data!C217&lt;=$C$3,$F$3,$G$3),IF(Data!B217&lt;=$C$3,$F$3,$G$3))</f>
        <v>0</v>
      </c>
      <c r="M9">
        <f>IF($B$4="age",IF(Data!C217&lt;=$C$4,$F$4,$G$4),IF(Data!B217&lt;=$C$4,$F$4,$G$4))</f>
        <v>1</v>
      </c>
      <c r="N9">
        <f>IF($B$5="age",IF(Data!C217&lt;=$C$5,$F$5,$G$5),IF(Data!B217&lt;=$C$5,$F$5,$G$5))</f>
        <v>0</v>
      </c>
      <c r="O9">
        <f>IF($B$6="age",IF(Data!C217&lt;=$C$6,$F$6,$G$6),IF(Data!B217&lt;=$C$6,$F$6,$G$6))</f>
        <v>0</v>
      </c>
      <c r="P9">
        <f>IF($B$7="age",IF(Data!C217&lt;=$C$7,$F$7,$G$7),IF(Data!B217&lt;=$C$7,$F$7,$G$7))</f>
        <v>1</v>
      </c>
      <c r="Q9">
        <f>IF($B$8="age",IF(Data!C217&lt;=$C$8,$F$8,$G$8),IF(Data!B217&lt;=$C$8,$F$8,$G$8))</f>
        <v>1</v>
      </c>
      <c r="R9">
        <f>IF($B$9="age",IF(Data!C217&lt;=$C$9,$F$9,$G$9),IF(Data!B217&lt;=$C$9,$F$9,$G$9))</f>
        <v>0</v>
      </c>
      <c r="S9">
        <f>IF($B$10="age",IF(Data!C217&lt;=$C$10,$F$10,$G$10),IF(Data!B217&lt;=$C$10,$F$10,$G$10))</f>
        <v>0</v>
      </c>
      <c r="T9">
        <f>IF($B$11="age",IF(Data!C217&lt;=$C$11,$F$11,$G$11),IF(Data!B217&lt;=$C$11,$F$11,$G$11))</f>
        <v>0</v>
      </c>
      <c r="U9">
        <f>IF($B$12="age",IF(Data!C217&lt;=$C$12,$F$12,$G$12),IF(Data!B217&lt;=$C$12,$F$12,$G$12))</f>
        <v>1</v>
      </c>
      <c r="V9">
        <f>IF($B$13="age",IF(Data!C217&lt;=$C$13,$F$13,$G$13),IF(Data!B217&lt;=$C$13,$F$13,$G$13))</f>
        <v>0</v>
      </c>
      <c r="W9">
        <f>IF($B$14="age",IF(Data!C217&lt;=$C$14,$F$14,$G$14),IF(Data!B217&lt;=$C$14,$F$14,$G$14))</f>
        <v>0</v>
      </c>
      <c r="X9">
        <f>IF($B$15="age",IF(Data!C217&lt;=$C$15,$F$15,$G$15),IF(Data!B217&lt;=$C$15,$F$15,$G$15))</f>
        <v>1</v>
      </c>
      <c r="Y9">
        <f>IF($B$16="age",IF(Data!C217&lt;=$C$16,$F$16,$G$16),IF(Data!B217&lt;=$C$16,$F$16,$G$16))</f>
        <v>1</v>
      </c>
      <c r="Z9">
        <f>IF($B$17="age",IF(Data!C217&lt;=$C$17,$F$17,$G$17),IF(Data!B217&lt;=$C$17,$F$17,$G$17))</f>
        <v>0</v>
      </c>
      <c r="AA9">
        <f>IF($B$18="age",IF(Data!C217&lt;=$C$18,$F$18,$G$18),IF(Data!B217&lt;=$C$18,$F$18,$G$18))</f>
        <v>1</v>
      </c>
      <c r="AB9">
        <f>IF($B$19="age",IF(Data!C217&lt;=$C$19,$F$19,$G$19),IF(Data!B217&lt;=$C$19,$F$19,$G$19))</f>
        <v>0</v>
      </c>
      <c r="AC9">
        <f>IF($B$20="age",IF(Data!C217&lt;=$C$20,$F$20,$G$20),IF(Data!B217&lt;=$C$20,$F$20,$G$20))</f>
        <v>1</v>
      </c>
      <c r="AD9">
        <f>IF($B$21="age",IF(Data!C217&lt;=$C$21,$F$21,$G$21),IF(Data!B217&lt;=$C$21,$F$21,$G$21))</f>
        <v>0</v>
      </c>
      <c r="AE9">
        <f>IF($B$22="age",IF(Data!C217&lt;=$C$22,$F$22,$G$22),IF(Data!B217&lt;=$C$22,$F$22,$G$22))</f>
        <v>0</v>
      </c>
      <c r="AF9">
        <f>IF($B$23="age",IF(Data!C217&lt;=$C$23,$F$23,$G$23),IF(Data!B217&lt;=$C$23,$F$23,$G$23))</f>
        <v>0</v>
      </c>
      <c r="AG9">
        <f>IF($B$24="age",IF(Data!C217&lt;=$C$24,$F$24,$G$24),IF(Data!B217&lt;=$C$24,$F$24,$G$24))</f>
        <v>1</v>
      </c>
      <c r="AH9">
        <f>IF($B$25="age",IF(Data!C217&lt;=$C$25,$F$25,$G$25),IF(Data!B217&lt;=$C$25,$F$25,$G$25))</f>
        <v>1</v>
      </c>
      <c r="AI9">
        <f>IF($B$26="age",IF(Data!C217&lt;=$C$26,$F$26,$G$26),IF(Data!B217&lt;=$C$26,$F$26,$G$26))</f>
        <v>1</v>
      </c>
      <c r="AJ9">
        <f t="shared" si="0"/>
        <v>0.44</v>
      </c>
      <c r="AK9">
        <f>IF(AJ9&gt;=Controls!$B$2,1,0)</f>
        <v>0</v>
      </c>
      <c r="AL9">
        <f t="shared" si="1"/>
        <v>0</v>
      </c>
    </row>
    <row r="10" spans="1:38" x14ac:dyDescent="0.2">
      <c r="A10">
        <v>9</v>
      </c>
      <c r="B10" t="str">
        <f>IF(MOD(9,2)=1,"age","year")</f>
        <v>age</v>
      </c>
      <c r="C10">
        <f>IF(B10="age",INDEX(Data!$C$2:$C$301,1+MOD(INT(ABS(SIN((9*41+ROW()))*1000000)),300)),INDEX(Data!$B$2:$B$301,1+MOD(INT(ABS(SIN((9*53+ROW()))*1000000)),300)))</f>
        <v>48</v>
      </c>
      <c r="D10">
        <f>IF(B10="age",IFERROR(AVERAGEIFS(Data!$L$2:$L$301,Data!$M$2:$M$301,"Train",Data!$C$2:$C$301,"&lt;="&amp;C10),0),IFERROR(AVERAGEIFS(Data!$L$2:$L$301,Data!$M$2:$M$301,"Train",Data!$B$2:$B$301,"&lt;="&amp;C10),0))</f>
        <v>0.47058823529411764</v>
      </c>
      <c r="E10">
        <f>IF(B10="age",IFERROR(AVERAGEIFS(Data!$L$2:$L$301,Data!$M$2:$M$301,"Train",Data!$C$2:$C$301,"&gt;"&amp;C10),0),IFERROR(AVERAGEIFS(Data!$L$2:$L$301,Data!$M$2:$M$301,"Train",Data!$B$2:$B$301,"&gt;"&amp;C10),0))</f>
        <v>0.6216216216216216</v>
      </c>
      <c r="F10">
        <f>IF(D10&gt;=Controls!$B$2,1,0)</f>
        <v>0</v>
      </c>
      <c r="G10">
        <f>IF(E10&gt;=Controls!$B$2,1,0)</f>
        <v>1</v>
      </c>
      <c r="I10">
        <f>Data!A218</f>
        <v>217</v>
      </c>
      <c r="J10">
        <f>Data!L218</f>
        <v>1</v>
      </c>
      <c r="K10">
        <f>IF($B$2="age",IF(Data!C218&lt;=$C$2,$F$2,$G$2),IF(Data!B218&lt;=$C$2,$F$2,$G$2))</f>
        <v>0</v>
      </c>
      <c r="L10">
        <f>IF($B$3="age",IF(Data!C218&lt;=$C$3,$F$3,$G$3),IF(Data!B218&lt;=$C$3,$F$3,$G$3))</f>
        <v>1</v>
      </c>
      <c r="M10">
        <f>IF($B$4="age",IF(Data!C218&lt;=$C$4,$F$4,$G$4),IF(Data!B218&lt;=$C$4,$F$4,$G$4))</f>
        <v>1</v>
      </c>
      <c r="N10">
        <f>IF($B$5="age",IF(Data!C218&lt;=$C$5,$F$5,$G$5),IF(Data!B218&lt;=$C$5,$F$5,$G$5))</f>
        <v>1</v>
      </c>
      <c r="O10">
        <f>IF($B$6="age",IF(Data!C218&lt;=$C$6,$F$6,$G$6),IF(Data!B218&lt;=$C$6,$F$6,$G$6))</f>
        <v>0</v>
      </c>
      <c r="P10">
        <f>IF($B$7="age",IF(Data!C218&lt;=$C$7,$F$7,$G$7),IF(Data!B218&lt;=$C$7,$F$7,$G$7))</f>
        <v>1</v>
      </c>
      <c r="Q10">
        <f>IF($B$8="age",IF(Data!C218&lt;=$C$8,$F$8,$G$8),IF(Data!B218&lt;=$C$8,$F$8,$G$8))</f>
        <v>1</v>
      </c>
      <c r="R10">
        <f>IF($B$9="age",IF(Data!C218&lt;=$C$9,$F$9,$G$9),IF(Data!B218&lt;=$C$9,$F$9,$G$9))</f>
        <v>1</v>
      </c>
      <c r="S10">
        <f>IF($B$10="age",IF(Data!C218&lt;=$C$10,$F$10,$G$10),IF(Data!B218&lt;=$C$10,$F$10,$G$10))</f>
        <v>0</v>
      </c>
      <c r="T10">
        <f>IF($B$11="age",IF(Data!C218&lt;=$C$11,$F$11,$G$11),IF(Data!B218&lt;=$C$11,$F$11,$G$11))</f>
        <v>1</v>
      </c>
      <c r="U10">
        <f>IF($B$12="age",IF(Data!C218&lt;=$C$12,$F$12,$G$12),IF(Data!B218&lt;=$C$12,$F$12,$G$12))</f>
        <v>1</v>
      </c>
      <c r="V10">
        <f>IF($B$13="age",IF(Data!C218&lt;=$C$13,$F$13,$G$13),IF(Data!B218&lt;=$C$13,$F$13,$G$13))</f>
        <v>1</v>
      </c>
      <c r="W10">
        <f>IF($B$14="age",IF(Data!C218&lt;=$C$14,$F$14,$G$14),IF(Data!B218&lt;=$C$14,$F$14,$G$14))</f>
        <v>0</v>
      </c>
      <c r="X10">
        <f>IF($B$15="age",IF(Data!C218&lt;=$C$15,$F$15,$G$15),IF(Data!B218&lt;=$C$15,$F$15,$G$15))</f>
        <v>1</v>
      </c>
      <c r="Y10">
        <f>IF($B$16="age",IF(Data!C218&lt;=$C$16,$F$16,$G$16),IF(Data!B218&lt;=$C$16,$F$16,$G$16))</f>
        <v>1</v>
      </c>
      <c r="Z10">
        <f>IF($B$17="age",IF(Data!C218&lt;=$C$17,$F$17,$G$17),IF(Data!B218&lt;=$C$17,$F$17,$G$17))</f>
        <v>1</v>
      </c>
      <c r="AA10">
        <f>IF($B$18="age",IF(Data!C218&lt;=$C$18,$F$18,$G$18),IF(Data!B218&lt;=$C$18,$F$18,$G$18))</f>
        <v>1</v>
      </c>
      <c r="AB10">
        <f>IF($B$19="age",IF(Data!C218&lt;=$C$19,$F$19,$G$19),IF(Data!B218&lt;=$C$19,$F$19,$G$19))</f>
        <v>1</v>
      </c>
      <c r="AC10">
        <f>IF($B$20="age",IF(Data!C218&lt;=$C$20,$F$20,$G$20),IF(Data!B218&lt;=$C$20,$F$20,$G$20))</f>
        <v>1</v>
      </c>
      <c r="AD10">
        <f>IF($B$21="age",IF(Data!C218&lt;=$C$21,$F$21,$G$21),IF(Data!B218&lt;=$C$21,$F$21,$G$21))</f>
        <v>1</v>
      </c>
      <c r="AE10">
        <f>IF($B$22="age",IF(Data!C218&lt;=$C$22,$F$22,$G$22),IF(Data!B218&lt;=$C$22,$F$22,$G$22))</f>
        <v>0</v>
      </c>
      <c r="AF10">
        <f>IF($B$23="age",IF(Data!C218&lt;=$C$23,$F$23,$G$23),IF(Data!B218&lt;=$C$23,$F$23,$G$23))</f>
        <v>1</v>
      </c>
      <c r="AG10">
        <f>IF($B$24="age",IF(Data!C218&lt;=$C$24,$F$24,$G$24),IF(Data!B218&lt;=$C$24,$F$24,$G$24))</f>
        <v>1</v>
      </c>
      <c r="AH10">
        <f>IF($B$25="age",IF(Data!C218&lt;=$C$25,$F$25,$G$25),IF(Data!B218&lt;=$C$25,$F$25,$G$25))</f>
        <v>1</v>
      </c>
      <c r="AI10">
        <f>IF($B$26="age",IF(Data!C218&lt;=$C$26,$F$26,$G$26),IF(Data!B218&lt;=$C$26,$F$26,$G$26))</f>
        <v>1</v>
      </c>
      <c r="AJ10">
        <f t="shared" si="0"/>
        <v>0.8</v>
      </c>
      <c r="AK10">
        <f>IF(AJ10&gt;=Controls!$B$2,1,0)</f>
        <v>1</v>
      </c>
      <c r="AL10">
        <f t="shared" si="1"/>
        <v>1</v>
      </c>
    </row>
    <row r="11" spans="1:38" x14ac:dyDescent="0.2">
      <c r="A11">
        <v>10</v>
      </c>
      <c r="B11" t="str">
        <f>IF(MOD(10,2)=1,"age","year")</f>
        <v>year</v>
      </c>
      <c r="C11">
        <f>IF(B11="age",INDEX(Data!$C$2:$C$301,1+MOD(INT(ABS(SIN((10*41+ROW()))*1000000)),300)),INDEX(Data!$B$2:$B$301,1+MOD(INT(ABS(SIN((10*53+ROW()))*1000000)),300)))</f>
        <v>2006</v>
      </c>
      <c r="D11">
        <f>IF(B11="age",IFERROR(AVERAGEIFS(Data!$L$2:$L$301,Data!$M$2:$M$301,"Train",Data!$C$2:$C$301,"&lt;="&amp;C11),0),IFERROR(AVERAGEIFS(Data!$L$2:$L$301,Data!$M$2:$M$301,"Train",Data!$B$2:$B$301,"&lt;="&amp;C11),0))</f>
        <v>0.47826086956521741</v>
      </c>
      <c r="E11">
        <f>IF(B11="age",IFERROR(AVERAGEIFS(Data!$L$2:$L$301,Data!$M$2:$M$301,"Train",Data!$C$2:$C$301,"&gt;"&amp;C11),0),IFERROR(AVERAGEIFS(Data!$L$2:$L$301,Data!$M$2:$M$301,"Train",Data!$B$2:$B$301,"&gt;"&amp;C11),0))</f>
        <v>0.61111111111111116</v>
      </c>
      <c r="F11">
        <f>IF(D11&gt;=Controls!$B$2,1,0)</f>
        <v>0</v>
      </c>
      <c r="G11">
        <f>IF(E11&gt;=Controls!$B$2,1,0)</f>
        <v>1</v>
      </c>
      <c r="I11">
        <f>Data!A220</f>
        <v>219</v>
      </c>
      <c r="J11">
        <f>Data!L220</f>
        <v>1</v>
      </c>
      <c r="K11">
        <f>IF($B$2="age",IF(Data!C220&lt;=$C$2,$F$2,$G$2),IF(Data!B220&lt;=$C$2,$F$2,$G$2))</f>
        <v>0</v>
      </c>
      <c r="L11">
        <f>IF($B$3="age",IF(Data!C220&lt;=$C$3,$F$3,$G$3),IF(Data!B220&lt;=$C$3,$F$3,$G$3))</f>
        <v>1</v>
      </c>
      <c r="M11">
        <f>IF($B$4="age",IF(Data!C220&lt;=$C$4,$F$4,$G$4),IF(Data!B220&lt;=$C$4,$F$4,$G$4))</f>
        <v>1</v>
      </c>
      <c r="N11">
        <f>IF($B$5="age",IF(Data!C220&lt;=$C$5,$F$5,$G$5),IF(Data!B220&lt;=$C$5,$F$5,$G$5))</f>
        <v>1</v>
      </c>
      <c r="O11">
        <f>IF($B$6="age",IF(Data!C220&lt;=$C$6,$F$6,$G$6),IF(Data!B220&lt;=$C$6,$F$6,$G$6))</f>
        <v>0</v>
      </c>
      <c r="P11">
        <f>IF($B$7="age",IF(Data!C220&lt;=$C$7,$F$7,$G$7),IF(Data!B220&lt;=$C$7,$F$7,$G$7))</f>
        <v>1</v>
      </c>
      <c r="Q11">
        <f>IF($B$8="age",IF(Data!C220&lt;=$C$8,$F$8,$G$8),IF(Data!B220&lt;=$C$8,$F$8,$G$8))</f>
        <v>1</v>
      </c>
      <c r="R11">
        <f>IF($B$9="age",IF(Data!C220&lt;=$C$9,$F$9,$G$9),IF(Data!B220&lt;=$C$9,$F$9,$G$9))</f>
        <v>1</v>
      </c>
      <c r="S11">
        <f>IF($B$10="age",IF(Data!C220&lt;=$C$10,$F$10,$G$10),IF(Data!B220&lt;=$C$10,$F$10,$G$10))</f>
        <v>0</v>
      </c>
      <c r="T11">
        <f>IF($B$11="age",IF(Data!C220&lt;=$C$11,$F$11,$G$11),IF(Data!B220&lt;=$C$11,$F$11,$G$11))</f>
        <v>1</v>
      </c>
      <c r="U11">
        <f>IF($B$12="age",IF(Data!C220&lt;=$C$12,$F$12,$G$12),IF(Data!B220&lt;=$C$12,$F$12,$G$12))</f>
        <v>1</v>
      </c>
      <c r="V11">
        <f>IF($B$13="age",IF(Data!C220&lt;=$C$13,$F$13,$G$13),IF(Data!B220&lt;=$C$13,$F$13,$G$13))</f>
        <v>1</v>
      </c>
      <c r="W11">
        <f>IF($B$14="age",IF(Data!C220&lt;=$C$14,$F$14,$G$14),IF(Data!B220&lt;=$C$14,$F$14,$G$14))</f>
        <v>0</v>
      </c>
      <c r="X11">
        <f>IF($B$15="age",IF(Data!C220&lt;=$C$15,$F$15,$G$15),IF(Data!B220&lt;=$C$15,$F$15,$G$15))</f>
        <v>1</v>
      </c>
      <c r="Y11">
        <f>IF($B$16="age",IF(Data!C220&lt;=$C$16,$F$16,$G$16),IF(Data!B220&lt;=$C$16,$F$16,$G$16))</f>
        <v>1</v>
      </c>
      <c r="Z11">
        <f>IF($B$17="age",IF(Data!C220&lt;=$C$17,$F$17,$G$17),IF(Data!B220&lt;=$C$17,$F$17,$G$17))</f>
        <v>1</v>
      </c>
      <c r="AA11">
        <f>IF($B$18="age",IF(Data!C220&lt;=$C$18,$F$18,$G$18),IF(Data!B220&lt;=$C$18,$F$18,$G$18))</f>
        <v>1</v>
      </c>
      <c r="AB11">
        <f>IF($B$19="age",IF(Data!C220&lt;=$C$19,$F$19,$G$19),IF(Data!B220&lt;=$C$19,$F$19,$G$19))</f>
        <v>1</v>
      </c>
      <c r="AC11">
        <f>IF($B$20="age",IF(Data!C220&lt;=$C$20,$F$20,$G$20),IF(Data!B220&lt;=$C$20,$F$20,$G$20))</f>
        <v>1</v>
      </c>
      <c r="AD11">
        <f>IF($B$21="age",IF(Data!C220&lt;=$C$21,$F$21,$G$21),IF(Data!B220&lt;=$C$21,$F$21,$G$21))</f>
        <v>1</v>
      </c>
      <c r="AE11">
        <f>IF($B$22="age",IF(Data!C220&lt;=$C$22,$F$22,$G$22),IF(Data!B220&lt;=$C$22,$F$22,$G$22))</f>
        <v>0</v>
      </c>
      <c r="AF11">
        <f>IF($B$23="age",IF(Data!C220&lt;=$C$23,$F$23,$G$23),IF(Data!B220&lt;=$C$23,$F$23,$G$23))</f>
        <v>1</v>
      </c>
      <c r="AG11">
        <f>IF($B$24="age",IF(Data!C220&lt;=$C$24,$F$24,$G$24),IF(Data!B220&lt;=$C$24,$F$24,$G$24))</f>
        <v>1</v>
      </c>
      <c r="AH11">
        <f>IF($B$25="age",IF(Data!C220&lt;=$C$25,$F$25,$G$25),IF(Data!B220&lt;=$C$25,$F$25,$G$25))</f>
        <v>1</v>
      </c>
      <c r="AI11">
        <f>IF($B$26="age",IF(Data!C220&lt;=$C$26,$F$26,$G$26),IF(Data!B220&lt;=$C$26,$F$26,$G$26))</f>
        <v>1</v>
      </c>
      <c r="AJ11">
        <f t="shared" si="0"/>
        <v>0.8</v>
      </c>
      <c r="AK11">
        <f>IF(AJ11&gt;=Controls!$B$2,1,0)</f>
        <v>1</v>
      </c>
      <c r="AL11">
        <f t="shared" si="1"/>
        <v>1</v>
      </c>
    </row>
    <row r="12" spans="1:38" x14ac:dyDescent="0.2">
      <c r="A12">
        <v>11</v>
      </c>
      <c r="B12" t="str">
        <f>IF(MOD(11,2)=1,"age","year")</f>
        <v>age</v>
      </c>
      <c r="C12">
        <f>IF(B12="age",INDEX(Data!$C$2:$C$301,1+MOD(INT(ABS(SIN((11*41+ROW()))*1000000)),300)),INDEX(Data!$B$2:$B$301,1+MOD(INT(ABS(SIN((11*53+ROW()))*1000000)),300)))</f>
        <v>61</v>
      </c>
      <c r="D12">
        <f>IF(B12="age",IFERROR(AVERAGEIFS(Data!$L$2:$L$301,Data!$M$2:$M$301,"Train",Data!$C$2:$C$301,"&lt;="&amp;C12),0),IFERROR(AVERAGEIFS(Data!$L$2:$L$301,Data!$M$2:$M$301,"Train",Data!$B$2:$B$301,"&lt;="&amp;C12),0))</f>
        <v>0.53535353535353536</v>
      </c>
      <c r="E12">
        <f>IF(B12="age",IFERROR(AVERAGEIFS(Data!$L$2:$L$301,Data!$M$2:$M$301,"Train",Data!$C$2:$C$301,"&gt;"&amp;C12),0),IFERROR(AVERAGEIFS(Data!$L$2:$L$301,Data!$M$2:$M$301,"Train",Data!$B$2:$B$301,"&gt;"&amp;C12),0))</f>
        <v>0.33333333333333331</v>
      </c>
      <c r="F12">
        <f>IF(D12&gt;=Controls!$B$2,1,0)</f>
        <v>1</v>
      </c>
      <c r="G12">
        <f>IF(E12&gt;=Controls!$B$2,1,0)</f>
        <v>0</v>
      </c>
      <c r="I12">
        <f>Data!A222</f>
        <v>221</v>
      </c>
      <c r="J12">
        <f>Data!L222</f>
        <v>0</v>
      </c>
      <c r="K12">
        <f>IF($B$2="age",IF(Data!C222&lt;=$C$2,$F$2,$G$2),IF(Data!B222&lt;=$C$2,$F$2,$G$2))</f>
        <v>0</v>
      </c>
      <c r="L12">
        <f>IF($B$3="age",IF(Data!C222&lt;=$C$3,$F$3,$G$3),IF(Data!B222&lt;=$C$3,$F$3,$G$3))</f>
        <v>1</v>
      </c>
      <c r="M12">
        <f>IF($B$4="age",IF(Data!C222&lt;=$C$4,$F$4,$G$4),IF(Data!B222&lt;=$C$4,$F$4,$G$4))</f>
        <v>1</v>
      </c>
      <c r="N12">
        <f>IF($B$5="age",IF(Data!C222&lt;=$C$5,$F$5,$G$5),IF(Data!B222&lt;=$C$5,$F$5,$G$5))</f>
        <v>1</v>
      </c>
      <c r="O12">
        <f>IF($B$6="age",IF(Data!C222&lt;=$C$6,$F$6,$G$6),IF(Data!B222&lt;=$C$6,$F$6,$G$6))</f>
        <v>0</v>
      </c>
      <c r="P12">
        <f>IF($B$7="age",IF(Data!C222&lt;=$C$7,$F$7,$G$7),IF(Data!B222&lt;=$C$7,$F$7,$G$7))</f>
        <v>1</v>
      </c>
      <c r="Q12">
        <f>IF($B$8="age",IF(Data!C222&lt;=$C$8,$F$8,$G$8),IF(Data!B222&lt;=$C$8,$F$8,$G$8))</f>
        <v>1</v>
      </c>
      <c r="R12">
        <f>IF($B$9="age",IF(Data!C222&lt;=$C$9,$F$9,$G$9),IF(Data!B222&lt;=$C$9,$F$9,$G$9))</f>
        <v>1</v>
      </c>
      <c r="S12">
        <f>IF($B$10="age",IF(Data!C222&lt;=$C$10,$F$10,$G$10),IF(Data!B222&lt;=$C$10,$F$10,$G$10))</f>
        <v>0</v>
      </c>
      <c r="T12">
        <f>IF($B$11="age",IF(Data!C222&lt;=$C$11,$F$11,$G$11),IF(Data!B222&lt;=$C$11,$F$11,$G$11))</f>
        <v>1</v>
      </c>
      <c r="U12">
        <f>IF($B$12="age",IF(Data!C222&lt;=$C$12,$F$12,$G$12),IF(Data!B222&lt;=$C$12,$F$12,$G$12))</f>
        <v>1</v>
      </c>
      <c r="V12">
        <f>IF($B$13="age",IF(Data!C222&lt;=$C$13,$F$13,$G$13),IF(Data!B222&lt;=$C$13,$F$13,$G$13))</f>
        <v>1</v>
      </c>
      <c r="W12">
        <f>IF($B$14="age",IF(Data!C222&lt;=$C$14,$F$14,$G$14),IF(Data!B222&lt;=$C$14,$F$14,$G$14))</f>
        <v>0</v>
      </c>
      <c r="X12">
        <f>IF($B$15="age",IF(Data!C222&lt;=$C$15,$F$15,$G$15),IF(Data!B222&lt;=$C$15,$F$15,$G$15))</f>
        <v>1</v>
      </c>
      <c r="Y12">
        <f>IF($B$16="age",IF(Data!C222&lt;=$C$16,$F$16,$G$16),IF(Data!B222&lt;=$C$16,$F$16,$G$16))</f>
        <v>1</v>
      </c>
      <c r="Z12">
        <f>IF($B$17="age",IF(Data!C222&lt;=$C$17,$F$17,$G$17),IF(Data!B222&lt;=$C$17,$F$17,$G$17))</f>
        <v>1</v>
      </c>
      <c r="AA12">
        <f>IF($B$18="age",IF(Data!C222&lt;=$C$18,$F$18,$G$18),IF(Data!B222&lt;=$C$18,$F$18,$G$18))</f>
        <v>1</v>
      </c>
      <c r="AB12">
        <f>IF($B$19="age",IF(Data!C222&lt;=$C$19,$F$19,$G$19),IF(Data!B222&lt;=$C$19,$F$19,$G$19))</f>
        <v>1</v>
      </c>
      <c r="AC12">
        <f>IF($B$20="age",IF(Data!C222&lt;=$C$20,$F$20,$G$20),IF(Data!B222&lt;=$C$20,$F$20,$G$20))</f>
        <v>1</v>
      </c>
      <c r="AD12">
        <f>IF($B$21="age",IF(Data!C222&lt;=$C$21,$F$21,$G$21),IF(Data!B222&lt;=$C$21,$F$21,$G$21))</f>
        <v>1</v>
      </c>
      <c r="AE12">
        <f>IF($B$22="age",IF(Data!C222&lt;=$C$22,$F$22,$G$22),IF(Data!B222&lt;=$C$22,$F$22,$G$22))</f>
        <v>0</v>
      </c>
      <c r="AF12">
        <f>IF($B$23="age",IF(Data!C222&lt;=$C$23,$F$23,$G$23),IF(Data!B222&lt;=$C$23,$F$23,$G$23))</f>
        <v>1</v>
      </c>
      <c r="AG12">
        <f>IF($B$24="age",IF(Data!C222&lt;=$C$24,$F$24,$G$24),IF(Data!B222&lt;=$C$24,$F$24,$G$24))</f>
        <v>0</v>
      </c>
      <c r="AH12">
        <f>IF($B$25="age",IF(Data!C222&lt;=$C$25,$F$25,$G$25),IF(Data!B222&lt;=$C$25,$F$25,$G$25))</f>
        <v>1</v>
      </c>
      <c r="AI12">
        <f>IF($B$26="age",IF(Data!C222&lt;=$C$26,$F$26,$G$26),IF(Data!B222&lt;=$C$26,$F$26,$G$26))</f>
        <v>1</v>
      </c>
      <c r="AJ12">
        <f t="shared" si="0"/>
        <v>0.76</v>
      </c>
      <c r="AK12">
        <f>IF(AJ12&gt;=Controls!$B$2,1,0)</f>
        <v>1</v>
      </c>
      <c r="AL12">
        <f t="shared" si="1"/>
        <v>0</v>
      </c>
    </row>
    <row r="13" spans="1:38" x14ac:dyDescent="0.2">
      <c r="A13">
        <v>12</v>
      </c>
      <c r="B13" t="str">
        <f>IF(MOD(12,2)=1,"age","year")</f>
        <v>year</v>
      </c>
      <c r="C13">
        <f>IF(B13="age",INDEX(Data!$C$2:$C$301,1+MOD(INT(ABS(SIN((12*41+ROW()))*1000000)),300)),INDEX(Data!$B$2:$B$301,1+MOD(INT(ABS(SIN((12*53+ROW()))*1000000)),300)))</f>
        <v>2004</v>
      </c>
      <c r="D13">
        <f>IF(B13="age",IFERROR(AVERAGEIFS(Data!$L$2:$L$301,Data!$M$2:$M$301,"Train",Data!$C$2:$C$301,"&lt;="&amp;C13),0),IFERROR(AVERAGEIFS(Data!$L$2:$L$301,Data!$M$2:$M$301,"Train",Data!$B$2:$B$301,"&lt;="&amp;C13),0))</f>
        <v>0.43835616438356162</v>
      </c>
      <c r="E13">
        <f>IF(B13="age",IFERROR(AVERAGEIFS(Data!$L$2:$L$301,Data!$M$2:$M$301,"Train",Data!$C$2:$C$301,"&gt;"&amp;C13),0),IFERROR(AVERAGEIFS(Data!$L$2:$L$301,Data!$M$2:$M$301,"Train",Data!$B$2:$B$301,"&gt;"&amp;C13),0))</f>
        <v>0.56934306569343063</v>
      </c>
      <c r="F13">
        <f>IF(D13&gt;=Controls!$B$2,1,0)</f>
        <v>0</v>
      </c>
      <c r="G13">
        <f>IF(E13&gt;=Controls!$B$2,1,0)</f>
        <v>1</v>
      </c>
      <c r="I13">
        <f>Data!A223</f>
        <v>222</v>
      </c>
      <c r="J13">
        <f>Data!L223</f>
        <v>0</v>
      </c>
      <c r="K13">
        <f>IF($B$2="age",IF(Data!C223&lt;=$C$2,$F$2,$G$2),IF(Data!B223&lt;=$C$2,$F$2,$G$2))</f>
        <v>0</v>
      </c>
      <c r="L13">
        <f>IF($B$3="age",IF(Data!C223&lt;=$C$3,$F$3,$G$3),IF(Data!B223&lt;=$C$3,$F$3,$G$3))</f>
        <v>0</v>
      </c>
      <c r="M13">
        <f>IF($B$4="age",IF(Data!C223&lt;=$C$4,$F$4,$G$4),IF(Data!B223&lt;=$C$4,$F$4,$G$4))</f>
        <v>1</v>
      </c>
      <c r="N13">
        <f>IF($B$5="age",IF(Data!C223&lt;=$C$5,$F$5,$G$5),IF(Data!B223&lt;=$C$5,$F$5,$G$5))</f>
        <v>0</v>
      </c>
      <c r="O13">
        <f>IF($B$6="age",IF(Data!C223&lt;=$C$6,$F$6,$G$6),IF(Data!B223&lt;=$C$6,$F$6,$G$6))</f>
        <v>0</v>
      </c>
      <c r="P13">
        <f>IF($B$7="age",IF(Data!C223&lt;=$C$7,$F$7,$G$7),IF(Data!B223&lt;=$C$7,$F$7,$G$7))</f>
        <v>1</v>
      </c>
      <c r="Q13">
        <f>IF($B$8="age",IF(Data!C223&lt;=$C$8,$F$8,$G$8),IF(Data!B223&lt;=$C$8,$F$8,$G$8))</f>
        <v>1</v>
      </c>
      <c r="R13">
        <f>IF($B$9="age",IF(Data!C223&lt;=$C$9,$F$9,$G$9),IF(Data!B223&lt;=$C$9,$F$9,$G$9))</f>
        <v>0</v>
      </c>
      <c r="S13">
        <f>IF($B$10="age",IF(Data!C223&lt;=$C$10,$F$10,$G$10),IF(Data!B223&lt;=$C$10,$F$10,$G$10))</f>
        <v>0</v>
      </c>
      <c r="T13">
        <f>IF($B$11="age",IF(Data!C223&lt;=$C$11,$F$11,$G$11),IF(Data!B223&lt;=$C$11,$F$11,$G$11))</f>
        <v>0</v>
      </c>
      <c r="U13">
        <f>IF($B$12="age",IF(Data!C223&lt;=$C$12,$F$12,$G$12),IF(Data!B223&lt;=$C$12,$F$12,$G$12))</f>
        <v>1</v>
      </c>
      <c r="V13">
        <f>IF($B$13="age",IF(Data!C223&lt;=$C$13,$F$13,$G$13),IF(Data!B223&lt;=$C$13,$F$13,$G$13))</f>
        <v>0</v>
      </c>
      <c r="W13">
        <f>IF($B$14="age",IF(Data!C223&lt;=$C$14,$F$14,$G$14),IF(Data!B223&lt;=$C$14,$F$14,$G$14))</f>
        <v>0</v>
      </c>
      <c r="X13">
        <f>IF($B$15="age",IF(Data!C223&lt;=$C$15,$F$15,$G$15),IF(Data!B223&lt;=$C$15,$F$15,$G$15))</f>
        <v>1</v>
      </c>
      <c r="Y13">
        <f>IF($B$16="age",IF(Data!C223&lt;=$C$16,$F$16,$G$16),IF(Data!B223&lt;=$C$16,$F$16,$G$16))</f>
        <v>1</v>
      </c>
      <c r="Z13">
        <f>IF($B$17="age",IF(Data!C223&lt;=$C$17,$F$17,$G$17),IF(Data!B223&lt;=$C$17,$F$17,$G$17))</f>
        <v>0</v>
      </c>
      <c r="AA13">
        <f>IF($B$18="age",IF(Data!C223&lt;=$C$18,$F$18,$G$18),IF(Data!B223&lt;=$C$18,$F$18,$G$18))</f>
        <v>1</v>
      </c>
      <c r="AB13">
        <f>IF($B$19="age",IF(Data!C223&lt;=$C$19,$F$19,$G$19),IF(Data!B223&lt;=$C$19,$F$19,$G$19))</f>
        <v>0</v>
      </c>
      <c r="AC13">
        <f>IF($B$20="age",IF(Data!C223&lt;=$C$20,$F$20,$G$20),IF(Data!B223&lt;=$C$20,$F$20,$G$20))</f>
        <v>1</v>
      </c>
      <c r="AD13">
        <f>IF($B$21="age",IF(Data!C223&lt;=$C$21,$F$21,$G$21),IF(Data!B223&lt;=$C$21,$F$21,$G$21))</f>
        <v>0</v>
      </c>
      <c r="AE13">
        <f>IF($B$22="age",IF(Data!C223&lt;=$C$22,$F$22,$G$22),IF(Data!B223&lt;=$C$22,$F$22,$G$22))</f>
        <v>0</v>
      </c>
      <c r="AF13">
        <f>IF($B$23="age",IF(Data!C223&lt;=$C$23,$F$23,$G$23),IF(Data!B223&lt;=$C$23,$F$23,$G$23))</f>
        <v>0</v>
      </c>
      <c r="AG13">
        <f>IF($B$24="age",IF(Data!C223&lt;=$C$24,$F$24,$G$24),IF(Data!B223&lt;=$C$24,$F$24,$G$24))</f>
        <v>1</v>
      </c>
      <c r="AH13">
        <f>IF($B$25="age",IF(Data!C223&lt;=$C$25,$F$25,$G$25),IF(Data!B223&lt;=$C$25,$F$25,$G$25))</f>
        <v>1</v>
      </c>
      <c r="AI13">
        <f>IF($B$26="age",IF(Data!C223&lt;=$C$26,$F$26,$G$26),IF(Data!B223&lt;=$C$26,$F$26,$G$26))</f>
        <v>1</v>
      </c>
      <c r="AJ13">
        <f t="shared" si="0"/>
        <v>0.44</v>
      </c>
      <c r="AK13">
        <f>IF(AJ13&gt;=Controls!$B$2,1,0)</f>
        <v>0</v>
      </c>
      <c r="AL13">
        <f t="shared" si="1"/>
        <v>1</v>
      </c>
    </row>
    <row r="14" spans="1:38" x14ac:dyDescent="0.2">
      <c r="A14">
        <v>13</v>
      </c>
      <c r="B14" t="str">
        <f>IF(MOD(13,2)=1,"age","year")</f>
        <v>age</v>
      </c>
      <c r="C14">
        <f>IF(B14="age",INDEX(Data!$C$2:$C$301,1+MOD(INT(ABS(SIN((13*41+ROW()))*1000000)),300)),INDEX(Data!$B$2:$B$301,1+MOD(INT(ABS(SIN((13*53+ROW()))*1000000)),300)))</f>
        <v>42</v>
      </c>
      <c r="D14">
        <f>IF(B14="age",IFERROR(AVERAGEIFS(Data!$L$2:$L$301,Data!$M$2:$M$301,"Train",Data!$C$2:$C$301,"&lt;="&amp;C14),0),IFERROR(AVERAGEIFS(Data!$L$2:$L$301,Data!$M$2:$M$301,"Train",Data!$B$2:$B$301,"&lt;="&amp;C14),0))</f>
        <v>0.40776699029126212</v>
      </c>
      <c r="E14">
        <f>IF(B14="age",IFERROR(AVERAGEIFS(Data!$L$2:$L$301,Data!$M$2:$M$301,"Train",Data!$C$2:$C$301,"&gt;"&amp;C14),0),IFERROR(AVERAGEIFS(Data!$L$2:$L$301,Data!$M$2:$M$301,"Train",Data!$B$2:$B$301,"&gt;"&amp;C14),0))</f>
        <v>0.63551401869158874</v>
      </c>
      <c r="F14">
        <f>IF(D14&gt;=Controls!$B$2,1,0)</f>
        <v>0</v>
      </c>
      <c r="G14">
        <f>IF(E14&gt;=Controls!$B$2,1,0)</f>
        <v>1</v>
      </c>
      <c r="I14">
        <f>Data!A224</f>
        <v>223</v>
      </c>
      <c r="J14">
        <f>Data!L224</f>
        <v>0</v>
      </c>
      <c r="K14">
        <f>IF($B$2="age",IF(Data!C224&lt;=$C$2,$F$2,$G$2),IF(Data!B224&lt;=$C$2,$F$2,$G$2))</f>
        <v>1</v>
      </c>
      <c r="L14">
        <f>IF($B$3="age",IF(Data!C224&lt;=$C$3,$F$3,$G$3),IF(Data!B224&lt;=$C$3,$F$3,$G$3))</f>
        <v>1</v>
      </c>
      <c r="M14">
        <f>IF($B$4="age",IF(Data!C224&lt;=$C$4,$F$4,$G$4),IF(Data!B224&lt;=$C$4,$F$4,$G$4))</f>
        <v>1</v>
      </c>
      <c r="N14">
        <f>IF($B$5="age",IF(Data!C224&lt;=$C$5,$F$5,$G$5),IF(Data!B224&lt;=$C$5,$F$5,$G$5))</f>
        <v>1</v>
      </c>
      <c r="O14">
        <f>IF($B$6="age",IF(Data!C224&lt;=$C$6,$F$6,$G$6),IF(Data!B224&lt;=$C$6,$F$6,$G$6))</f>
        <v>1</v>
      </c>
      <c r="P14">
        <f>IF($B$7="age",IF(Data!C224&lt;=$C$7,$F$7,$G$7),IF(Data!B224&lt;=$C$7,$F$7,$G$7))</f>
        <v>1</v>
      </c>
      <c r="Q14">
        <f>IF($B$8="age",IF(Data!C224&lt;=$C$8,$F$8,$G$8),IF(Data!B224&lt;=$C$8,$F$8,$G$8))</f>
        <v>1</v>
      </c>
      <c r="R14">
        <f>IF($B$9="age",IF(Data!C224&lt;=$C$9,$F$9,$G$9),IF(Data!B224&lt;=$C$9,$F$9,$G$9))</f>
        <v>1</v>
      </c>
      <c r="S14">
        <f>IF($B$10="age",IF(Data!C224&lt;=$C$10,$F$10,$G$10),IF(Data!B224&lt;=$C$10,$F$10,$G$10))</f>
        <v>1</v>
      </c>
      <c r="T14">
        <f>IF($B$11="age",IF(Data!C224&lt;=$C$11,$F$11,$G$11),IF(Data!B224&lt;=$C$11,$F$11,$G$11))</f>
        <v>0</v>
      </c>
      <c r="U14">
        <f>IF($B$12="age",IF(Data!C224&lt;=$C$12,$F$12,$G$12),IF(Data!B224&lt;=$C$12,$F$12,$G$12))</f>
        <v>1</v>
      </c>
      <c r="V14">
        <f>IF($B$13="age",IF(Data!C224&lt;=$C$13,$F$13,$G$13),IF(Data!B224&lt;=$C$13,$F$13,$G$13))</f>
        <v>1</v>
      </c>
      <c r="W14">
        <f>IF($B$14="age",IF(Data!C224&lt;=$C$14,$F$14,$G$14),IF(Data!B224&lt;=$C$14,$F$14,$G$14))</f>
        <v>1</v>
      </c>
      <c r="X14">
        <f>IF($B$15="age",IF(Data!C224&lt;=$C$15,$F$15,$G$15),IF(Data!B224&lt;=$C$15,$F$15,$G$15))</f>
        <v>1</v>
      </c>
      <c r="Y14">
        <f>IF($B$16="age",IF(Data!C224&lt;=$C$16,$F$16,$G$16),IF(Data!B224&lt;=$C$16,$F$16,$G$16))</f>
        <v>1</v>
      </c>
      <c r="Z14">
        <f>IF($B$17="age",IF(Data!C224&lt;=$C$17,$F$17,$G$17),IF(Data!B224&lt;=$C$17,$F$17,$G$17))</f>
        <v>0</v>
      </c>
      <c r="AA14">
        <f>IF($B$18="age",IF(Data!C224&lt;=$C$18,$F$18,$G$18),IF(Data!B224&lt;=$C$18,$F$18,$G$18))</f>
        <v>1</v>
      </c>
      <c r="AB14">
        <f>IF($B$19="age",IF(Data!C224&lt;=$C$19,$F$19,$G$19),IF(Data!B224&lt;=$C$19,$F$19,$G$19))</f>
        <v>1</v>
      </c>
      <c r="AC14">
        <f>IF($B$20="age",IF(Data!C224&lt;=$C$20,$F$20,$G$20),IF(Data!B224&lt;=$C$20,$F$20,$G$20))</f>
        <v>1</v>
      </c>
      <c r="AD14">
        <f>IF($B$21="age",IF(Data!C224&lt;=$C$21,$F$21,$G$21),IF(Data!B224&lt;=$C$21,$F$21,$G$21))</f>
        <v>0</v>
      </c>
      <c r="AE14">
        <f>IF($B$22="age",IF(Data!C224&lt;=$C$22,$F$22,$G$22),IF(Data!B224&lt;=$C$22,$F$22,$G$22))</f>
        <v>1</v>
      </c>
      <c r="AF14">
        <f>IF($B$23="age",IF(Data!C224&lt;=$C$23,$F$23,$G$23),IF(Data!B224&lt;=$C$23,$F$23,$G$23))</f>
        <v>1</v>
      </c>
      <c r="AG14">
        <f>IF($B$24="age",IF(Data!C224&lt;=$C$24,$F$24,$G$24),IF(Data!B224&lt;=$C$24,$F$24,$G$24))</f>
        <v>1</v>
      </c>
      <c r="AH14">
        <f>IF($B$25="age",IF(Data!C224&lt;=$C$25,$F$25,$G$25),IF(Data!B224&lt;=$C$25,$F$25,$G$25))</f>
        <v>1</v>
      </c>
      <c r="AI14">
        <f>IF($B$26="age",IF(Data!C224&lt;=$C$26,$F$26,$G$26),IF(Data!B224&lt;=$C$26,$F$26,$G$26))</f>
        <v>1</v>
      </c>
      <c r="AJ14">
        <f t="shared" si="0"/>
        <v>0.88</v>
      </c>
      <c r="AK14">
        <f>IF(AJ14&gt;=Controls!$B$2,1,0)</f>
        <v>1</v>
      </c>
      <c r="AL14">
        <f t="shared" si="1"/>
        <v>0</v>
      </c>
    </row>
    <row r="15" spans="1:38" x14ac:dyDescent="0.2">
      <c r="A15">
        <v>14</v>
      </c>
      <c r="B15" t="str">
        <f>IF(MOD(14,2)=1,"age","year")</f>
        <v>year</v>
      </c>
      <c r="C15">
        <f>IF(B15="age",INDEX(Data!$C$2:$C$301,1+MOD(INT(ABS(SIN((14*41+ROW()))*1000000)),300)),INDEX(Data!$B$2:$B$301,1+MOD(INT(ABS(SIN((14*53+ROW()))*1000000)),300)))</f>
        <v>2009</v>
      </c>
      <c r="D15">
        <f>IF(B15="age",IFERROR(AVERAGEIFS(Data!$L$2:$L$301,Data!$M$2:$M$301,"Train",Data!$C$2:$C$301,"&lt;="&amp;C15),0),IFERROR(AVERAGEIFS(Data!$L$2:$L$301,Data!$M$2:$M$301,"Train",Data!$B$2:$B$301,"&lt;="&amp;C15),0))</f>
        <v>0.52380952380952384</v>
      </c>
      <c r="E15">
        <f>IF(B15="age",IFERROR(AVERAGEIFS(Data!$L$2:$L$301,Data!$M$2:$M$301,"Train",Data!$C$2:$C$301,"&gt;"&amp;C15),0),IFERROR(AVERAGEIFS(Data!$L$2:$L$301,Data!$M$2:$M$301,"Train",Data!$B$2:$B$301,"&gt;"&amp;C15),0))</f>
        <v>0</v>
      </c>
      <c r="F15">
        <f>IF(D15&gt;=Controls!$B$2,1,0)</f>
        <v>1</v>
      </c>
      <c r="G15">
        <f>IF(E15&gt;=Controls!$B$2,1,0)</f>
        <v>0</v>
      </c>
      <c r="I15">
        <f>Data!A225</f>
        <v>224</v>
      </c>
      <c r="J15">
        <f>Data!L225</f>
        <v>1</v>
      </c>
      <c r="K15">
        <f>IF($B$2="age",IF(Data!C225&lt;=$C$2,$F$2,$G$2),IF(Data!B225&lt;=$C$2,$F$2,$G$2))</f>
        <v>0</v>
      </c>
      <c r="L15">
        <f>IF($B$3="age",IF(Data!C225&lt;=$C$3,$F$3,$G$3),IF(Data!B225&lt;=$C$3,$F$3,$G$3))</f>
        <v>1</v>
      </c>
      <c r="M15">
        <f>IF($B$4="age",IF(Data!C225&lt;=$C$4,$F$4,$G$4),IF(Data!B225&lt;=$C$4,$F$4,$G$4))</f>
        <v>1</v>
      </c>
      <c r="N15">
        <f>IF($B$5="age",IF(Data!C225&lt;=$C$5,$F$5,$G$5),IF(Data!B225&lt;=$C$5,$F$5,$G$5))</f>
        <v>0</v>
      </c>
      <c r="O15">
        <f>IF($B$6="age",IF(Data!C225&lt;=$C$6,$F$6,$G$6),IF(Data!B225&lt;=$C$6,$F$6,$G$6))</f>
        <v>0</v>
      </c>
      <c r="P15">
        <f>IF($B$7="age",IF(Data!C225&lt;=$C$7,$F$7,$G$7),IF(Data!B225&lt;=$C$7,$F$7,$G$7))</f>
        <v>1</v>
      </c>
      <c r="Q15">
        <f>IF($B$8="age",IF(Data!C225&lt;=$C$8,$F$8,$G$8),IF(Data!B225&lt;=$C$8,$F$8,$G$8))</f>
        <v>1</v>
      </c>
      <c r="R15">
        <f>IF($B$9="age",IF(Data!C225&lt;=$C$9,$F$9,$G$9),IF(Data!B225&lt;=$C$9,$F$9,$G$9))</f>
        <v>0</v>
      </c>
      <c r="S15">
        <f>IF($B$10="age",IF(Data!C225&lt;=$C$10,$F$10,$G$10),IF(Data!B225&lt;=$C$10,$F$10,$G$10))</f>
        <v>0</v>
      </c>
      <c r="T15">
        <f>IF($B$11="age",IF(Data!C225&lt;=$C$11,$F$11,$G$11),IF(Data!B225&lt;=$C$11,$F$11,$G$11))</f>
        <v>0</v>
      </c>
      <c r="U15">
        <f>IF($B$12="age",IF(Data!C225&lt;=$C$12,$F$12,$G$12),IF(Data!B225&lt;=$C$12,$F$12,$G$12))</f>
        <v>1</v>
      </c>
      <c r="V15">
        <f>IF($B$13="age",IF(Data!C225&lt;=$C$13,$F$13,$G$13),IF(Data!B225&lt;=$C$13,$F$13,$G$13))</f>
        <v>0</v>
      </c>
      <c r="W15">
        <f>IF($B$14="age",IF(Data!C225&lt;=$C$14,$F$14,$G$14),IF(Data!B225&lt;=$C$14,$F$14,$G$14))</f>
        <v>0</v>
      </c>
      <c r="X15">
        <f>IF($B$15="age",IF(Data!C225&lt;=$C$15,$F$15,$G$15),IF(Data!B225&lt;=$C$15,$F$15,$G$15))</f>
        <v>1</v>
      </c>
      <c r="Y15">
        <f>IF($B$16="age",IF(Data!C225&lt;=$C$16,$F$16,$G$16),IF(Data!B225&lt;=$C$16,$F$16,$G$16))</f>
        <v>1</v>
      </c>
      <c r="Z15">
        <f>IF($B$17="age",IF(Data!C225&lt;=$C$17,$F$17,$G$17),IF(Data!B225&lt;=$C$17,$F$17,$G$17))</f>
        <v>0</v>
      </c>
      <c r="AA15">
        <f>IF($B$18="age",IF(Data!C225&lt;=$C$18,$F$18,$G$18),IF(Data!B225&lt;=$C$18,$F$18,$G$18))</f>
        <v>1</v>
      </c>
      <c r="AB15">
        <f>IF($B$19="age",IF(Data!C225&lt;=$C$19,$F$19,$G$19),IF(Data!B225&lt;=$C$19,$F$19,$G$19))</f>
        <v>0</v>
      </c>
      <c r="AC15">
        <f>IF($B$20="age",IF(Data!C225&lt;=$C$20,$F$20,$G$20),IF(Data!B225&lt;=$C$20,$F$20,$G$20))</f>
        <v>1</v>
      </c>
      <c r="AD15">
        <f>IF($B$21="age",IF(Data!C225&lt;=$C$21,$F$21,$G$21),IF(Data!B225&lt;=$C$21,$F$21,$G$21))</f>
        <v>0</v>
      </c>
      <c r="AE15">
        <f>IF($B$22="age",IF(Data!C225&lt;=$C$22,$F$22,$G$22),IF(Data!B225&lt;=$C$22,$F$22,$G$22))</f>
        <v>0</v>
      </c>
      <c r="AF15">
        <f>IF($B$23="age",IF(Data!C225&lt;=$C$23,$F$23,$G$23),IF(Data!B225&lt;=$C$23,$F$23,$G$23))</f>
        <v>0</v>
      </c>
      <c r="AG15">
        <f>IF($B$24="age",IF(Data!C225&lt;=$C$24,$F$24,$G$24),IF(Data!B225&lt;=$C$24,$F$24,$G$24))</f>
        <v>1</v>
      </c>
      <c r="AH15">
        <f>IF($B$25="age",IF(Data!C225&lt;=$C$25,$F$25,$G$25),IF(Data!B225&lt;=$C$25,$F$25,$G$25))</f>
        <v>1</v>
      </c>
      <c r="AI15">
        <f>IF($B$26="age",IF(Data!C225&lt;=$C$26,$F$26,$G$26),IF(Data!B225&lt;=$C$26,$F$26,$G$26))</f>
        <v>1</v>
      </c>
      <c r="AJ15">
        <f t="shared" si="0"/>
        <v>0.48</v>
      </c>
      <c r="AK15">
        <f>IF(AJ15&gt;=Controls!$B$2,1,0)</f>
        <v>0</v>
      </c>
      <c r="AL15">
        <f t="shared" si="1"/>
        <v>0</v>
      </c>
    </row>
    <row r="16" spans="1:38" x14ac:dyDescent="0.2">
      <c r="A16">
        <v>15</v>
      </c>
      <c r="B16" t="str">
        <f>IF(MOD(15,2)=1,"age","year")</f>
        <v>age</v>
      </c>
      <c r="C16">
        <f>IF(B16="age",INDEX(Data!$C$2:$C$301,1+MOD(INT(ABS(SIN((15*41+ROW()))*1000000)),300)),INDEX(Data!$B$2:$B$301,1+MOD(INT(ABS(SIN((15*53+ROW()))*1000000)),300)))</f>
        <v>61</v>
      </c>
      <c r="D16">
        <f>IF(B16="age",IFERROR(AVERAGEIFS(Data!$L$2:$L$301,Data!$M$2:$M$301,"Train",Data!$C$2:$C$301,"&lt;="&amp;C16),0),IFERROR(AVERAGEIFS(Data!$L$2:$L$301,Data!$M$2:$M$301,"Train",Data!$B$2:$B$301,"&lt;="&amp;C16),0))</f>
        <v>0.53535353535353536</v>
      </c>
      <c r="E16">
        <f>IF(B16="age",IFERROR(AVERAGEIFS(Data!$L$2:$L$301,Data!$M$2:$M$301,"Train",Data!$C$2:$C$301,"&gt;"&amp;C16),0),IFERROR(AVERAGEIFS(Data!$L$2:$L$301,Data!$M$2:$M$301,"Train",Data!$B$2:$B$301,"&gt;"&amp;C16),0))</f>
        <v>0.33333333333333331</v>
      </c>
      <c r="F16">
        <f>IF(D16&gt;=Controls!$B$2,1,0)</f>
        <v>1</v>
      </c>
      <c r="G16">
        <f>IF(E16&gt;=Controls!$B$2,1,0)</f>
        <v>0</v>
      </c>
      <c r="I16">
        <f>Data!A226</f>
        <v>225</v>
      </c>
      <c r="J16">
        <f>Data!L226</f>
        <v>0</v>
      </c>
      <c r="K16">
        <f>IF($B$2="age",IF(Data!C226&lt;=$C$2,$F$2,$G$2),IF(Data!B226&lt;=$C$2,$F$2,$G$2))</f>
        <v>0</v>
      </c>
      <c r="L16">
        <f>IF($B$3="age",IF(Data!C226&lt;=$C$3,$F$3,$G$3),IF(Data!B226&lt;=$C$3,$F$3,$G$3))</f>
        <v>1</v>
      </c>
      <c r="M16">
        <f>IF($B$4="age",IF(Data!C226&lt;=$C$4,$F$4,$G$4),IF(Data!B226&lt;=$C$4,$F$4,$G$4))</f>
        <v>1</v>
      </c>
      <c r="N16">
        <f>IF($B$5="age",IF(Data!C226&lt;=$C$5,$F$5,$G$5),IF(Data!B226&lt;=$C$5,$F$5,$G$5))</f>
        <v>1</v>
      </c>
      <c r="O16">
        <f>IF($B$6="age",IF(Data!C226&lt;=$C$6,$F$6,$G$6),IF(Data!B226&lt;=$C$6,$F$6,$G$6))</f>
        <v>0</v>
      </c>
      <c r="P16">
        <f>IF($B$7="age",IF(Data!C226&lt;=$C$7,$F$7,$G$7),IF(Data!B226&lt;=$C$7,$F$7,$G$7))</f>
        <v>1</v>
      </c>
      <c r="Q16">
        <f>IF($B$8="age",IF(Data!C226&lt;=$C$8,$F$8,$G$8),IF(Data!B226&lt;=$C$8,$F$8,$G$8))</f>
        <v>1</v>
      </c>
      <c r="R16">
        <f>IF($B$9="age",IF(Data!C226&lt;=$C$9,$F$9,$G$9),IF(Data!B226&lt;=$C$9,$F$9,$G$9))</f>
        <v>1</v>
      </c>
      <c r="S16">
        <f>IF($B$10="age",IF(Data!C226&lt;=$C$10,$F$10,$G$10),IF(Data!B226&lt;=$C$10,$F$10,$G$10))</f>
        <v>0</v>
      </c>
      <c r="T16">
        <f>IF($B$11="age",IF(Data!C226&lt;=$C$11,$F$11,$G$11),IF(Data!B226&lt;=$C$11,$F$11,$G$11))</f>
        <v>0</v>
      </c>
      <c r="U16">
        <f>IF($B$12="age",IF(Data!C226&lt;=$C$12,$F$12,$G$12),IF(Data!B226&lt;=$C$12,$F$12,$G$12))</f>
        <v>1</v>
      </c>
      <c r="V16">
        <f>IF($B$13="age",IF(Data!C226&lt;=$C$13,$F$13,$G$13),IF(Data!B226&lt;=$C$13,$F$13,$G$13))</f>
        <v>1</v>
      </c>
      <c r="W16">
        <f>IF($B$14="age",IF(Data!C226&lt;=$C$14,$F$14,$G$14),IF(Data!B226&lt;=$C$14,$F$14,$G$14))</f>
        <v>0</v>
      </c>
      <c r="X16">
        <f>IF($B$15="age",IF(Data!C226&lt;=$C$15,$F$15,$G$15),IF(Data!B226&lt;=$C$15,$F$15,$G$15))</f>
        <v>1</v>
      </c>
      <c r="Y16">
        <f>IF($B$16="age",IF(Data!C226&lt;=$C$16,$F$16,$G$16),IF(Data!B226&lt;=$C$16,$F$16,$G$16))</f>
        <v>1</v>
      </c>
      <c r="Z16">
        <f>IF($B$17="age",IF(Data!C226&lt;=$C$17,$F$17,$G$17),IF(Data!B226&lt;=$C$17,$F$17,$G$17))</f>
        <v>0</v>
      </c>
      <c r="AA16">
        <f>IF($B$18="age",IF(Data!C226&lt;=$C$18,$F$18,$G$18),IF(Data!B226&lt;=$C$18,$F$18,$G$18))</f>
        <v>1</v>
      </c>
      <c r="AB16">
        <f>IF($B$19="age",IF(Data!C226&lt;=$C$19,$F$19,$G$19),IF(Data!B226&lt;=$C$19,$F$19,$G$19))</f>
        <v>1</v>
      </c>
      <c r="AC16">
        <f>IF($B$20="age",IF(Data!C226&lt;=$C$20,$F$20,$G$20),IF(Data!B226&lt;=$C$20,$F$20,$G$20))</f>
        <v>1</v>
      </c>
      <c r="AD16">
        <f>IF($B$21="age",IF(Data!C226&lt;=$C$21,$F$21,$G$21),IF(Data!B226&lt;=$C$21,$F$21,$G$21))</f>
        <v>0</v>
      </c>
      <c r="AE16">
        <f>IF($B$22="age",IF(Data!C226&lt;=$C$22,$F$22,$G$22),IF(Data!B226&lt;=$C$22,$F$22,$G$22))</f>
        <v>0</v>
      </c>
      <c r="AF16">
        <f>IF($B$23="age",IF(Data!C226&lt;=$C$23,$F$23,$G$23),IF(Data!B226&lt;=$C$23,$F$23,$G$23))</f>
        <v>1</v>
      </c>
      <c r="AG16">
        <f>IF($B$24="age",IF(Data!C226&lt;=$C$24,$F$24,$G$24),IF(Data!B226&lt;=$C$24,$F$24,$G$24))</f>
        <v>0</v>
      </c>
      <c r="AH16">
        <f>IF($B$25="age",IF(Data!C226&lt;=$C$25,$F$25,$G$25),IF(Data!B226&lt;=$C$25,$F$25,$G$25))</f>
        <v>1</v>
      </c>
      <c r="AI16">
        <f>IF($B$26="age",IF(Data!C226&lt;=$C$26,$F$26,$G$26),IF(Data!B226&lt;=$C$26,$F$26,$G$26))</f>
        <v>1</v>
      </c>
      <c r="AJ16">
        <f t="shared" si="0"/>
        <v>0.64</v>
      </c>
      <c r="AK16">
        <f>IF(AJ16&gt;=Controls!$B$2,1,0)</f>
        <v>1</v>
      </c>
      <c r="AL16">
        <f t="shared" si="1"/>
        <v>0</v>
      </c>
    </row>
    <row r="17" spans="1:38" x14ac:dyDescent="0.2">
      <c r="A17">
        <v>16</v>
      </c>
      <c r="B17" t="str">
        <f>IF(MOD(16,2)=1,"age","year")</f>
        <v>year</v>
      </c>
      <c r="C17">
        <f>IF(B17="age",INDEX(Data!$C$2:$C$301,1+MOD(INT(ABS(SIN((16*41+ROW()))*1000000)),300)),INDEX(Data!$B$2:$B$301,1+MOD(INT(ABS(SIN((16*53+ROW()))*1000000)),300)))</f>
        <v>2007</v>
      </c>
      <c r="D17">
        <f>IF(B17="age",IFERROR(AVERAGEIFS(Data!$L$2:$L$301,Data!$M$2:$M$301,"Train",Data!$C$2:$C$301,"&lt;="&amp;C17),0),IFERROR(AVERAGEIFS(Data!$L$2:$L$301,Data!$M$2:$M$301,"Train",Data!$B$2:$B$301,"&lt;="&amp;C17),0))</f>
        <v>0.49375000000000002</v>
      </c>
      <c r="E17">
        <f>IF(B17="age",IFERROR(AVERAGEIFS(Data!$L$2:$L$301,Data!$M$2:$M$301,"Train",Data!$C$2:$C$301,"&gt;"&amp;C17),0),IFERROR(AVERAGEIFS(Data!$L$2:$L$301,Data!$M$2:$M$301,"Train",Data!$B$2:$B$301,"&gt;"&amp;C17),0))</f>
        <v>0.62</v>
      </c>
      <c r="F17">
        <f>IF(D17&gt;=Controls!$B$2,1,0)</f>
        <v>0</v>
      </c>
      <c r="G17">
        <f>IF(E17&gt;=Controls!$B$2,1,0)</f>
        <v>1</v>
      </c>
      <c r="I17">
        <f>Data!A227</f>
        <v>226</v>
      </c>
      <c r="J17">
        <f>Data!L227</f>
        <v>0</v>
      </c>
      <c r="K17">
        <f>IF($B$2="age",IF(Data!C227&lt;=$C$2,$F$2,$G$2),IF(Data!B227&lt;=$C$2,$F$2,$G$2))</f>
        <v>0</v>
      </c>
      <c r="L17">
        <f>IF($B$3="age",IF(Data!C227&lt;=$C$3,$F$3,$G$3),IF(Data!B227&lt;=$C$3,$F$3,$G$3))</f>
        <v>0</v>
      </c>
      <c r="M17">
        <f>IF($B$4="age",IF(Data!C227&lt;=$C$4,$F$4,$G$4),IF(Data!B227&lt;=$C$4,$F$4,$G$4))</f>
        <v>1</v>
      </c>
      <c r="N17">
        <f>IF($B$5="age",IF(Data!C227&lt;=$C$5,$F$5,$G$5),IF(Data!B227&lt;=$C$5,$F$5,$G$5))</f>
        <v>0</v>
      </c>
      <c r="O17">
        <f>IF($B$6="age",IF(Data!C227&lt;=$C$6,$F$6,$G$6),IF(Data!B227&lt;=$C$6,$F$6,$G$6))</f>
        <v>1</v>
      </c>
      <c r="P17">
        <f>IF($B$7="age",IF(Data!C227&lt;=$C$7,$F$7,$G$7),IF(Data!B227&lt;=$C$7,$F$7,$G$7))</f>
        <v>1</v>
      </c>
      <c r="Q17">
        <f>IF($B$8="age",IF(Data!C227&lt;=$C$8,$F$8,$G$8),IF(Data!B227&lt;=$C$8,$F$8,$G$8))</f>
        <v>1</v>
      </c>
      <c r="R17">
        <f>IF($B$9="age",IF(Data!C227&lt;=$C$9,$F$9,$G$9),IF(Data!B227&lt;=$C$9,$F$9,$G$9))</f>
        <v>0</v>
      </c>
      <c r="S17">
        <f>IF($B$10="age",IF(Data!C227&lt;=$C$10,$F$10,$G$10),IF(Data!B227&lt;=$C$10,$F$10,$G$10))</f>
        <v>0</v>
      </c>
      <c r="T17">
        <f>IF($B$11="age",IF(Data!C227&lt;=$C$11,$F$11,$G$11),IF(Data!B227&lt;=$C$11,$F$11,$G$11))</f>
        <v>0</v>
      </c>
      <c r="U17">
        <f>IF($B$12="age",IF(Data!C227&lt;=$C$12,$F$12,$G$12),IF(Data!B227&lt;=$C$12,$F$12,$G$12))</f>
        <v>1</v>
      </c>
      <c r="V17">
        <f>IF($B$13="age",IF(Data!C227&lt;=$C$13,$F$13,$G$13),IF(Data!B227&lt;=$C$13,$F$13,$G$13))</f>
        <v>0</v>
      </c>
      <c r="W17">
        <f>IF($B$14="age",IF(Data!C227&lt;=$C$14,$F$14,$G$14),IF(Data!B227&lt;=$C$14,$F$14,$G$14))</f>
        <v>1</v>
      </c>
      <c r="X17">
        <f>IF($B$15="age",IF(Data!C227&lt;=$C$15,$F$15,$G$15),IF(Data!B227&lt;=$C$15,$F$15,$G$15))</f>
        <v>1</v>
      </c>
      <c r="Y17">
        <f>IF($B$16="age",IF(Data!C227&lt;=$C$16,$F$16,$G$16),IF(Data!B227&lt;=$C$16,$F$16,$G$16))</f>
        <v>1</v>
      </c>
      <c r="Z17">
        <f>IF($B$17="age",IF(Data!C227&lt;=$C$17,$F$17,$G$17),IF(Data!B227&lt;=$C$17,$F$17,$G$17))</f>
        <v>0</v>
      </c>
      <c r="AA17">
        <f>IF($B$18="age",IF(Data!C227&lt;=$C$18,$F$18,$G$18),IF(Data!B227&lt;=$C$18,$F$18,$G$18))</f>
        <v>1</v>
      </c>
      <c r="AB17">
        <f>IF($B$19="age",IF(Data!C227&lt;=$C$19,$F$19,$G$19),IF(Data!B227&lt;=$C$19,$F$19,$G$19))</f>
        <v>0</v>
      </c>
      <c r="AC17">
        <f>IF($B$20="age",IF(Data!C227&lt;=$C$20,$F$20,$G$20),IF(Data!B227&lt;=$C$20,$F$20,$G$20))</f>
        <v>1</v>
      </c>
      <c r="AD17">
        <f>IF($B$21="age",IF(Data!C227&lt;=$C$21,$F$21,$G$21),IF(Data!B227&lt;=$C$21,$F$21,$G$21))</f>
        <v>0</v>
      </c>
      <c r="AE17">
        <f>IF($B$22="age",IF(Data!C227&lt;=$C$22,$F$22,$G$22),IF(Data!B227&lt;=$C$22,$F$22,$G$22))</f>
        <v>1</v>
      </c>
      <c r="AF17">
        <f>IF($B$23="age",IF(Data!C227&lt;=$C$23,$F$23,$G$23),IF(Data!B227&lt;=$C$23,$F$23,$G$23))</f>
        <v>0</v>
      </c>
      <c r="AG17">
        <f>IF($B$24="age",IF(Data!C227&lt;=$C$24,$F$24,$G$24),IF(Data!B227&lt;=$C$24,$F$24,$G$24))</f>
        <v>1</v>
      </c>
      <c r="AH17">
        <f>IF($B$25="age",IF(Data!C227&lt;=$C$25,$F$25,$G$25),IF(Data!B227&lt;=$C$25,$F$25,$G$25))</f>
        <v>1</v>
      </c>
      <c r="AI17">
        <f>IF($B$26="age",IF(Data!C227&lt;=$C$26,$F$26,$G$26),IF(Data!B227&lt;=$C$26,$F$26,$G$26))</f>
        <v>1</v>
      </c>
      <c r="AJ17">
        <f t="shared" si="0"/>
        <v>0.56000000000000005</v>
      </c>
      <c r="AK17">
        <f>IF(AJ17&gt;=Controls!$B$2,1,0)</f>
        <v>1</v>
      </c>
      <c r="AL17">
        <f t="shared" si="1"/>
        <v>0</v>
      </c>
    </row>
    <row r="18" spans="1:38" x14ac:dyDescent="0.2">
      <c r="A18">
        <v>17</v>
      </c>
      <c r="B18" t="str">
        <f>IF(MOD(17,2)=1,"age","year")</f>
        <v>age</v>
      </c>
      <c r="C18">
        <f>IF(B18="age",INDEX(Data!$C$2:$C$301,1+MOD(INT(ABS(SIN((17*41+ROW()))*1000000)),300)),INDEX(Data!$B$2:$B$301,1+MOD(INT(ABS(SIN((17*53+ROW()))*1000000)),300)))</f>
        <v>63</v>
      </c>
      <c r="D18">
        <f>IF(B18="age",IFERROR(AVERAGEIFS(Data!$L$2:$L$301,Data!$M$2:$M$301,"Train",Data!$C$2:$C$301,"&lt;="&amp;C18),0),IFERROR(AVERAGEIFS(Data!$L$2:$L$301,Data!$M$2:$M$301,"Train",Data!$B$2:$B$301,"&lt;="&amp;C18),0))</f>
        <v>0.53465346534653468</v>
      </c>
      <c r="E18">
        <f>IF(B18="age",IFERROR(AVERAGEIFS(Data!$L$2:$L$301,Data!$M$2:$M$301,"Train",Data!$C$2:$C$301,"&gt;"&amp;C18),0),IFERROR(AVERAGEIFS(Data!$L$2:$L$301,Data!$M$2:$M$301,"Train",Data!$B$2:$B$301,"&gt;"&amp;C18),0))</f>
        <v>0.25</v>
      </c>
      <c r="F18">
        <f>IF(D18&gt;=Controls!$B$2,1,0)</f>
        <v>1</v>
      </c>
      <c r="G18">
        <f>IF(E18&gt;=Controls!$B$2,1,0)</f>
        <v>0</v>
      </c>
      <c r="I18">
        <f>Data!A228</f>
        <v>227</v>
      </c>
      <c r="J18">
        <f>Data!L228</f>
        <v>0</v>
      </c>
      <c r="K18">
        <f>IF($B$2="age",IF(Data!C228&lt;=$C$2,$F$2,$G$2),IF(Data!B228&lt;=$C$2,$F$2,$G$2))</f>
        <v>0</v>
      </c>
      <c r="L18">
        <f>IF($B$3="age",IF(Data!C228&lt;=$C$3,$F$3,$G$3),IF(Data!B228&lt;=$C$3,$F$3,$G$3))</f>
        <v>1</v>
      </c>
      <c r="M18">
        <f>IF($B$4="age",IF(Data!C228&lt;=$C$4,$F$4,$G$4),IF(Data!B228&lt;=$C$4,$F$4,$G$4))</f>
        <v>1</v>
      </c>
      <c r="N18">
        <f>IF($B$5="age",IF(Data!C228&lt;=$C$5,$F$5,$G$5),IF(Data!B228&lt;=$C$5,$F$5,$G$5))</f>
        <v>1</v>
      </c>
      <c r="O18">
        <f>IF($B$6="age",IF(Data!C228&lt;=$C$6,$F$6,$G$6),IF(Data!B228&lt;=$C$6,$F$6,$G$6))</f>
        <v>0</v>
      </c>
      <c r="P18">
        <f>IF($B$7="age",IF(Data!C228&lt;=$C$7,$F$7,$G$7),IF(Data!B228&lt;=$C$7,$F$7,$G$7))</f>
        <v>1</v>
      </c>
      <c r="Q18">
        <f>IF($B$8="age",IF(Data!C228&lt;=$C$8,$F$8,$G$8),IF(Data!B228&lt;=$C$8,$F$8,$G$8))</f>
        <v>1</v>
      </c>
      <c r="R18">
        <f>IF($B$9="age",IF(Data!C228&lt;=$C$9,$F$9,$G$9),IF(Data!B228&lt;=$C$9,$F$9,$G$9))</f>
        <v>1</v>
      </c>
      <c r="S18">
        <f>IF($B$10="age",IF(Data!C228&lt;=$C$10,$F$10,$G$10),IF(Data!B228&lt;=$C$10,$F$10,$G$10))</f>
        <v>0</v>
      </c>
      <c r="T18">
        <f>IF($B$11="age",IF(Data!C228&lt;=$C$11,$F$11,$G$11),IF(Data!B228&lt;=$C$11,$F$11,$G$11))</f>
        <v>1</v>
      </c>
      <c r="U18">
        <f>IF($B$12="age",IF(Data!C228&lt;=$C$12,$F$12,$G$12),IF(Data!B228&lt;=$C$12,$F$12,$G$12))</f>
        <v>1</v>
      </c>
      <c r="V18">
        <f>IF($B$13="age",IF(Data!C228&lt;=$C$13,$F$13,$G$13),IF(Data!B228&lt;=$C$13,$F$13,$G$13))</f>
        <v>1</v>
      </c>
      <c r="W18">
        <f>IF($B$14="age",IF(Data!C228&lt;=$C$14,$F$14,$G$14),IF(Data!B228&lt;=$C$14,$F$14,$G$14))</f>
        <v>0</v>
      </c>
      <c r="X18">
        <f>IF($B$15="age",IF(Data!C228&lt;=$C$15,$F$15,$G$15),IF(Data!B228&lt;=$C$15,$F$15,$G$15))</f>
        <v>1</v>
      </c>
      <c r="Y18">
        <f>IF($B$16="age",IF(Data!C228&lt;=$C$16,$F$16,$G$16),IF(Data!B228&lt;=$C$16,$F$16,$G$16))</f>
        <v>1</v>
      </c>
      <c r="Z18">
        <f>IF($B$17="age",IF(Data!C228&lt;=$C$17,$F$17,$G$17),IF(Data!B228&lt;=$C$17,$F$17,$G$17))</f>
        <v>1</v>
      </c>
      <c r="AA18">
        <f>IF($B$18="age",IF(Data!C228&lt;=$C$18,$F$18,$G$18),IF(Data!B228&lt;=$C$18,$F$18,$G$18))</f>
        <v>1</v>
      </c>
      <c r="AB18">
        <f>IF($B$19="age",IF(Data!C228&lt;=$C$19,$F$19,$G$19),IF(Data!B228&lt;=$C$19,$F$19,$G$19))</f>
        <v>1</v>
      </c>
      <c r="AC18">
        <f>IF($B$20="age",IF(Data!C228&lt;=$C$20,$F$20,$G$20),IF(Data!B228&lt;=$C$20,$F$20,$G$20))</f>
        <v>1</v>
      </c>
      <c r="AD18">
        <f>IF($B$21="age",IF(Data!C228&lt;=$C$21,$F$21,$G$21),IF(Data!B228&lt;=$C$21,$F$21,$G$21))</f>
        <v>1</v>
      </c>
      <c r="AE18">
        <f>IF($B$22="age",IF(Data!C228&lt;=$C$22,$F$22,$G$22),IF(Data!B228&lt;=$C$22,$F$22,$G$22))</f>
        <v>0</v>
      </c>
      <c r="AF18">
        <f>IF($B$23="age",IF(Data!C228&lt;=$C$23,$F$23,$G$23),IF(Data!B228&lt;=$C$23,$F$23,$G$23))</f>
        <v>1</v>
      </c>
      <c r="AG18">
        <f>IF($B$24="age",IF(Data!C228&lt;=$C$24,$F$24,$G$24),IF(Data!B228&lt;=$C$24,$F$24,$G$24))</f>
        <v>0</v>
      </c>
      <c r="AH18">
        <f>IF($B$25="age",IF(Data!C228&lt;=$C$25,$F$25,$G$25),IF(Data!B228&lt;=$C$25,$F$25,$G$25))</f>
        <v>1</v>
      </c>
      <c r="AI18">
        <f>IF($B$26="age",IF(Data!C228&lt;=$C$26,$F$26,$G$26),IF(Data!B228&lt;=$C$26,$F$26,$G$26))</f>
        <v>1</v>
      </c>
      <c r="AJ18">
        <f t="shared" si="0"/>
        <v>0.76</v>
      </c>
      <c r="AK18">
        <f>IF(AJ18&gt;=Controls!$B$2,1,0)</f>
        <v>1</v>
      </c>
      <c r="AL18">
        <f t="shared" si="1"/>
        <v>0</v>
      </c>
    </row>
    <row r="19" spans="1:38" x14ac:dyDescent="0.2">
      <c r="A19">
        <v>18</v>
      </c>
      <c r="B19" t="str">
        <f>IF(MOD(18,2)=1,"age","year")</f>
        <v>year</v>
      </c>
      <c r="C19">
        <f>IF(B19="age",INDEX(Data!$C$2:$C$301,1+MOD(INT(ABS(SIN((18*41+ROW()))*1000000)),300)),INDEX(Data!$B$2:$B$301,1+MOD(INT(ABS(SIN((18*53+ROW()))*1000000)),300)))</f>
        <v>2004</v>
      </c>
      <c r="D19">
        <f>IF(B19="age",IFERROR(AVERAGEIFS(Data!$L$2:$L$301,Data!$M$2:$M$301,"Train",Data!$C$2:$C$301,"&lt;="&amp;C19),0),IFERROR(AVERAGEIFS(Data!$L$2:$L$301,Data!$M$2:$M$301,"Train",Data!$B$2:$B$301,"&lt;="&amp;C19),0))</f>
        <v>0.43835616438356162</v>
      </c>
      <c r="E19">
        <f>IF(B19="age",IFERROR(AVERAGEIFS(Data!$L$2:$L$301,Data!$M$2:$M$301,"Train",Data!$C$2:$C$301,"&gt;"&amp;C19),0),IFERROR(AVERAGEIFS(Data!$L$2:$L$301,Data!$M$2:$M$301,"Train",Data!$B$2:$B$301,"&gt;"&amp;C19),0))</f>
        <v>0.56934306569343063</v>
      </c>
      <c r="F19">
        <f>IF(D19&gt;=Controls!$B$2,1,0)</f>
        <v>0</v>
      </c>
      <c r="G19">
        <f>IF(E19&gt;=Controls!$B$2,1,0)</f>
        <v>1</v>
      </c>
      <c r="I19">
        <f>Data!A229</f>
        <v>228</v>
      </c>
      <c r="J19">
        <f>Data!L229</f>
        <v>0</v>
      </c>
      <c r="K19">
        <f>IF($B$2="age",IF(Data!C229&lt;=$C$2,$F$2,$G$2),IF(Data!B229&lt;=$C$2,$F$2,$G$2))</f>
        <v>0</v>
      </c>
      <c r="L19">
        <f>IF($B$3="age",IF(Data!C229&lt;=$C$3,$F$3,$G$3),IF(Data!B229&lt;=$C$3,$F$3,$G$3))</f>
        <v>1</v>
      </c>
      <c r="M19">
        <f>IF($B$4="age",IF(Data!C229&lt;=$C$4,$F$4,$G$4),IF(Data!B229&lt;=$C$4,$F$4,$G$4))</f>
        <v>1</v>
      </c>
      <c r="N19">
        <f>IF($B$5="age",IF(Data!C229&lt;=$C$5,$F$5,$G$5),IF(Data!B229&lt;=$C$5,$F$5,$G$5))</f>
        <v>1</v>
      </c>
      <c r="O19">
        <f>IF($B$6="age",IF(Data!C229&lt;=$C$6,$F$6,$G$6),IF(Data!B229&lt;=$C$6,$F$6,$G$6))</f>
        <v>1</v>
      </c>
      <c r="P19">
        <f>IF($B$7="age",IF(Data!C229&lt;=$C$7,$F$7,$G$7),IF(Data!B229&lt;=$C$7,$F$7,$G$7))</f>
        <v>1</v>
      </c>
      <c r="Q19">
        <f>IF($B$8="age",IF(Data!C229&lt;=$C$8,$F$8,$G$8),IF(Data!B229&lt;=$C$8,$F$8,$G$8))</f>
        <v>1</v>
      </c>
      <c r="R19">
        <f>IF($B$9="age",IF(Data!C229&lt;=$C$9,$F$9,$G$9),IF(Data!B229&lt;=$C$9,$F$9,$G$9))</f>
        <v>1</v>
      </c>
      <c r="S19">
        <f>IF($B$10="age",IF(Data!C229&lt;=$C$10,$F$10,$G$10),IF(Data!B229&lt;=$C$10,$F$10,$G$10))</f>
        <v>0</v>
      </c>
      <c r="T19">
        <f>IF($B$11="age",IF(Data!C229&lt;=$C$11,$F$11,$G$11),IF(Data!B229&lt;=$C$11,$F$11,$G$11))</f>
        <v>0</v>
      </c>
      <c r="U19">
        <f>IF($B$12="age",IF(Data!C229&lt;=$C$12,$F$12,$G$12),IF(Data!B229&lt;=$C$12,$F$12,$G$12))</f>
        <v>1</v>
      </c>
      <c r="V19">
        <f>IF($B$13="age",IF(Data!C229&lt;=$C$13,$F$13,$G$13),IF(Data!B229&lt;=$C$13,$F$13,$G$13))</f>
        <v>1</v>
      </c>
      <c r="W19">
        <f>IF($B$14="age",IF(Data!C229&lt;=$C$14,$F$14,$G$14),IF(Data!B229&lt;=$C$14,$F$14,$G$14))</f>
        <v>1</v>
      </c>
      <c r="X19">
        <f>IF($B$15="age",IF(Data!C229&lt;=$C$15,$F$15,$G$15),IF(Data!B229&lt;=$C$15,$F$15,$G$15))</f>
        <v>1</v>
      </c>
      <c r="Y19">
        <f>IF($B$16="age",IF(Data!C229&lt;=$C$16,$F$16,$G$16),IF(Data!B229&lt;=$C$16,$F$16,$G$16))</f>
        <v>1</v>
      </c>
      <c r="Z19">
        <f>IF($B$17="age",IF(Data!C229&lt;=$C$17,$F$17,$G$17),IF(Data!B229&lt;=$C$17,$F$17,$G$17))</f>
        <v>0</v>
      </c>
      <c r="AA19">
        <f>IF($B$18="age",IF(Data!C229&lt;=$C$18,$F$18,$G$18),IF(Data!B229&lt;=$C$18,$F$18,$G$18))</f>
        <v>1</v>
      </c>
      <c r="AB19">
        <f>IF($B$19="age",IF(Data!C229&lt;=$C$19,$F$19,$G$19),IF(Data!B229&lt;=$C$19,$F$19,$G$19))</f>
        <v>1</v>
      </c>
      <c r="AC19">
        <f>IF($B$20="age",IF(Data!C229&lt;=$C$20,$F$20,$G$20),IF(Data!B229&lt;=$C$20,$F$20,$G$20))</f>
        <v>1</v>
      </c>
      <c r="AD19">
        <f>IF($B$21="age",IF(Data!C229&lt;=$C$21,$F$21,$G$21),IF(Data!B229&lt;=$C$21,$F$21,$G$21))</f>
        <v>0</v>
      </c>
      <c r="AE19">
        <f>IF($B$22="age",IF(Data!C229&lt;=$C$22,$F$22,$G$22),IF(Data!B229&lt;=$C$22,$F$22,$G$22))</f>
        <v>1</v>
      </c>
      <c r="AF19">
        <f>IF($B$23="age",IF(Data!C229&lt;=$C$23,$F$23,$G$23),IF(Data!B229&lt;=$C$23,$F$23,$G$23))</f>
        <v>1</v>
      </c>
      <c r="AG19">
        <f>IF($B$24="age",IF(Data!C229&lt;=$C$24,$F$24,$G$24),IF(Data!B229&lt;=$C$24,$F$24,$G$24))</f>
        <v>1</v>
      </c>
      <c r="AH19">
        <f>IF($B$25="age",IF(Data!C229&lt;=$C$25,$F$25,$G$25),IF(Data!B229&lt;=$C$25,$F$25,$G$25))</f>
        <v>1</v>
      </c>
      <c r="AI19">
        <f>IF($B$26="age",IF(Data!C229&lt;=$C$26,$F$26,$G$26),IF(Data!B229&lt;=$C$26,$F$26,$G$26))</f>
        <v>1</v>
      </c>
      <c r="AJ19">
        <f t="shared" si="0"/>
        <v>0.8</v>
      </c>
      <c r="AK19">
        <f>IF(AJ19&gt;=Controls!$B$2,1,0)</f>
        <v>1</v>
      </c>
      <c r="AL19">
        <f t="shared" si="1"/>
        <v>0</v>
      </c>
    </row>
    <row r="20" spans="1:38" x14ac:dyDescent="0.2">
      <c r="A20">
        <v>19</v>
      </c>
      <c r="B20" t="str">
        <f>IF(MOD(19,2)=1,"age","year")</f>
        <v>age</v>
      </c>
      <c r="C20">
        <f>IF(B20="age",INDEX(Data!$C$2:$C$301,1+MOD(INT(ABS(SIN((19*41+ROW()))*1000000)),300)),INDEX(Data!$B$2:$B$301,1+MOD(INT(ABS(SIN((19*53+ROW()))*1000000)),300)))</f>
        <v>18</v>
      </c>
      <c r="D20">
        <f>IF(B20="age",IFERROR(AVERAGEIFS(Data!$L$2:$L$301,Data!$M$2:$M$301,"Train",Data!$C$2:$C$301,"&lt;="&amp;C20),0),IFERROR(AVERAGEIFS(Data!$L$2:$L$301,Data!$M$2:$M$301,"Train",Data!$B$2:$B$301,"&lt;="&amp;C20),0))</f>
        <v>0</v>
      </c>
      <c r="E20">
        <f>IF(B20="age",IFERROR(AVERAGEIFS(Data!$L$2:$L$301,Data!$M$2:$M$301,"Train",Data!$C$2:$C$301,"&gt;"&amp;C20),0),IFERROR(AVERAGEIFS(Data!$L$2:$L$301,Data!$M$2:$M$301,"Train",Data!$B$2:$B$301,"&gt;"&amp;C20),0))</f>
        <v>0.52884615384615385</v>
      </c>
      <c r="F20">
        <f>IF(D20&gt;=Controls!$B$2,1,0)</f>
        <v>0</v>
      </c>
      <c r="G20">
        <f>IF(E20&gt;=Controls!$B$2,1,0)</f>
        <v>1</v>
      </c>
      <c r="I20">
        <f>Data!A230</f>
        <v>229</v>
      </c>
      <c r="J20">
        <f>Data!L230</f>
        <v>1</v>
      </c>
      <c r="K20">
        <f>IF($B$2="age",IF(Data!C230&lt;=$C$2,$F$2,$G$2),IF(Data!B230&lt;=$C$2,$F$2,$G$2))</f>
        <v>0</v>
      </c>
      <c r="L20">
        <f>IF($B$3="age",IF(Data!C230&lt;=$C$3,$F$3,$G$3),IF(Data!B230&lt;=$C$3,$F$3,$G$3))</f>
        <v>1</v>
      </c>
      <c r="M20">
        <f>IF($B$4="age",IF(Data!C230&lt;=$C$4,$F$4,$G$4),IF(Data!B230&lt;=$C$4,$F$4,$G$4))</f>
        <v>1</v>
      </c>
      <c r="N20">
        <f>IF($B$5="age",IF(Data!C230&lt;=$C$5,$F$5,$G$5),IF(Data!B230&lt;=$C$5,$F$5,$G$5))</f>
        <v>1</v>
      </c>
      <c r="O20">
        <f>IF($B$6="age",IF(Data!C230&lt;=$C$6,$F$6,$G$6),IF(Data!B230&lt;=$C$6,$F$6,$G$6))</f>
        <v>0</v>
      </c>
      <c r="P20">
        <f>IF($B$7="age",IF(Data!C230&lt;=$C$7,$F$7,$G$7),IF(Data!B230&lt;=$C$7,$F$7,$G$7))</f>
        <v>1</v>
      </c>
      <c r="Q20">
        <f>IF($B$8="age",IF(Data!C230&lt;=$C$8,$F$8,$G$8),IF(Data!B230&lt;=$C$8,$F$8,$G$8))</f>
        <v>1</v>
      </c>
      <c r="R20">
        <f>IF($B$9="age",IF(Data!C230&lt;=$C$9,$F$9,$G$9),IF(Data!B230&lt;=$C$9,$F$9,$G$9))</f>
        <v>1</v>
      </c>
      <c r="S20">
        <f>IF($B$10="age",IF(Data!C230&lt;=$C$10,$F$10,$G$10),IF(Data!B230&lt;=$C$10,$F$10,$G$10))</f>
        <v>0</v>
      </c>
      <c r="T20">
        <f>IF($B$11="age",IF(Data!C230&lt;=$C$11,$F$11,$G$11),IF(Data!B230&lt;=$C$11,$F$11,$G$11))</f>
        <v>1</v>
      </c>
      <c r="U20">
        <f>IF($B$12="age",IF(Data!C230&lt;=$C$12,$F$12,$G$12),IF(Data!B230&lt;=$C$12,$F$12,$G$12))</f>
        <v>1</v>
      </c>
      <c r="V20">
        <f>IF($B$13="age",IF(Data!C230&lt;=$C$13,$F$13,$G$13),IF(Data!B230&lt;=$C$13,$F$13,$G$13))</f>
        <v>1</v>
      </c>
      <c r="W20">
        <f>IF($B$14="age",IF(Data!C230&lt;=$C$14,$F$14,$G$14),IF(Data!B230&lt;=$C$14,$F$14,$G$14))</f>
        <v>0</v>
      </c>
      <c r="X20">
        <f>IF($B$15="age",IF(Data!C230&lt;=$C$15,$F$15,$G$15),IF(Data!B230&lt;=$C$15,$F$15,$G$15))</f>
        <v>1</v>
      </c>
      <c r="Y20">
        <f>IF($B$16="age",IF(Data!C230&lt;=$C$16,$F$16,$G$16),IF(Data!B230&lt;=$C$16,$F$16,$G$16))</f>
        <v>1</v>
      </c>
      <c r="Z20">
        <f>IF($B$17="age",IF(Data!C230&lt;=$C$17,$F$17,$G$17),IF(Data!B230&lt;=$C$17,$F$17,$G$17))</f>
        <v>0</v>
      </c>
      <c r="AA20">
        <f>IF($B$18="age",IF(Data!C230&lt;=$C$18,$F$18,$G$18),IF(Data!B230&lt;=$C$18,$F$18,$G$18))</f>
        <v>1</v>
      </c>
      <c r="AB20">
        <f>IF($B$19="age",IF(Data!C230&lt;=$C$19,$F$19,$G$19),IF(Data!B230&lt;=$C$19,$F$19,$G$19))</f>
        <v>1</v>
      </c>
      <c r="AC20">
        <f>IF($B$20="age",IF(Data!C230&lt;=$C$20,$F$20,$G$20),IF(Data!B230&lt;=$C$20,$F$20,$G$20))</f>
        <v>1</v>
      </c>
      <c r="AD20">
        <f>IF($B$21="age",IF(Data!C230&lt;=$C$21,$F$21,$G$21),IF(Data!B230&lt;=$C$21,$F$21,$G$21))</f>
        <v>0</v>
      </c>
      <c r="AE20">
        <f>IF($B$22="age",IF(Data!C230&lt;=$C$22,$F$22,$G$22),IF(Data!B230&lt;=$C$22,$F$22,$G$22))</f>
        <v>0</v>
      </c>
      <c r="AF20">
        <f>IF($B$23="age",IF(Data!C230&lt;=$C$23,$F$23,$G$23),IF(Data!B230&lt;=$C$23,$F$23,$G$23))</f>
        <v>1</v>
      </c>
      <c r="AG20">
        <f>IF($B$24="age",IF(Data!C230&lt;=$C$24,$F$24,$G$24),IF(Data!B230&lt;=$C$24,$F$24,$G$24))</f>
        <v>1</v>
      </c>
      <c r="AH20">
        <f>IF($B$25="age",IF(Data!C230&lt;=$C$25,$F$25,$G$25),IF(Data!B230&lt;=$C$25,$F$25,$G$25))</f>
        <v>1</v>
      </c>
      <c r="AI20">
        <f>IF($B$26="age",IF(Data!C230&lt;=$C$26,$F$26,$G$26),IF(Data!B230&lt;=$C$26,$F$26,$G$26))</f>
        <v>1</v>
      </c>
      <c r="AJ20">
        <f t="shared" si="0"/>
        <v>0.72</v>
      </c>
      <c r="AK20">
        <f>IF(AJ20&gt;=Controls!$B$2,1,0)</f>
        <v>1</v>
      </c>
      <c r="AL20">
        <f t="shared" si="1"/>
        <v>1</v>
      </c>
    </row>
    <row r="21" spans="1:38" x14ac:dyDescent="0.2">
      <c r="A21">
        <v>20</v>
      </c>
      <c r="B21" t="str">
        <f>IF(MOD(20,2)=1,"age","year")</f>
        <v>year</v>
      </c>
      <c r="C21">
        <f>IF(B21="age",INDEX(Data!$C$2:$C$301,1+MOD(INT(ABS(SIN((20*41+ROW()))*1000000)),300)),INDEX(Data!$B$2:$B$301,1+MOD(INT(ABS(SIN((20*53+ROW()))*1000000)),300)))</f>
        <v>2007</v>
      </c>
      <c r="D21">
        <f>IF(B21="age",IFERROR(AVERAGEIFS(Data!$L$2:$L$301,Data!$M$2:$M$301,"Train",Data!$C$2:$C$301,"&lt;="&amp;C21),0),IFERROR(AVERAGEIFS(Data!$L$2:$L$301,Data!$M$2:$M$301,"Train",Data!$B$2:$B$301,"&lt;="&amp;C21),0))</f>
        <v>0.49375000000000002</v>
      </c>
      <c r="E21">
        <f>IF(B21="age",IFERROR(AVERAGEIFS(Data!$L$2:$L$301,Data!$M$2:$M$301,"Train",Data!$C$2:$C$301,"&gt;"&amp;C21),0),IFERROR(AVERAGEIFS(Data!$L$2:$L$301,Data!$M$2:$M$301,"Train",Data!$B$2:$B$301,"&gt;"&amp;C21),0))</f>
        <v>0.62</v>
      </c>
      <c r="F21">
        <f>IF(D21&gt;=Controls!$B$2,1,0)</f>
        <v>0</v>
      </c>
      <c r="G21">
        <f>IF(E21&gt;=Controls!$B$2,1,0)</f>
        <v>1</v>
      </c>
      <c r="I21">
        <f>Data!A231</f>
        <v>230</v>
      </c>
      <c r="J21">
        <f>Data!L231</f>
        <v>0</v>
      </c>
      <c r="K21">
        <f>IF($B$2="age",IF(Data!C231&lt;=$C$2,$F$2,$G$2),IF(Data!B231&lt;=$C$2,$F$2,$G$2))</f>
        <v>1</v>
      </c>
      <c r="L21">
        <f>IF($B$3="age",IF(Data!C231&lt;=$C$3,$F$3,$G$3),IF(Data!B231&lt;=$C$3,$F$3,$G$3))</f>
        <v>0</v>
      </c>
      <c r="M21">
        <f>IF($B$4="age",IF(Data!C231&lt;=$C$4,$F$4,$G$4),IF(Data!B231&lt;=$C$4,$F$4,$G$4))</f>
        <v>1</v>
      </c>
      <c r="N21">
        <f>IF($B$5="age",IF(Data!C231&lt;=$C$5,$F$5,$G$5),IF(Data!B231&lt;=$C$5,$F$5,$G$5))</f>
        <v>0</v>
      </c>
      <c r="O21">
        <f>IF($B$6="age",IF(Data!C231&lt;=$C$6,$F$6,$G$6),IF(Data!B231&lt;=$C$6,$F$6,$G$6))</f>
        <v>1</v>
      </c>
      <c r="P21">
        <f>IF($B$7="age",IF(Data!C231&lt;=$C$7,$F$7,$G$7),IF(Data!B231&lt;=$C$7,$F$7,$G$7))</f>
        <v>1</v>
      </c>
      <c r="Q21">
        <f>IF($B$8="age",IF(Data!C231&lt;=$C$8,$F$8,$G$8),IF(Data!B231&lt;=$C$8,$F$8,$G$8))</f>
        <v>1</v>
      </c>
      <c r="R21">
        <f>IF($B$9="age",IF(Data!C231&lt;=$C$9,$F$9,$G$9),IF(Data!B231&lt;=$C$9,$F$9,$G$9))</f>
        <v>0</v>
      </c>
      <c r="S21">
        <f>IF($B$10="age",IF(Data!C231&lt;=$C$10,$F$10,$G$10),IF(Data!B231&lt;=$C$10,$F$10,$G$10))</f>
        <v>1</v>
      </c>
      <c r="T21">
        <f>IF($B$11="age",IF(Data!C231&lt;=$C$11,$F$11,$G$11),IF(Data!B231&lt;=$C$11,$F$11,$G$11))</f>
        <v>0</v>
      </c>
      <c r="U21">
        <f>IF($B$12="age",IF(Data!C231&lt;=$C$12,$F$12,$G$12),IF(Data!B231&lt;=$C$12,$F$12,$G$12))</f>
        <v>1</v>
      </c>
      <c r="V21">
        <f>IF($B$13="age",IF(Data!C231&lt;=$C$13,$F$13,$G$13),IF(Data!B231&lt;=$C$13,$F$13,$G$13))</f>
        <v>0</v>
      </c>
      <c r="W21">
        <f>IF($B$14="age",IF(Data!C231&lt;=$C$14,$F$14,$G$14),IF(Data!B231&lt;=$C$14,$F$14,$G$14))</f>
        <v>1</v>
      </c>
      <c r="X21">
        <f>IF($B$15="age",IF(Data!C231&lt;=$C$15,$F$15,$G$15),IF(Data!B231&lt;=$C$15,$F$15,$G$15))</f>
        <v>1</v>
      </c>
      <c r="Y21">
        <f>IF($B$16="age",IF(Data!C231&lt;=$C$16,$F$16,$G$16),IF(Data!B231&lt;=$C$16,$F$16,$G$16))</f>
        <v>1</v>
      </c>
      <c r="Z21">
        <f>IF($B$17="age",IF(Data!C231&lt;=$C$17,$F$17,$G$17),IF(Data!B231&lt;=$C$17,$F$17,$G$17))</f>
        <v>0</v>
      </c>
      <c r="AA21">
        <f>IF($B$18="age",IF(Data!C231&lt;=$C$18,$F$18,$G$18),IF(Data!B231&lt;=$C$18,$F$18,$G$18))</f>
        <v>1</v>
      </c>
      <c r="AB21">
        <f>IF($B$19="age",IF(Data!C231&lt;=$C$19,$F$19,$G$19),IF(Data!B231&lt;=$C$19,$F$19,$G$19))</f>
        <v>0</v>
      </c>
      <c r="AC21">
        <f>IF($B$20="age",IF(Data!C231&lt;=$C$20,$F$20,$G$20),IF(Data!B231&lt;=$C$20,$F$20,$G$20))</f>
        <v>1</v>
      </c>
      <c r="AD21">
        <f>IF($B$21="age",IF(Data!C231&lt;=$C$21,$F$21,$G$21),IF(Data!B231&lt;=$C$21,$F$21,$G$21))</f>
        <v>0</v>
      </c>
      <c r="AE21">
        <f>IF($B$22="age",IF(Data!C231&lt;=$C$22,$F$22,$G$22),IF(Data!B231&lt;=$C$22,$F$22,$G$22))</f>
        <v>1</v>
      </c>
      <c r="AF21">
        <f>IF($B$23="age",IF(Data!C231&lt;=$C$23,$F$23,$G$23),IF(Data!B231&lt;=$C$23,$F$23,$G$23))</f>
        <v>0</v>
      </c>
      <c r="AG21">
        <f>IF($B$24="age",IF(Data!C231&lt;=$C$24,$F$24,$G$24),IF(Data!B231&lt;=$C$24,$F$24,$G$24))</f>
        <v>1</v>
      </c>
      <c r="AH21">
        <f>IF($B$25="age",IF(Data!C231&lt;=$C$25,$F$25,$G$25),IF(Data!B231&lt;=$C$25,$F$25,$G$25))</f>
        <v>1</v>
      </c>
      <c r="AI21">
        <f>IF($B$26="age",IF(Data!C231&lt;=$C$26,$F$26,$G$26),IF(Data!B231&lt;=$C$26,$F$26,$G$26))</f>
        <v>1</v>
      </c>
      <c r="AJ21">
        <f t="shared" si="0"/>
        <v>0.64</v>
      </c>
      <c r="AK21">
        <f>IF(AJ21&gt;=Controls!$B$2,1,0)</f>
        <v>1</v>
      </c>
      <c r="AL21">
        <f t="shared" si="1"/>
        <v>0</v>
      </c>
    </row>
    <row r="22" spans="1:38" x14ac:dyDescent="0.2">
      <c r="A22">
        <v>21</v>
      </c>
      <c r="B22" t="str">
        <f>IF(MOD(21,2)=1,"age","year")</f>
        <v>age</v>
      </c>
      <c r="C22">
        <f>IF(B22="age",INDEX(Data!$C$2:$C$301,1+MOD(INT(ABS(SIN((21*41+ROW()))*1000000)),300)),INDEX(Data!$B$2:$B$301,1+MOD(INT(ABS(SIN((21*53+ROW()))*1000000)),300)))</f>
        <v>42</v>
      </c>
      <c r="D22">
        <f>IF(B22="age",IFERROR(AVERAGEIFS(Data!$L$2:$L$301,Data!$M$2:$M$301,"Train",Data!$C$2:$C$301,"&lt;="&amp;C22),0),IFERROR(AVERAGEIFS(Data!$L$2:$L$301,Data!$M$2:$M$301,"Train",Data!$B$2:$B$301,"&lt;="&amp;C22),0))</f>
        <v>0.40776699029126212</v>
      </c>
      <c r="E22">
        <f>IF(B22="age",IFERROR(AVERAGEIFS(Data!$L$2:$L$301,Data!$M$2:$M$301,"Train",Data!$C$2:$C$301,"&gt;"&amp;C22),0),IFERROR(AVERAGEIFS(Data!$L$2:$L$301,Data!$M$2:$M$301,"Train",Data!$B$2:$B$301,"&gt;"&amp;C22),0))</f>
        <v>0.63551401869158874</v>
      </c>
      <c r="F22">
        <f>IF(D22&gt;=Controls!$B$2,1,0)</f>
        <v>0</v>
      </c>
      <c r="G22">
        <f>IF(E22&gt;=Controls!$B$2,1,0)</f>
        <v>1</v>
      </c>
      <c r="I22">
        <f>Data!A232</f>
        <v>231</v>
      </c>
      <c r="J22">
        <f>Data!L232</f>
        <v>0</v>
      </c>
      <c r="K22">
        <f>IF($B$2="age",IF(Data!C232&lt;=$C$2,$F$2,$G$2),IF(Data!B232&lt;=$C$2,$F$2,$G$2))</f>
        <v>1</v>
      </c>
      <c r="L22">
        <f>IF($B$3="age",IF(Data!C232&lt;=$C$3,$F$3,$G$3),IF(Data!B232&lt;=$C$3,$F$3,$G$3))</f>
        <v>0</v>
      </c>
      <c r="M22">
        <f>IF($B$4="age",IF(Data!C232&lt;=$C$4,$F$4,$G$4),IF(Data!B232&lt;=$C$4,$F$4,$G$4))</f>
        <v>1</v>
      </c>
      <c r="N22">
        <f>IF($B$5="age",IF(Data!C232&lt;=$C$5,$F$5,$G$5),IF(Data!B232&lt;=$C$5,$F$5,$G$5))</f>
        <v>0</v>
      </c>
      <c r="O22">
        <f>IF($B$6="age",IF(Data!C232&lt;=$C$6,$F$6,$G$6),IF(Data!B232&lt;=$C$6,$F$6,$G$6))</f>
        <v>1</v>
      </c>
      <c r="P22">
        <f>IF($B$7="age",IF(Data!C232&lt;=$C$7,$F$7,$G$7),IF(Data!B232&lt;=$C$7,$F$7,$G$7))</f>
        <v>1</v>
      </c>
      <c r="Q22">
        <f>IF($B$8="age",IF(Data!C232&lt;=$C$8,$F$8,$G$8),IF(Data!B232&lt;=$C$8,$F$8,$G$8))</f>
        <v>1</v>
      </c>
      <c r="R22">
        <f>IF($B$9="age",IF(Data!C232&lt;=$C$9,$F$9,$G$9),IF(Data!B232&lt;=$C$9,$F$9,$G$9))</f>
        <v>0</v>
      </c>
      <c r="S22">
        <f>IF($B$10="age",IF(Data!C232&lt;=$C$10,$F$10,$G$10),IF(Data!B232&lt;=$C$10,$F$10,$G$10))</f>
        <v>1</v>
      </c>
      <c r="T22">
        <f>IF($B$11="age",IF(Data!C232&lt;=$C$11,$F$11,$G$11),IF(Data!B232&lt;=$C$11,$F$11,$G$11))</f>
        <v>0</v>
      </c>
      <c r="U22">
        <f>IF($B$12="age",IF(Data!C232&lt;=$C$12,$F$12,$G$12),IF(Data!B232&lt;=$C$12,$F$12,$G$12))</f>
        <v>0</v>
      </c>
      <c r="V22">
        <f>IF($B$13="age",IF(Data!C232&lt;=$C$13,$F$13,$G$13),IF(Data!B232&lt;=$C$13,$F$13,$G$13))</f>
        <v>0</v>
      </c>
      <c r="W22">
        <f>IF($B$14="age",IF(Data!C232&lt;=$C$14,$F$14,$G$14),IF(Data!B232&lt;=$C$14,$F$14,$G$14))</f>
        <v>1</v>
      </c>
      <c r="X22">
        <f>IF($B$15="age",IF(Data!C232&lt;=$C$15,$F$15,$G$15),IF(Data!B232&lt;=$C$15,$F$15,$G$15))</f>
        <v>1</v>
      </c>
      <c r="Y22">
        <f>IF($B$16="age",IF(Data!C232&lt;=$C$16,$F$16,$G$16),IF(Data!B232&lt;=$C$16,$F$16,$G$16))</f>
        <v>0</v>
      </c>
      <c r="Z22">
        <f>IF($B$17="age",IF(Data!C232&lt;=$C$17,$F$17,$G$17),IF(Data!B232&lt;=$C$17,$F$17,$G$17))</f>
        <v>0</v>
      </c>
      <c r="AA22">
        <f>IF($B$18="age",IF(Data!C232&lt;=$C$18,$F$18,$G$18),IF(Data!B232&lt;=$C$18,$F$18,$G$18))</f>
        <v>1</v>
      </c>
      <c r="AB22">
        <f>IF($B$19="age",IF(Data!C232&lt;=$C$19,$F$19,$G$19),IF(Data!B232&lt;=$C$19,$F$19,$G$19))</f>
        <v>0</v>
      </c>
      <c r="AC22">
        <f>IF($B$20="age",IF(Data!C232&lt;=$C$20,$F$20,$G$20),IF(Data!B232&lt;=$C$20,$F$20,$G$20))</f>
        <v>1</v>
      </c>
      <c r="AD22">
        <f>IF($B$21="age",IF(Data!C232&lt;=$C$21,$F$21,$G$21),IF(Data!B232&lt;=$C$21,$F$21,$G$21))</f>
        <v>0</v>
      </c>
      <c r="AE22">
        <f>IF($B$22="age",IF(Data!C232&lt;=$C$22,$F$22,$G$22),IF(Data!B232&lt;=$C$22,$F$22,$G$22))</f>
        <v>1</v>
      </c>
      <c r="AF22">
        <f>IF($B$23="age",IF(Data!C232&lt;=$C$23,$F$23,$G$23),IF(Data!B232&lt;=$C$23,$F$23,$G$23))</f>
        <v>0</v>
      </c>
      <c r="AG22">
        <f>IF($B$24="age",IF(Data!C232&lt;=$C$24,$F$24,$G$24),IF(Data!B232&lt;=$C$24,$F$24,$G$24))</f>
        <v>1</v>
      </c>
      <c r="AH22">
        <f>IF($B$25="age",IF(Data!C232&lt;=$C$25,$F$25,$G$25),IF(Data!B232&lt;=$C$25,$F$25,$G$25))</f>
        <v>1</v>
      </c>
      <c r="AI22">
        <f>IF($B$26="age",IF(Data!C232&lt;=$C$26,$F$26,$G$26),IF(Data!B232&lt;=$C$26,$F$26,$G$26))</f>
        <v>1</v>
      </c>
      <c r="AJ22">
        <f t="shared" si="0"/>
        <v>0.56000000000000005</v>
      </c>
      <c r="AK22">
        <f>IF(AJ22&gt;=Controls!$B$2,1,0)</f>
        <v>1</v>
      </c>
      <c r="AL22">
        <f t="shared" si="1"/>
        <v>0</v>
      </c>
    </row>
    <row r="23" spans="1:38" x14ac:dyDescent="0.2">
      <c r="A23">
        <v>22</v>
      </c>
      <c r="B23" t="str">
        <f>IF(MOD(22,2)=1,"age","year")</f>
        <v>year</v>
      </c>
      <c r="C23">
        <f>IF(B23="age",INDEX(Data!$C$2:$C$301,1+MOD(INT(ABS(SIN((22*41+ROW()))*1000000)),300)),INDEX(Data!$B$2:$B$301,1+MOD(INT(ABS(SIN((22*53+ROW()))*1000000)),300)))</f>
        <v>2004</v>
      </c>
      <c r="D23">
        <f>IF(B23="age",IFERROR(AVERAGEIFS(Data!$L$2:$L$301,Data!$M$2:$M$301,"Train",Data!$C$2:$C$301,"&lt;="&amp;C23),0),IFERROR(AVERAGEIFS(Data!$L$2:$L$301,Data!$M$2:$M$301,"Train",Data!$B$2:$B$301,"&lt;="&amp;C23),0))</f>
        <v>0.43835616438356162</v>
      </c>
      <c r="E23">
        <f>IF(B23="age",IFERROR(AVERAGEIFS(Data!$L$2:$L$301,Data!$M$2:$M$301,"Train",Data!$C$2:$C$301,"&gt;"&amp;C23),0),IFERROR(AVERAGEIFS(Data!$L$2:$L$301,Data!$M$2:$M$301,"Train",Data!$B$2:$B$301,"&gt;"&amp;C23),0))</f>
        <v>0.56934306569343063</v>
      </c>
      <c r="F23">
        <f>IF(D23&gt;=Controls!$B$2,1,0)</f>
        <v>0</v>
      </c>
      <c r="G23">
        <f>IF(E23&gt;=Controls!$B$2,1,0)</f>
        <v>1</v>
      </c>
      <c r="I23">
        <f>Data!A233</f>
        <v>232</v>
      </c>
      <c r="J23">
        <f>Data!L233</f>
        <v>1</v>
      </c>
      <c r="K23">
        <f>IF($B$2="age",IF(Data!C233&lt;=$C$2,$F$2,$G$2),IF(Data!B233&lt;=$C$2,$F$2,$G$2))</f>
        <v>0</v>
      </c>
      <c r="L23">
        <f>IF($B$3="age",IF(Data!C233&lt;=$C$3,$F$3,$G$3),IF(Data!B233&lt;=$C$3,$F$3,$G$3))</f>
        <v>1</v>
      </c>
      <c r="M23">
        <f>IF($B$4="age",IF(Data!C233&lt;=$C$4,$F$4,$G$4),IF(Data!B233&lt;=$C$4,$F$4,$G$4))</f>
        <v>1</v>
      </c>
      <c r="N23">
        <f>IF($B$5="age",IF(Data!C233&lt;=$C$5,$F$5,$G$5),IF(Data!B233&lt;=$C$5,$F$5,$G$5))</f>
        <v>1</v>
      </c>
      <c r="O23">
        <f>IF($B$6="age",IF(Data!C233&lt;=$C$6,$F$6,$G$6),IF(Data!B233&lt;=$C$6,$F$6,$G$6))</f>
        <v>0</v>
      </c>
      <c r="P23">
        <f>IF($B$7="age",IF(Data!C233&lt;=$C$7,$F$7,$G$7),IF(Data!B233&lt;=$C$7,$F$7,$G$7))</f>
        <v>1</v>
      </c>
      <c r="Q23">
        <f>IF($B$8="age",IF(Data!C233&lt;=$C$8,$F$8,$G$8),IF(Data!B233&lt;=$C$8,$F$8,$G$8))</f>
        <v>1</v>
      </c>
      <c r="R23">
        <f>IF($B$9="age",IF(Data!C233&lt;=$C$9,$F$9,$G$9),IF(Data!B233&lt;=$C$9,$F$9,$G$9))</f>
        <v>1</v>
      </c>
      <c r="S23">
        <f>IF($B$10="age",IF(Data!C233&lt;=$C$10,$F$10,$G$10),IF(Data!B233&lt;=$C$10,$F$10,$G$10))</f>
        <v>0</v>
      </c>
      <c r="T23">
        <f>IF($B$11="age",IF(Data!C233&lt;=$C$11,$F$11,$G$11),IF(Data!B233&lt;=$C$11,$F$11,$G$11))</f>
        <v>0</v>
      </c>
      <c r="U23">
        <f>IF($B$12="age",IF(Data!C233&lt;=$C$12,$F$12,$G$12),IF(Data!B233&lt;=$C$12,$F$12,$G$12))</f>
        <v>1</v>
      </c>
      <c r="V23">
        <f>IF($B$13="age",IF(Data!C233&lt;=$C$13,$F$13,$G$13),IF(Data!B233&lt;=$C$13,$F$13,$G$13))</f>
        <v>1</v>
      </c>
      <c r="W23">
        <f>IF($B$14="age",IF(Data!C233&lt;=$C$14,$F$14,$G$14),IF(Data!B233&lt;=$C$14,$F$14,$G$14))</f>
        <v>0</v>
      </c>
      <c r="X23">
        <f>IF($B$15="age",IF(Data!C233&lt;=$C$15,$F$15,$G$15),IF(Data!B233&lt;=$C$15,$F$15,$G$15))</f>
        <v>1</v>
      </c>
      <c r="Y23">
        <f>IF($B$16="age",IF(Data!C233&lt;=$C$16,$F$16,$G$16),IF(Data!B233&lt;=$C$16,$F$16,$G$16))</f>
        <v>1</v>
      </c>
      <c r="Z23">
        <f>IF($B$17="age",IF(Data!C233&lt;=$C$17,$F$17,$G$17),IF(Data!B233&lt;=$C$17,$F$17,$G$17))</f>
        <v>0</v>
      </c>
      <c r="AA23">
        <f>IF($B$18="age",IF(Data!C233&lt;=$C$18,$F$18,$G$18),IF(Data!B233&lt;=$C$18,$F$18,$G$18))</f>
        <v>1</v>
      </c>
      <c r="AB23">
        <f>IF($B$19="age",IF(Data!C233&lt;=$C$19,$F$19,$G$19),IF(Data!B233&lt;=$C$19,$F$19,$G$19))</f>
        <v>1</v>
      </c>
      <c r="AC23">
        <f>IF($B$20="age",IF(Data!C233&lt;=$C$20,$F$20,$G$20),IF(Data!B233&lt;=$C$20,$F$20,$G$20))</f>
        <v>1</v>
      </c>
      <c r="AD23">
        <f>IF($B$21="age",IF(Data!C233&lt;=$C$21,$F$21,$G$21),IF(Data!B233&lt;=$C$21,$F$21,$G$21))</f>
        <v>0</v>
      </c>
      <c r="AE23">
        <f>IF($B$22="age",IF(Data!C233&lt;=$C$22,$F$22,$G$22),IF(Data!B233&lt;=$C$22,$F$22,$G$22))</f>
        <v>0</v>
      </c>
      <c r="AF23">
        <f>IF($B$23="age",IF(Data!C233&lt;=$C$23,$F$23,$G$23),IF(Data!B233&lt;=$C$23,$F$23,$G$23))</f>
        <v>1</v>
      </c>
      <c r="AG23">
        <f>IF($B$24="age",IF(Data!C233&lt;=$C$24,$F$24,$G$24),IF(Data!B233&lt;=$C$24,$F$24,$G$24))</f>
        <v>1</v>
      </c>
      <c r="AH23">
        <f>IF($B$25="age",IF(Data!C233&lt;=$C$25,$F$25,$G$25),IF(Data!B233&lt;=$C$25,$F$25,$G$25))</f>
        <v>1</v>
      </c>
      <c r="AI23">
        <f>IF($B$26="age",IF(Data!C233&lt;=$C$26,$F$26,$G$26),IF(Data!B233&lt;=$C$26,$F$26,$G$26))</f>
        <v>1</v>
      </c>
      <c r="AJ23">
        <f t="shared" si="0"/>
        <v>0.68</v>
      </c>
      <c r="AK23">
        <f>IF(AJ23&gt;=Controls!$B$2,1,0)</f>
        <v>1</v>
      </c>
      <c r="AL23">
        <f t="shared" si="1"/>
        <v>1</v>
      </c>
    </row>
    <row r="24" spans="1:38" x14ac:dyDescent="0.2">
      <c r="A24">
        <v>23</v>
      </c>
      <c r="B24" t="str">
        <f>IF(MOD(23,2)=1,"age","year")</f>
        <v>age</v>
      </c>
      <c r="C24">
        <f>IF(B24="age",INDEX(Data!$C$2:$C$301,1+MOD(INT(ABS(SIN((23*41+ROW()))*1000000)),300)),INDEX(Data!$B$2:$B$301,1+MOD(INT(ABS(SIN((23*53+ROW()))*1000000)),300)))</f>
        <v>30</v>
      </c>
      <c r="D24">
        <f>IF(B24="age",IFERROR(AVERAGEIFS(Data!$L$2:$L$301,Data!$M$2:$M$301,"Train",Data!$C$2:$C$301,"&lt;="&amp;C24),0),IFERROR(AVERAGEIFS(Data!$L$2:$L$301,Data!$M$2:$M$301,"Train",Data!$B$2:$B$301,"&lt;="&amp;C24),0))</f>
        <v>0.25714285714285712</v>
      </c>
      <c r="E24">
        <f>IF(B24="age",IFERROR(AVERAGEIFS(Data!$L$2:$L$301,Data!$M$2:$M$301,"Train",Data!$C$2:$C$301,"&gt;"&amp;C24),0),IFERROR(AVERAGEIFS(Data!$L$2:$L$301,Data!$M$2:$M$301,"Train",Data!$B$2:$B$301,"&gt;"&amp;C24),0))</f>
        <v>0.57714285714285718</v>
      </c>
      <c r="F24">
        <f>IF(D24&gt;=Controls!$B$2,1,0)</f>
        <v>0</v>
      </c>
      <c r="G24">
        <f>IF(E24&gt;=Controls!$B$2,1,0)</f>
        <v>1</v>
      </c>
      <c r="I24">
        <f>Data!A234</f>
        <v>233</v>
      </c>
      <c r="J24">
        <f>Data!L234</f>
        <v>1</v>
      </c>
      <c r="K24">
        <f>IF($B$2="age",IF(Data!C234&lt;=$C$2,$F$2,$G$2),IF(Data!B234&lt;=$C$2,$F$2,$G$2))</f>
        <v>1</v>
      </c>
      <c r="L24">
        <f>IF($B$3="age",IF(Data!C234&lt;=$C$3,$F$3,$G$3),IF(Data!B234&lt;=$C$3,$F$3,$G$3))</f>
        <v>1</v>
      </c>
      <c r="M24">
        <f>IF($B$4="age",IF(Data!C234&lt;=$C$4,$F$4,$G$4),IF(Data!B234&lt;=$C$4,$F$4,$G$4))</f>
        <v>1</v>
      </c>
      <c r="N24">
        <f>IF($B$5="age",IF(Data!C234&lt;=$C$5,$F$5,$G$5),IF(Data!B234&lt;=$C$5,$F$5,$G$5))</f>
        <v>1</v>
      </c>
      <c r="O24">
        <f>IF($B$6="age",IF(Data!C234&lt;=$C$6,$F$6,$G$6),IF(Data!B234&lt;=$C$6,$F$6,$G$6))</f>
        <v>1</v>
      </c>
      <c r="P24">
        <f>IF($B$7="age",IF(Data!C234&lt;=$C$7,$F$7,$G$7),IF(Data!B234&lt;=$C$7,$F$7,$G$7))</f>
        <v>1</v>
      </c>
      <c r="Q24">
        <f>IF($B$8="age",IF(Data!C234&lt;=$C$8,$F$8,$G$8),IF(Data!B234&lt;=$C$8,$F$8,$G$8))</f>
        <v>1</v>
      </c>
      <c r="R24">
        <f>IF($B$9="age",IF(Data!C234&lt;=$C$9,$F$9,$G$9),IF(Data!B234&lt;=$C$9,$F$9,$G$9))</f>
        <v>1</v>
      </c>
      <c r="S24">
        <f>IF($B$10="age",IF(Data!C234&lt;=$C$10,$F$10,$G$10),IF(Data!B234&lt;=$C$10,$F$10,$G$10))</f>
        <v>1</v>
      </c>
      <c r="T24">
        <f>IF($B$11="age",IF(Data!C234&lt;=$C$11,$F$11,$G$11),IF(Data!B234&lt;=$C$11,$F$11,$G$11))</f>
        <v>0</v>
      </c>
      <c r="U24">
        <f>IF($B$12="age",IF(Data!C234&lt;=$C$12,$F$12,$G$12),IF(Data!B234&lt;=$C$12,$F$12,$G$12))</f>
        <v>1</v>
      </c>
      <c r="V24">
        <f>IF($B$13="age",IF(Data!C234&lt;=$C$13,$F$13,$G$13),IF(Data!B234&lt;=$C$13,$F$13,$G$13))</f>
        <v>1</v>
      </c>
      <c r="W24">
        <f>IF($B$14="age",IF(Data!C234&lt;=$C$14,$F$14,$G$14),IF(Data!B234&lt;=$C$14,$F$14,$G$14))</f>
        <v>1</v>
      </c>
      <c r="X24">
        <f>IF($B$15="age",IF(Data!C234&lt;=$C$15,$F$15,$G$15),IF(Data!B234&lt;=$C$15,$F$15,$G$15))</f>
        <v>1</v>
      </c>
      <c r="Y24">
        <f>IF($B$16="age",IF(Data!C234&lt;=$C$16,$F$16,$G$16),IF(Data!B234&lt;=$C$16,$F$16,$G$16))</f>
        <v>1</v>
      </c>
      <c r="Z24">
        <f>IF($B$17="age",IF(Data!C234&lt;=$C$17,$F$17,$G$17),IF(Data!B234&lt;=$C$17,$F$17,$G$17))</f>
        <v>0</v>
      </c>
      <c r="AA24">
        <f>IF($B$18="age",IF(Data!C234&lt;=$C$18,$F$18,$G$18),IF(Data!B234&lt;=$C$18,$F$18,$G$18))</f>
        <v>1</v>
      </c>
      <c r="AB24">
        <f>IF($B$19="age",IF(Data!C234&lt;=$C$19,$F$19,$G$19),IF(Data!B234&lt;=$C$19,$F$19,$G$19))</f>
        <v>1</v>
      </c>
      <c r="AC24">
        <f>IF($B$20="age",IF(Data!C234&lt;=$C$20,$F$20,$G$20),IF(Data!B234&lt;=$C$20,$F$20,$G$20))</f>
        <v>1</v>
      </c>
      <c r="AD24">
        <f>IF($B$21="age",IF(Data!C234&lt;=$C$21,$F$21,$G$21),IF(Data!B234&lt;=$C$21,$F$21,$G$21))</f>
        <v>0</v>
      </c>
      <c r="AE24">
        <f>IF($B$22="age",IF(Data!C234&lt;=$C$22,$F$22,$G$22),IF(Data!B234&lt;=$C$22,$F$22,$G$22))</f>
        <v>1</v>
      </c>
      <c r="AF24">
        <f>IF($B$23="age",IF(Data!C234&lt;=$C$23,$F$23,$G$23),IF(Data!B234&lt;=$C$23,$F$23,$G$23))</f>
        <v>1</v>
      </c>
      <c r="AG24">
        <f>IF($B$24="age",IF(Data!C234&lt;=$C$24,$F$24,$G$24),IF(Data!B234&lt;=$C$24,$F$24,$G$24))</f>
        <v>1</v>
      </c>
      <c r="AH24">
        <f>IF($B$25="age",IF(Data!C234&lt;=$C$25,$F$25,$G$25),IF(Data!B234&lt;=$C$25,$F$25,$G$25))</f>
        <v>1</v>
      </c>
      <c r="AI24">
        <f>IF($B$26="age",IF(Data!C234&lt;=$C$26,$F$26,$G$26),IF(Data!B234&lt;=$C$26,$F$26,$G$26))</f>
        <v>1</v>
      </c>
      <c r="AJ24">
        <f t="shared" si="0"/>
        <v>0.88</v>
      </c>
      <c r="AK24">
        <f>IF(AJ24&gt;=Controls!$B$2,1,0)</f>
        <v>1</v>
      </c>
      <c r="AL24">
        <f t="shared" si="1"/>
        <v>1</v>
      </c>
    </row>
    <row r="25" spans="1:38" x14ac:dyDescent="0.2">
      <c r="A25">
        <v>24</v>
      </c>
      <c r="B25" t="str">
        <f>IF(MOD(24,2)=1,"age","year")</f>
        <v>year</v>
      </c>
      <c r="C25">
        <f>IF(B25="age",INDEX(Data!$C$2:$C$301,1+MOD(INT(ABS(SIN((24*41+ROW()))*1000000)),300)),INDEX(Data!$B$2:$B$301,1+MOD(INT(ABS(SIN((24*53+ROW()))*1000000)),300)))</f>
        <v>2008</v>
      </c>
      <c r="D25">
        <f>IF(B25="age",IFERROR(AVERAGEIFS(Data!$L$2:$L$301,Data!$M$2:$M$301,"Train",Data!$C$2:$C$301,"&lt;="&amp;C25),0),IFERROR(AVERAGEIFS(Data!$L$2:$L$301,Data!$M$2:$M$301,"Train",Data!$B$2:$B$301,"&lt;="&amp;C25),0))</f>
        <v>0.51086956521739135</v>
      </c>
      <c r="E25">
        <f>IF(B25="age",IFERROR(AVERAGEIFS(Data!$L$2:$L$301,Data!$M$2:$M$301,"Train",Data!$C$2:$C$301,"&gt;"&amp;C25),0),IFERROR(AVERAGEIFS(Data!$L$2:$L$301,Data!$M$2:$M$301,"Train",Data!$B$2:$B$301,"&gt;"&amp;C25),0))</f>
        <v>0.61538461538461542</v>
      </c>
      <c r="F25">
        <f>IF(D25&gt;=Controls!$B$2,1,0)</f>
        <v>1</v>
      </c>
      <c r="G25">
        <f>IF(E25&gt;=Controls!$B$2,1,0)</f>
        <v>1</v>
      </c>
      <c r="I25">
        <f>Data!A235</f>
        <v>234</v>
      </c>
      <c r="J25">
        <f>Data!L235</f>
        <v>1</v>
      </c>
      <c r="K25">
        <f>IF($B$2="age",IF(Data!C235&lt;=$C$2,$F$2,$G$2),IF(Data!B235&lt;=$C$2,$F$2,$G$2))</f>
        <v>0</v>
      </c>
      <c r="L25">
        <f>IF($B$3="age",IF(Data!C235&lt;=$C$3,$F$3,$G$3),IF(Data!B235&lt;=$C$3,$F$3,$G$3))</f>
        <v>1</v>
      </c>
      <c r="M25">
        <f>IF($B$4="age",IF(Data!C235&lt;=$C$4,$F$4,$G$4),IF(Data!B235&lt;=$C$4,$F$4,$G$4))</f>
        <v>1</v>
      </c>
      <c r="N25">
        <f>IF($B$5="age",IF(Data!C235&lt;=$C$5,$F$5,$G$5),IF(Data!B235&lt;=$C$5,$F$5,$G$5))</f>
        <v>1</v>
      </c>
      <c r="O25">
        <f>IF($B$6="age",IF(Data!C235&lt;=$C$6,$F$6,$G$6),IF(Data!B235&lt;=$C$6,$F$6,$G$6))</f>
        <v>1</v>
      </c>
      <c r="P25">
        <f>IF($B$7="age",IF(Data!C235&lt;=$C$7,$F$7,$G$7),IF(Data!B235&lt;=$C$7,$F$7,$G$7))</f>
        <v>1</v>
      </c>
      <c r="Q25">
        <f>IF($B$8="age",IF(Data!C235&lt;=$C$8,$F$8,$G$8),IF(Data!B235&lt;=$C$8,$F$8,$G$8))</f>
        <v>1</v>
      </c>
      <c r="R25">
        <f>IF($B$9="age",IF(Data!C235&lt;=$C$9,$F$9,$G$9),IF(Data!B235&lt;=$C$9,$F$9,$G$9))</f>
        <v>1</v>
      </c>
      <c r="S25">
        <f>IF($B$10="age",IF(Data!C235&lt;=$C$10,$F$10,$G$10),IF(Data!B235&lt;=$C$10,$F$10,$G$10))</f>
        <v>0</v>
      </c>
      <c r="T25">
        <f>IF($B$11="age",IF(Data!C235&lt;=$C$11,$F$11,$G$11),IF(Data!B235&lt;=$C$11,$F$11,$G$11))</f>
        <v>1</v>
      </c>
      <c r="U25">
        <f>IF($B$12="age",IF(Data!C235&lt;=$C$12,$F$12,$G$12),IF(Data!B235&lt;=$C$12,$F$12,$G$12))</f>
        <v>1</v>
      </c>
      <c r="V25">
        <f>IF($B$13="age",IF(Data!C235&lt;=$C$13,$F$13,$G$13),IF(Data!B235&lt;=$C$13,$F$13,$G$13))</f>
        <v>1</v>
      </c>
      <c r="W25">
        <f>IF($B$14="age",IF(Data!C235&lt;=$C$14,$F$14,$G$14),IF(Data!B235&lt;=$C$14,$F$14,$G$14))</f>
        <v>1</v>
      </c>
      <c r="X25">
        <f>IF($B$15="age",IF(Data!C235&lt;=$C$15,$F$15,$G$15),IF(Data!B235&lt;=$C$15,$F$15,$G$15))</f>
        <v>1</v>
      </c>
      <c r="Y25">
        <f>IF($B$16="age",IF(Data!C235&lt;=$C$16,$F$16,$G$16),IF(Data!B235&lt;=$C$16,$F$16,$G$16))</f>
        <v>1</v>
      </c>
      <c r="Z25">
        <f>IF($B$17="age",IF(Data!C235&lt;=$C$17,$F$17,$G$17),IF(Data!B235&lt;=$C$17,$F$17,$G$17))</f>
        <v>0</v>
      </c>
      <c r="AA25">
        <f>IF($B$18="age",IF(Data!C235&lt;=$C$18,$F$18,$G$18),IF(Data!B235&lt;=$C$18,$F$18,$G$18))</f>
        <v>1</v>
      </c>
      <c r="AB25">
        <f>IF($B$19="age",IF(Data!C235&lt;=$C$19,$F$19,$G$19),IF(Data!B235&lt;=$C$19,$F$19,$G$19))</f>
        <v>1</v>
      </c>
      <c r="AC25">
        <f>IF($B$20="age",IF(Data!C235&lt;=$C$20,$F$20,$G$20),IF(Data!B235&lt;=$C$20,$F$20,$G$20))</f>
        <v>1</v>
      </c>
      <c r="AD25">
        <f>IF($B$21="age",IF(Data!C235&lt;=$C$21,$F$21,$G$21),IF(Data!B235&lt;=$C$21,$F$21,$G$21))</f>
        <v>0</v>
      </c>
      <c r="AE25">
        <f>IF($B$22="age",IF(Data!C235&lt;=$C$22,$F$22,$G$22),IF(Data!B235&lt;=$C$22,$F$22,$G$22))</f>
        <v>1</v>
      </c>
      <c r="AF25">
        <f>IF($B$23="age",IF(Data!C235&lt;=$C$23,$F$23,$G$23),IF(Data!B235&lt;=$C$23,$F$23,$G$23))</f>
        <v>1</v>
      </c>
      <c r="AG25">
        <f>IF($B$24="age",IF(Data!C235&lt;=$C$24,$F$24,$G$24),IF(Data!B235&lt;=$C$24,$F$24,$G$24))</f>
        <v>1</v>
      </c>
      <c r="AH25">
        <f>IF($B$25="age",IF(Data!C235&lt;=$C$25,$F$25,$G$25),IF(Data!B235&lt;=$C$25,$F$25,$G$25))</f>
        <v>1</v>
      </c>
      <c r="AI25">
        <f>IF($B$26="age",IF(Data!C235&lt;=$C$26,$F$26,$G$26),IF(Data!B235&lt;=$C$26,$F$26,$G$26))</f>
        <v>1</v>
      </c>
      <c r="AJ25">
        <f t="shared" si="0"/>
        <v>0.84</v>
      </c>
      <c r="AK25">
        <f>IF(AJ25&gt;=Controls!$B$2,1,0)</f>
        <v>1</v>
      </c>
      <c r="AL25">
        <f t="shared" si="1"/>
        <v>1</v>
      </c>
    </row>
    <row r="26" spans="1:38" x14ac:dyDescent="0.2">
      <c r="A26">
        <v>25</v>
      </c>
      <c r="B26" t="str">
        <f>IF(MOD(25,2)=1,"age","year")</f>
        <v>age</v>
      </c>
      <c r="C26">
        <f>IF(B26="age",INDEX(Data!$C$2:$C$301,1+MOD(INT(ABS(SIN((25*41+ROW()))*1000000)),300)),INDEX(Data!$B$2:$B$301,1+MOD(INT(ABS(SIN((25*53+ROW()))*1000000)),300)))</f>
        <v>52</v>
      </c>
      <c r="D26">
        <f>IF(B26="age",IFERROR(AVERAGEIFS(Data!$L$2:$L$301,Data!$M$2:$M$301,"Train",Data!$C$2:$C$301,"&lt;="&amp;C26),0),IFERROR(AVERAGEIFS(Data!$L$2:$L$301,Data!$M$2:$M$301,"Train",Data!$B$2:$B$301,"&lt;="&amp;C26),0))</f>
        <v>0.50624999999999998</v>
      </c>
      <c r="E26">
        <f>IF(B26="age",IFERROR(AVERAGEIFS(Data!$L$2:$L$301,Data!$M$2:$M$301,"Train",Data!$C$2:$C$301,"&gt;"&amp;C26),0),IFERROR(AVERAGEIFS(Data!$L$2:$L$301,Data!$M$2:$M$301,"Train",Data!$B$2:$B$301,"&gt;"&amp;C26),0))</f>
        <v>0.57999999999999996</v>
      </c>
      <c r="F26">
        <f>IF(D26&gt;=Controls!$B$2,1,0)</f>
        <v>1</v>
      </c>
      <c r="G26">
        <f>IF(E26&gt;=Controls!$B$2,1,0)</f>
        <v>1</v>
      </c>
      <c r="I26">
        <f>Data!A236</f>
        <v>235</v>
      </c>
      <c r="J26">
        <f>Data!L236</f>
        <v>0</v>
      </c>
      <c r="K26">
        <f>IF($B$2="age",IF(Data!C236&lt;=$C$2,$F$2,$G$2),IF(Data!B236&lt;=$C$2,$F$2,$G$2))</f>
        <v>0</v>
      </c>
      <c r="L26">
        <f>IF($B$3="age",IF(Data!C236&lt;=$C$3,$F$3,$G$3),IF(Data!B236&lt;=$C$3,$F$3,$G$3))</f>
        <v>1</v>
      </c>
      <c r="M26">
        <f>IF($B$4="age",IF(Data!C236&lt;=$C$4,$F$4,$G$4),IF(Data!B236&lt;=$C$4,$F$4,$G$4))</f>
        <v>1</v>
      </c>
      <c r="N26">
        <f>IF($B$5="age",IF(Data!C236&lt;=$C$5,$F$5,$G$5),IF(Data!B236&lt;=$C$5,$F$5,$G$5))</f>
        <v>0</v>
      </c>
      <c r="O26">
        <f>IF($B$6="age",IF(Data!C236&lt;=$C$6,$F$6,$G$6),IF(Data!B236&lt;=$C$6,$F$6,$G$6))</f>
        <v>0</v>
      </c>
      <c r="P26">
        <f>IF($B$7="age",IF(Data!C236&lt;=$C$7,$F$7,$G$7),IF(Data!B236&lt;=$C$7,$F$7,$G$7))</f>
        <v>1</v>
      </c>
      <c r="Q26">
        <f>IF($B$8="age",IF(Data!C236&lt;=$C$8,$F$8,$G$8),IF(Data!B236&lt;=$C$8,$F$8,$G$8))</f>
        <v>1</v>
      </c>
      <c r="R26">
        <f>IF($B$9="age",IF(Data!C236&lt;=$C$9,$F$9,$G$9),IF(Data!B236&lt;=$C$9,$F$9,$G$9))</f>
        <v>0</v>
      </c>
      <c r="S26">
        <f>IF($B$10="age",IF(Data!C236&lt;=$C$10,$F$10,$G$10),IF(Data!B236&lt;=$C$10,$F$10,$G$10))</f>
        <v>0</v>
      </c>
      <c r="T26">
        <f>IF($B$11="age",IF(Data!C236&lt;=$C$11,$F$11,$G$11),IF(Data!B236&lt;=$C$11,$F$11,$G$11))</f>
        <v>0</v>
      </c>
      <c r="U26">
        <f>IF($B$12="age",IF(Data!C236&lt;=$C$12,$F$12,$G$12),IF(Data!B236&lt;=$C$12,$F$12,$G$12))</f>
        <v>1</v>
      </c>
      <c r="V26">
        <f>IF($B$13="age",IF(Data!C236&lt;=$C$13,$F$13,$G$13),IF(Data!B236&lt;=$C$13,$F$13,$G$13))</f>
        <v>0</v>
      </c>
      <c r="W26">
        <f>IF($B$14="age",IF(Data!C236&lt;=$C$14,$F$14,$G$14),IF(Data!B236&lt;=$C$14,$F$14,$G$14))</f>
        <v>0</v>
      </c>
      <c r="X26">
        <f>IF($B$15="age",IF(Data!C236&lt;=$C$15,$F$15,$G$15),IF(Data!B236&lt;=$C$15,$F$15,$G$15))</f>
        <v>1</v>
      </c>
      <c r="Y26">
        <f>IF($B$16="age",IF(Data!C236&lt;=$C$16,$F$16,$G$16),IF(Data!B236&lt;=$C$16,$F$16,$G$16))</f>
        <v>1</v>
      </c>
      <c r="Z26">
        <f>IF($B$17="age",IF(Data!C236&lt;=$C$17,$F$17,$G$17),IF(Data!B236&lt;=$C$17,$F$17,$G$17))</f>
        <v>0</v>
      </c>
      <c r="AA26">
        <f>IF($B$18="age",IF(Data!C236&lt;=$C$18,$F$18,$G$18),IF(Data!B236&lt;=$C$18,$F$18,$G$18))</f>
        <v>1</v>
      </c>
      <c r="AB26">
        <f>IF($B$19="age",IF(Data!C236&lt;=$C$19,$F$19,$G$19),IF(Data!B236&lt;=$C$19,$F$19,$G$19))</f>
        <v>0</v>
      </c>
      <c r="AC26">
        <f>IF($B$20="age",IF(Data!C236&lt;=$C$20,$F$20,$G$20),IF(Data!B236&lt;=$C$20,$F$20,$G$20))</f>
        <v>1</v>
      </c>
      <c r="AD26">
        <f>IF($B$21="age",IF(Data!C236&lt;=$C$21,$F$21,$G$21),IF(Data!B236&lt;=$C$21,$F$21,$G$21))</f>
        <v>0</v>
      </c>
      <c r="AE26">
        <f>IF($B$22="age",IF(Data!C236&lt;=$C$22,$F$22,$G$22),IF(Data!B236&lt;=$C$22,$F$22,$G$22))</f>
        <v>0</v>
      </c>
      <c r="AF26">
        <f>IF($B$23="age",IF(Data!C236&lt;=$C$23,$F$23,$G$23),IF(Data!B236&lt;=$C$23,$F$23,$G$23))</f>
        <v>0</v>
      </c>
      <c r="AG26">
        <f>IF($B$24="age",IF(Data!C236&lt;=$C$24,$F$24,$G$24),IF(Data!B236&lt;=$C$24,$F$24,$G$24))</f>
        <v>0</v>
      </c>
      <c r="AH26">
        <f>IF($B$25="age",IF(Data!C236&lt;=$C$25,$F$25,$G$25),IF(Data!B236&lt;=$C$25,$F$25,$G$25))</f>
        <v>1</v>
      </c>
      <c r="AI26">
        <f>IF($B$26="age",IF(Data!C236&lt;=$C$26,$F$26,$G$26),IF(Data!B236&lt;=$C$26,$F$26,$G$26))</f>
        <v>1</v>
      </c>
      <c r="AJ26">
        <f t="shared" si="0"/>
        <v>0.44</v>
      </c>
      <c r="AK26">
        <f>IF(AJ26&gt;=Controls!$B$2,1,0)</f>
        <v>0</v>
      </c>
      <c r="AL26">
        <f t="shared" si="1"/>
        <v>1</v>
      </c>
    </row>
    <row r="27" spans="1:38" x14ac:dyDescent="0.2">
      <c r="I27">
        <f>Data!A237</f>
        <v>236</v>
      </c>
      <c r="J27">
        <f>Data!L237</f>
        <v>0</v>
      </c>
      <c r="K27">
        <f>IF($B$2="age",IF(Data!C237&lt;=$C$2,$F$2,$G$2),IF(Data!B237&lt;=$C$2,$F$2,$G$2))</f>
        <v>0</v>
      </c>
      <c r="L27">
        <f>IF($B$3="age",IF(Data!C237&lt;=$C$3,$F$3,$G$3),IF(Data!B237&lt;=$C$3,$F$3,$G$3))</f>
        <v>1</v>
      </c>
      <c r="M27">
        <f>IF($B$4="age",IF(Data!C237&lt;=$C$4,$F$4,$G$4),IF(Data!B237&lt;=$C$4,$F$4,$G$4))</f>
        <v>1</v>
      </c>
      <c r="N27">
        <f>IF($B$5="age",IF(Data!C237&lt;=$C$5,$F$5,$G$5),IF(Data!B237&lt;=$C$5,$F$5,$G$5))</f>
        <v>1</v>
      </c>
      <c r="O27">
        <f>IF($B$6="age",IF(Data!C237&lt;=$C$6,$F$6,$G$6),IF(Data!B237&lt;=$C$6,$F$6,$G$6))</f>
        <v>0</v>
      </c>
      <c r="P27">
        <f>IF($B$7="age",IF(Data!C237&lt;=$C$7,$F$7,$G$7),IF(Data!B237&lt;=$C$7,$F$7,$G$7))</f>
        <v>1</v>
      </c>
      <c r="Q27">
        <f>IF($B$8="age",IF(Data!C237&lt;=$C$8,$F$8,$G$8),IF(Data!B237&lt;=$C$8,$F$8,$G$8))</f>
        <v>1</v>
      </c>
      <c r="R27">
        <f>IF($B$9="age",IF(Data!C237&lt;=$C$9,$F$9,$G$9),IF(Data!B237&lt;=$C$9,$F$9,$G$9))</f>
        <v>1</v>
      </c>
      <c r="S27">
        <f>IF($B$10="age",IF(Data!C237&lt;=$C$10,$F$10,$G$10),IF(Data!B237&lt;=$C$10,$F$10,$G$10))</f>
        <v>0</v>
      </c>
      <c r="T27">
        <f>IF($B$11="age",IF(Data!C237&lt;=$C$11,$F$11,$G$11),IF(Data!B237&lt;=$C$11,$F$11,$G$11))</f>
        <v>1</v>
      </c>
      <c r="U27">
        <f>IF($B$12="age",IF(Data!C237&lt;=$C$12,$F$12,$G$12),IF(Data!B237&lt;=$C$12,$F$12,$G$12))</f>
        <v>1</v>
      </c>
      <c r="V27">
        <f>IF($B$13="age",IF(Data!C237&lt;=$C$13,$F$13,$G$13),IF(Data!B237&lt;=$C$13,$F$13,$G$13))</f>
        <v>1</v>
      </c>
      <c r="W27">
        <f>IF($B$14="age",IF(Data!C237&lt;=$C$14,$F$14,$G$14),IF(Data!B237&lt;=$C$14,$F$14,$G$14))</f>
        <v>0</v>
      </c>
      <c r="X27">
        <f>IF($B$15="age",IF(Data!C237&lt;=$C$15,$F$15,$G$15),IF(Data!B237&lt;=$C$15,$F$15,$G$15))</f>
        <v>1</v>
      </c>
      <c r="Y27">
        <f>IF($B$16="age",IF(Data!C237&lt;=$C$16,$F$16,$G$16),IF(Data!B237&lt;=$C$16,$F$16,$G$16))</f>
        <v>1</v>
      </c>
      <c r="Z27">
        <f>IF($B$17="age",IF(Data!C237&lt;=$C$17,$F$17,$G$17),IF(Data!B237&lt;=$C$17,$F$17,$G$17))</f>
        <v>1</v>
      </c>
      <c r="AA27">
        <f>IF($B$18="age",IF(Data!C237&lt;=$C$18,$F$18,$G$18),IF(Data!B237&lt;=$C$18,$F$18,$G$18))</f>
        <v>1</v>
      </c>
      <c r="AB27">
        <f>IF($B$19="age",IF(Data!C237&lt;=$C$19,$F$19,$G$19),IF(Data!B237&lt;=$C$19,$F$19,$G$19))</f>
        <v>1</v>
      </c>
      <c r="AC27">
        <f>IF($B$20="age",IF(Data!C237&lt;=$C$20,$F$20,$G$20),IF(Data!B237&lt;=$C$20,$F$20,$G$20))</f>
        <v>1</v>
      </c>
      <c r="AD27">
        <f>IF($B$21="age",IF(Data!C237&lt;=$C$21,$F$21,$G$21),IF(Data!B237&lt;=$C$21,$F$21,$G$21))</f>
        <v>1</v>
      </c>
      <c r="AE27">
        <f>IF($B$22="age",IF(Data!C237&lt;=$C$22,$F$22,$G$22),IF(Data!B237&lt;=$C$22,$F$22,$G$22))</f>
        <v>0</v>
      </c>
      <c r="AF27">
        <f>IF($B$23="age",IF(Data!C237&lt;=$C$23,$F$23,$G$23),IF(Data!B237&lt;=$C$23,$F$23,$G$23))</f>
        <v>1</v>
      </c>
      <c r="AG27">
        <f>IF($B$24="age",IF(Data!C237&lt;=$C$24,$F$24,$G$24),IF(Data!B237&lt;=$C$24,$F$24,$G$24))</f>
        <v>1</v>
      </c>
      <c r="AH27">
        <f>IF($B$25="age",IF(Data!C237&lt;=$C$25,$F$25,$G$25),IF(Data!B237&lt;=$C$25,$F$25,$G$25))</f>
        <v>1</v>
      </c>
      <c r="AI27">
        <f>IF($B$26="age",IF(Data!C237&lt;=$C$26,$F$26,$G$26),IF(Data!B237&lt;=$C$26,$F$26,$G$26))</f>
        <v>1</v>
      </c>
      <c r="AJ27">
        <f t="shared" si="0"/>
        <v>0.8</v>
      </c>
      <c r="AK27">
        <f>IF(AJ27&gt;=Controls!$B$2,1,0)</f>
        <v>1</v>
      </c>
      <c r="AL27">
        <f t="shared" si="1"/>
        <v>0</v>
      </c>
    </row>
    <row r="28" spans="1:38" x14ac:dyDescent="0.2">
      <c r="I28">
        <f>Data!A238</f>
        <v>237</v>
      </c>
      <c r="J28">
        <f>Data!L238</f>
        <v>1</v>
      </c>
      <c r="K28">
        <f>IF($B$2="age",IF(Data!C238&lt;=$C$2,$F$2,$G$2),IF(Data!B238&lt;=$C$2,$F$2,$G$2))</f>
        <v>0</v>
      </c>
      <c r="L28">
        <f>IF($B$3="age",IF(Data!C238&lt;=$C$3,$F$3,$G$3),IF(Data!B238&lt;=$C$3,$F$3,$G$3))</f>
        <v>1</v>
      </c>
      <c r="M28">
        <f>IF($B$4="age",IF(Data!C238&lt;=$C$4,$F$4,$G$4),IF(Data!B238&lt;=$C$4,$F$4,$G$4))</f>
        <v>1</v>
      </c>
      <c r="N28">
        <f>IF($B$5="age",IF(Data!C238&lt;=$C$5,$F$5,$G$5),IF(Data!B238&lt;=$C$5,$F$5,$G$5))</f>
        <v>0</v>
      </c>
      <c r="O28">
        <f>IF($B$6="age",IF(Data!C238&lt;=$C$6,$F$6,$G$6),IF(Data!B238&lt;=$C$6,$F$6,$G$6))</f>
        <v>1</v>
      </c>
      <c r="P28">
        <f>IF($B$7="age",IF(Data!C238&lt;=$C$7,$F$7,$G$7),IF(Data!B238&lt;=$C$7,$F$7,$G$7))</f>
        <v>1</v>
      </c>
      <c r="Q28">
        <f>IF($B$8="age",IF(Data!C238&lt;=$C$8,$F$8,$G$8),IF(Data!B238&lt;=$C$8,$F$8,$G$8))</f>
        <v>1</v>
      </c>
      <c r="R28">
        <f>IF($B$9="age",IF(Data!C238&lt;=$C$9,$F$9,$G$9),IF(Data!B238&lt;=$C$9,$F$9,$G$9))</f>
        <v>0</v>
      </c>
      <c r="S28">
        <f>IF($B$10="age",IF(Data!C238&lt;=$C$10,$F$10,$G$10),IF(Data!B238&lt;=$C$10,$F$10,$G$10))</f>
        <v>0</v>
      </c>
      <c r="T28">
        <f>IF($B$11="age",IF(Data!C238&lt;=$C$11,$F$11,$G$11),IF(Data!B238&lt;=$C$11,$F$11,$G$11))</f>
        <v>0</v>
      </c>
      <c r="U28">
        <f>IF($B$12="age",IF(Data!C238&lt;=$C$12,$F$12,$G$12),IF(Data!B238&lt;=$C$12,$F$12,$G$12))</f>
        <v>1</v>
      </c>
      <c r="V28">
        <f>IF($B$13="age",IF(Data!C238&lt;=$C$13,$F$13,$G$13),IF(Data!B238&lt;=$C$13,$F$13,$G$13))</f>
        <v>0</v>
      </c>
      <c r="W28">
        <f>IF($B$14="age",IF(Data!C238&lt;=$C$14,$F$14,$G$14),IF(Data!B238&lt;=$C$14,$F$14,$G$14))</f>
        <v>1</v>
      </c>
      <c r="X28">
        <f>IF($B$15="age",IF(Data!C238&lt;=$C$15,$F$15,$G$15),IF(Data!B238&lt;=$C$15,$F$15,$G$15))</f>
        <v>1</v>
      </c>
      <c r="Y28">
        <f>IF($B$16="age",IF(Data!C238&lt;=$C$16,$F$16,$G$16),IF(Data!B238&lt;=$C$16,$F$16,$G$16))</f>
        <v>1</v>
      </c>
      <c r="Z28">
        <f>IF($B$17="age",IF(Data!C238&lt;=$C$17,$F$17,$G$17),IF(Data!B238&lt;=$C$17,$F$17,$G$17))</f>
        <v>0</v>
      </c>
      <c r="AA28">
        <f>IF($B$18="age",IF(Data!C238&lt;=$C$18,$F$18,$G$18),IF(Data!B238&lt;=$C$18,$F$18,$G$18))</f>
        <v>1</v>
      </c>
      <c r="AB28">
        <f>IF($B$19="age",IF(Data!C238&lt;=$C$19,$F$19,$G$19),IF(Data!B238&lt;=$C$19,$F$19,$G$19))</f>
        <v>0</v>
      </c>
      <c r="AC28">
        <f>IF($B$20="age",IF(Data!C238&lt;=$C$20,$F$20,$G$20),IF(Data!B238&lt;=$C$20,$F$20,$G$20))</f>
        <v>1</v>
      </c>
      <c r="AD28">
        <f>IF($B$21="age",IF(Data!C238&lt;=$C$21,$F$21,$G$21),IF(Data!B238&lt;=$C$21,$F$21,$G$21))</f>
        <v>0</v>
      </c>
      <c r="AE28">
        <f>IF($B$22="age",IF(Data!C238&lt;=$C$22,$F$22,$G$22),IF(Data!B238&lt;=$C$22,$F$22,$G$22))</f>
        <v>1</v>
      </c>
      <c r="AF28">
        <f>IF($B$23="age",IF(Data!C238&lt;=$C$23,$F$23,$G$23),IF(Data!B238&lt;=$C$23,$F$23,$G$23))</f>
        <v>0</v>
      </c>
      <c r="AG28">
        <f>IF($B$24="age",IF(Data!C238&lt;=$C$24,$F$24,$G$24),IF(Data!B238&lt;=$C$24,$F$24,$G$24))</f>
        <v>1</v>
      </c>
      <c r="AH28">
        <f>IF($B$25="age",IF(Data!C238&lt;=$C$25,$F$25,$G$25),IF(Data!B238&lt;=$C$25,$F$25,$G$25))</f>
        <v>1</v>
      </c>
      <c r="AI28">
        <f>IF($B$26="age",IF(Data!C238&lt;=$C$26,$F$26,$G$26),IF(Data!B238&lt;=$C$26,$F$26,$G$26))</f>
        <v>1</v>
      </c>
      <c r="AJ28">
        <f t="shared" si="0"/>
        <v>0.6</v>
      </c>
      <c r="AK28">
        <f>IF(AJ28&gt;=Controls!$B$2,1,0)</f>
        <v>1</v>
      </c>
      <c r="AL28">
        <f t="shared" si="1"/>
        <v>1</v>
      </c>
    </row>
    <row r="29" spans="1:38" x14ac:dyDescent="0.2">
      <c r="I29">
        <f>Data!A239</f>
        <v>238</v>
      </c>
      <c r="J29">
        <f>Data!L239</f>
        <v>0</v>
      </c>
      <c r="K29">
        <f>IF($B$2="age",IF(Data!C239&lt;=$C$2,$F$2,$G$2),IF(Data!B239&lt;=$C$2,$F$2,$G$2))</f>
        <v>1</v>
      </c>
      <c r="L29">
        <f>IF($B$3="age",IF(Data!C239&lt;=$C$3,$F$3,$G$3),IF(Data!B239&lt;=$C$3,$F$3,$G$3))</f>
        <v>1</v>
      </c>
      <c r="M29">
        <f>IF($B$4="age",IF(Data!C239&lt;=$C$4,$F$4,$G$4),IF(Data!B239&lt;=$C$4,$F$4,$G$4))</f>
        <v>1</v>
      </c>
      <c r="N29">
        <f>IF($B$5="age",IF(Data!C239&lt;=$C$5,$F$5,$G$5),IF(Data!B239&lt;=$C$5,$F$5,$G$5))</f>
        <v>1</v>
      </c>
      <c r="O29">
        <f>IF($B$6="age",IF(Data!C239&lt;=$C$6,$F$6,$G$6),IF(Data!B239&lt;=$C$6,$F$6,$G$6))</f>
        <v>1</v>
      </c>
      <c r="P29">
        <f>IF($B$7="age",IF(Data!C239&lt;=$C$7,$F$7,$G$7),IF(Data!B239&lt;=$C$7,$F$7,$G$7))</f>
        <v>1</v>
      </c>
      <c r="Q29">
        <f>IF($B$8="age",IF(Data!C239&lt;=$C$8,$F$8,$G$8),IF(Data!B239&lt;=$C$8,$F$8,$G$8))</f>
        <v>1</v>
      </c>
      <c r="R29">
        <f>IF($B$9="age",IF(Data!C239&lt;=$C$9,$F$9,$G$9),IF(Data!B239&lt;=$C$9,$F$9,$G$9))</f>
        <v>1</v>
      </c>
      <c r="S29">
        <f>IF($B$10="age",IF(Data!C239&lt;=$C$10,$F$10,$G$10),IF(Data!B239&lt;=$C$10,$F$10,$G$10))</f>
        <v>1</v>
      </c>
      <c r="T29">
        <f>IF($B$11="age",IF(Data!C239&lt;=$C$11,$F$11,$G$11),IF(Data!B239&lt;=$C$11,$F$11,$G$11))</f>
        <v>0</v>
      </c>
      <c r="U29">
        <f>IF($B$12="age",IF(Data!C239&lt;=$C$12,$F$12,$G$12),IF(Data!B239&lt;=$C$12,$F$12,$G$12))</f>
        <v>1</v>
      </c>
      <c r="V29">
        <f>IF($B$13="age",IF(Data!C239&lt;=$C$13,$F$13,$G$13),IF(Data!B239&lt;=$C$13,$F$13,$G$13))</f>
        <v>1</v>
      </c>
      <c r="W29">
        <f>IF($B$14="age",IF(Data!C239&lt;=$C$14,$F$14,$G$14),IF(Data!B239&lt;=$C$14,$F$14,$G$14))</f>
        <v>1</v>
      </c>
      <c r="X29">
        <f>IF($B$15="age",IF(Data!C239&lt;=$C$15,$F$15,$G$15),IF(Data!B239&lt;=$C$15,$F$15,$G$15))</f>
        <v>1</v>
      </c>
      <c r="Y29">
        <f>IF($B$16="age",IF(Data!C239&lt;=$C$16,$F$16,$G$16),IF(Data!B239&lt;=$C$16,$F$16,$G$16))</f>
        <v>1</v>
      </c>
      <c r="Z29">
        <f>IF($B$17="age",IF(Data!C239&lt;=$C$17,$F$17,$G$17),IF(Data!B239&lt;=$C$17,$F$17,$G$17))</f>
        <v>0</v>
      </c>
      <c r="AA29">
        <f>IF($B$18="age",IF(Data!C239&lt;=$C$18,$F$18,$G$18),IF(Data!B239&lt;=$C$18,$F$18,$G$18))</f>
        <v>1</v>
      </c>
      <c r="AB29">
        <f>IF($B$19="age",IF(Data!C239&lt;=$C$19,$F$19,$G$19),IF(Data!B239&lt;=$C$19,$F$19,$G$19))</f>
        <v>1</v>
      </c>
      <c r="AC29">
        <f>IF($B$20="age",IF(Data!C239&lt;=$C$20,$F$20,$G$20),IF(Data!B239&lt;=$C$20,$F$20,$G$20))</f>
        <v>1</v>
      </c>
      <c r="AD29">
        <f>IF($B$21="age",IF(Data!C239&lt;=$C$21,$F$21,$G$21),IF(Data!B239&lt;=$C$21,$F$21,$G$21))</f>
        <v>0</v>
      </c>
      <c r="AE29">
        <f>IF($B$22="age",IF(Data!C239&lt;=$C$22,$F$22,$G$22),IF(Data!B239&lt;=$C$22,$F$22,$G$22))</f>
        <v>1</v>
      </c>
      <c r="AF29">
        <f>IF($B$23="age",IF(Data!C239&lt;=$C$23,$F$23,$G$23),IF(Data!B239&lt;=$C$23,$F$23,$G$23))</f>
        <v>1</v>
      </c>
      <c r="AG29">
        <f>IF($B$24="age",IF(Data!C239&lt;=$C$24,$F$24,$G$24),IF(Data!B239&lt;=$C$24,$F$24,$G$24))</f>
        <v>1</v>
      </c>
      <c r="AH29">
        <f>IF($B$25="age",IF(Data!C239&lt;=$C$25,$F$25,$G$25),IF(Data!B239&lt;=$C$25,$F$25,$G$25))</f>
        <v>1</v>
      </c>
      <c r="AI29">
        <f>IF($B$26="age",IF(Data!C239&lt;=$C$26,$F$26,$G$26),IF(Data!B239&lt;=$C$26,$F$26,$G$26))</f>
        <v>1</v>
      </c>
      <c r="AJ29">
        <f t="shared" si="0"/>
        <v>0.88</v>
      </c>
      <c r="AK29">
        <f>IF(AJ29&gt;=Controls!$B$2,1,0)</f>
        <v>1</v>
      </c>
      <c r="AL29">
        <f t="shared" si="1"/>
        <v>0</v>
      </c>
    </row>
    <row r="30" spans="1:38" x14ac:dyDescent="0.2">
      <c r="I30">
        <f>Data!A240</f>
        <v>239</v>
      </c>
      <c r="J30">
        <f>Data!L240</f>
        <v>0</v>
      </c>
      <c r="K30">
        <f>IF($B$2="age",IF(Data!C240&lt;=$C$2,$F$2,$G$2),IF(Data!B240&lt;=$C$2,$F$2,$G$2))</f>
        <v>1</v>
      </c>
      <c r="L30">
        <f>IF($B$3="age",IF(Data!C240&lt;=$C$3,$F$3,$G$3),IF(Data!B240&lt;=$C$3,$F$3,$G$3))</f>
        <v>1</v>
      </c>
      <c r="M30">
        <f>IF($B$4="age",IF(Data!C240&lt;=$C$4,$F$4,$G$4),IF(Data!B240&lt;=$C$4,$F$4,$G$4))</f>
        <v>1</v>
      </c>
      <c r="N30">
        <f>IF($B$5="age",IF(Data!C240&lt;=$C$5,$F$5,$G$5),IF(Data!B240&lt;=$C$5,$F$5,$G$5))</f>
        <v>1</v>
      </c>
      <c r="O30">
        <f>IF($B$6="age",IF(Data!C240&lt;=$C$6,$F$6,$G$6),IF(Data!B240&lt;=$C$6,$F$6,$G$6))</f>
        <v>1</v>
      </c>
      <c r="P30">
        <f>IF($B$7="age",IF(Data!C240&lt;=$C$7,$F$7,$G$7),IF(Data!B240&lt;=$C$7,$F$7,$G$7))</f>
        <v>1</v>
      </c>
      <c r="Q30">
        <f>IF($B$8="age",IF(Data!C240&lt;=$C$8,$F$8,$G$8),IF(Data!B240&lt;=$C$8,$F$8,$G$8))</f>
        <v>1</v>
      </c>
      <c r="R30">
        <f>IF($B$9="age",IF(Data!C240&lt;=$C$9,$F$9,$G$9),IF(Data!B240&lt;=$C$9,$F$9,$G$9))</f>
        <v>1</v>
      </c>
      <c r="S30">
        <f>IF($B$10="age",IF(Data!C240&lt;=$C$10,$F$10,$G$10),IF(Data!B240&lt;=$C$10,$F$10,$G$10))</f>
        <v>1</v>
      </c>
      <c r="T30">
        <f>IF($B$11="age",IF(Data!C240&lt;=$C$11,$F$11,$G$11),IF(Data!B240&lt;=$C$11,$F$11,$G$11))</f>
        <v>1</v>
      </c>
      <c r="U30">
        <f>IF($B$12="age",IF(Data!C240&lt;=$C$12,$F$12,$G$12),IF(Data!B240&lt;=$C$12,$F$12,$G$12))</f>
        <v>1</v>
      </c>
      <c r="V30">
        <f>IF($B$13="age",IF(Data!C240&lt;=$C$13,$F$13,$G$13),IF(Data!B240&lt;=$C$13,$F$13,$G$13))</f>
        <v>1</v>
      </c>
      <c r="W30">
        <f>IF($B$14="age",IF(Data!C240&lt;=$C$14,$F$14,$G$14),IF(Data!B240&lt;=$C$14,$F$14,$G$14))</f>
        <v>1</v>
      </c>
      <c r="X30">
        <f>IF($B$15="age",IF(Data!C240&lt;=$C$15,$F$15,$G$15),IF(Data!B240&lt;=$C$15,$F$15,$G$15))</f>
        <v>1</v>
      </c>
      <c r="Y30">
        <f>IF($B$16="age",IF(Data!C240&lt;=$C$16,$F$16,$G$16),IF(Data!B240&lt;=$C$16,$F$16,$G$16))</f>
        <v>1</v>
      </c>
      <c r="Z30">
        <f>IF($B$17="age",IF(Data!C240&lt;=$C$17,$F$17,$G$17),IF(Data!B240&lt;=$C$17,$F$17,$G$17))</f>
        <v>0</v>
      </c>
      <c r="AA30">
        <f>IF($B$18="age",IF(Data!C240&lt;=$C$18,$F$18,$G$18),IF(Data!B240&lt;=$C$18,$F$18,$G$18))</f>
        <v>1</v>
      </c>
      <c r="AB30">
        <f>IF($B$19="age",IF(Data!C240&lt;=$C$19,$F$19,$G$19),IF(Data!B240&lt;=$C$19,$F$19,$G$19))</f>
        <v>1</v>
      </c>
      <c r="AC30">
        <f>IF($B$20="age",IF(Data!C240&lt;=$C$20,$F$20,$G$20),IF(Data!B240&lt;=$C$20,$F$20,$G$20))</f>
        <v>1</v>
      </c>
      <c r="AD30">
        <f>IF($B$21="age",IF(Data!C240&lt;=$C$21,$F$21,$G$21),IF(Data!B240&lt;=$C$21,$F$21,$G$21))</f>
        <v>0</v>
      </c>
      <c r="AE30">
        <f>IF($B$22="age",IF(Data!C240&lt;=$C$22,$F$22,$G$22),IF(Data!B240&lt;=$C$22,$F$22,$G$22))</f>
        <v>1</v>
      </c>
      <c r="AF30">
        <f>IF($B$23="age",IF(Data!C240&lt;=$C$23,$F$23,$G$23),IF(Data!B240&lt;=$C$23,$F$23,$G$23))</f>
        <v>1</v>
      </c>
      <c r="AG30">
        <f>IF($B$24="age",IF(Data!C240&lt;=$C$24,$F$24,$G$24),IF(Data!B240&lt;=$C$24,$F$24,$G$24))</f>
        <v>1</v>
      </c>
      <c r="AH30">
        <f>IF($B$25="age",IF(Data!C240&lt;=$C$25,$F$25,$G$25),IF(Data!B240&lt;=$C$25,$F$25,$G$25))</f>
        <v>1</v>
      </c>
      <c r="AI30">
        <f>IF($B$26="age",IF(Data!C240&lt;=$C$26,$F$26,$G$26),IF(Data!B240&lt;=$C$26,$F$26,$G$26))</f>
        <v>1</v>
      </c>
      <c r="AJ30">
        <f t="shared" si="0"/>
        <v>0.92</v>
      </c>
      <c r="AK30">
        <f>IF(AJ30&gt;=Controls!$B$2,1,0)</f>
        <v>1</v>
      </c>
      <c r="AL30">
        <f t="shared" si="1"/>
        <v>0</v>
      </c>
    </row>
    <row r="31" spans="1:38" x14ac:dyDescent="0.2">
      <c r="I31">
        <f>Data!A241</f>
        <v>240</v>
      </c>
      <c r="J31">
        <f>Data!L241</f>
        <v>0</v>
      </c>
      <c r="K31">
        <f>IF($B$2="age",IF(Data!C241&lt;=$C$2,$F$2,$G$2),IF(Data!B241&lt;=$C$2,$F$2,$G$2))</f>
        <v>1</v>
      </c>
      <c r="L31">
        <f>IF($B$3="age",IF(Data!C241&lt;=$C$3,$F$3,$G$3),IF(Data!B241&lt;=$C$3,$F$3,$G$3))</f>
        <v>1</v>
      </c>
      <c r="M31">
        <f>IF($B$4="age",IF(Data!C241&lt;=$C$4,$F$4,$G$4),IF(Data!B241&lt;=$C$4,$F$4,$G$4))</f>
        <v>1</v>
      </c>
      <c r="N31">
        <f>IF($B$5="age",IF(Data!C241&lt;=$C$5,$F$5,$G$5),IF(Data!B241&lt;=$C$5,$F$5,$G$5))</f>
        <v>1</v>
      </c>
      <c r="O31">
        <f>IF($B$6="age",IF(Data!C241&lt;=$C$6,$F$6,$G$6),IF(Data!B241&lt;=$C$6,$F$6,$G$6))</f>
        <v>1</v>
      </c>
      <c r="P31">
        <f>IF($B$7="age",IF(Data!C241&lt;=$C$7,$F$7,$G$7),IF(Data!B241&lt;=$C$7,$F$7,$G$7))</f>
        <v>1</v>
      </c>
      <c r="Q31">
        <f>IF($B$8="age",IF(Data!C241&lt;=$C$8,$F$8,$G$8),IF(Data!B241&lt;=$C$8,$F$8,$G$8))</f>
        <v>1</v>
      </c>
      <c r="R31">
        <f>IF($B$9="age",IF(Data!C241&lt;=$C$9,$F$9,$G$9),IF(Data!B241&lt;=$C$9,$F$9,$G$9))</f>
        <v>1</v>
      </c>
      <c r="S31">
        <f>IF($B$10="age",IF(Data!C241&lt;=$C$10,$F$10,$G$10),IF(Data!B241&lt;=$C$10,$F$10,$G$10))</f>
        <v>1</v>
      </c>
      <c r="T31">
        <f>IF($B$11="age",IF(Data!C241&lt;=$C$11,$F$11,$G$11),IF(Data!B241&lt;=$C$11,$F$11,$G$11))</f>
        <v>1</v>
      </c>
      <c r="U31">
        <f>IF($B$12="age",IF(Data!C241&lt;=$C$12,$F$12,$G$12),IF(Data!B241&lt;=$C$12,$F$12,$G$12))</f>
        <v>1</v>
      </c>
      <c r="V31">
        <f>IF($B$13="age",IF(Data!C241&lt;=$C$13,$F$13,$G$13),IF(Data!B241&lt;=$C$13,$F$13,$G$13))</f>
        <v>1</v>
      </c>
      <c r="W31">
        <f>IF($B$14="age",IF(Data!C241&lt;=$C$14,$F$14,$G$14),IF(Data!B241&lt;=$C$14,$F$14,$G$14))</f>
        <v>1</v>
      </c>
      <c r="X31">
        <f>IF($B$15="age",IF(Data!C241&lt;=$C$15,$F$15,$G$15),IF(Data!B241&lt;=$C$15,$F$15,$G$15))</f>
        <v>1</v>
      </c>
      <c r="Y31">
        <f>IF($B$16="age",IF(Data!C241&lt;=$C$16,$F$16,$G$16),IF(Data!B241&lt;=$C$16,$F$16,$G$16))</f>
        <v>1</v>
      </c>
      <c r="Z31">
        <f>IF($B$17="age",IF(Data!C241&lt;=$C$17,$F$17,$G$17),IF(Data!B241&lt;=$C$17,$F$17,$G$17))</f>
        <v>0</v>
      </c>
      <c r="AA31">
        <f>IF($B$18="age",IF(Data!C241&lt;=$C$18,$F$18,$G$18),IF(Data!B241&lt;=$C$18,$F$18,$G$18))</f>
        <v>1</v>
      </c>
      <c r="AB31">
        <f>IF($B$19="age",IF(Data!C241&lt;=$C$19,$F$19,$G$19),IF(Data!B241&lt;=$C$19,$F$19,$G$19))</f>
        <v>1</v>
      </c>
      <c r="AC31">
        <f>IF($B$20="age",IF(Data!C241&lt;=$C$20,$F$20,$G$20),IF(Data!B241&lt;=$C$20,$F$20,$G$20))</f>
        <v>1</v>
      </c>
      <c r="AD31">
        <f>IF($B$21="age",IF(Data!C241&lt;=$C$21,$F$21,$G$21),IF(Data!B241&lt;=$C$21,$F$21,$G$21))</f>
        <v>0</v>
      </c>
      <c r="AE31">
        <f>IF($B$22="age",IF(Data!C241&lt;=$C$22,$F$22,$G$22),IF(Data!B241&lt;=$C$22,$F$22,$G$22))</f>
        <v>1</v>
      </c>
      <c r="AF31">
        <f>IF($B$23="age",IF(Data!C241&lt;=$C$23,$F$23,$G$23),IF(Data!B241&lt;=$C$23,$F$23,$G$23))</f>
        <v>1</v>
      </c>
      <c r="AG31">
        <f>IF($B$24="age",IF(Data!C241&lt;=$C$24,$F$24,$G$24),IF(Data!B241&lt;=$C$24,$F$24,$G$24))</f>
        <v>1</v>
      </c>
      <c r="AH31">
        <f>IF($B$25="age",IF(Data!C241&lt;=$C$25,$F$25,$G$25),IF(Data!B241&lt;=$C$25,$F$25,$G$25))</f>
        <v>1</v>
      </c>
      <c r="AI31">
        <f>IF($B$26="age",IF(Data!C241&lt;=$C$26,$F$26,$G$26),IF(Data!B241&lt;=$C$26,$F$26,$G$26))</f>
        <v>1</v>
      </c>
      <c r="AJ31">
        <f t="shared" si="0"/>
        <v>0.92</v>
      </c>
      <c r="AK31">
        <f>IF(AJ31&gt;=Controls!$B$2,1,0)</f>
        <v>1</v>
      </c>
      <c r="AL31">
        <f t="shared" si="1"/>
        <v>0</v>
      </c>
    </row>
    <row r="32" spans="1:38" x14ac:dyDescent="0.2">
      <c r="I32">
        <f>Data!A242</f>
        <v>241</v>
      </c>
      <c r="J32">
        <f>Data!L242</f>
        <v>0</v>
      </c>
      <c r="K32">
        <f>IF($B$2="age",IF(Data!C242&lt;=$C$2,$F$2,$G$2),IF(Data!B242&lt;=$C$2,$F$2,$G$2))</f>
        <v>0</v>
      </c>
      <c r="L32">
        <f>IF($B$3="age",IF(Data!C242&lt;=$C$3,$F$3,$G$3),IF(Data!B242&lt;=$C$3,$F$3,$G$3))</f>
        <v>1</v>
      </c>
      <c r="M32">
        <f>IF($B$4="age",IF(Data!C242&lt;=$C$4,$F$4,$G$4),IF(Data!B242&lt;=$C$4,$F$4,$G$4))</f>
        <v>1</v>
      </c>
      <c r="N32">
        <f>IF($B$5="age",IF(Data!C242&lt;=$C$5,$F$5,$G$5),IF(Data!B242&lt;=$C$5,$F$5,$G$5))</f>
        <v>1</v>
      </c>
      <c r="O32">
        <f>IF($B$6="age",IF(Data!C242&lt;=$C$6,$F$6,$G$6),IF(Data!B242&lt;=$C$6,$F$6,$G$6))</f>
        <v>1</v>
      </c>
      <c r="P32">
        <f>IF($B$7="age",IF(Data!C242&lt;=$C$7,$F$7,$G$7),IF(Data!B242&lt;=$C$7,$F$7,$G$7))</f>
        <v>1</v>
      </c>
      <c r="Q32">
        <f>IF($B$8="age",IF(Data!C242&lt;=$C$8,$F$8,$G$8),IF(Data!B242&lt;=$C$8,$F$8,$G$8))</f>
        <v>1</v>
      </c>
      <c r="R32">
        <f>IF($B$9="age",IF(Data!C242&lt;=$C$9,$F$9,$G$9),IF(Data!B242&lt;=$C$9,$F$9,$G$9))</f>
        <v>1</v>
      </c>
      <c r="S32">
        <f>IF($B$10="age",IF(Data!C242&lt;=$C$10,$F$10,$G$10),IF(Data!B242&lt;=$C$10,$F$10,$G$10))</f>
        <v>1</v>
      </c>
      <c r="T32">
        <f>IF($B$11="age",IF(Data!C242&lt;=$C$11,$F$11,$G$11),IF(Data!B242&lt;=$C$11,$F$11,$G$11))</f>
        <v>1</v>
      </c>
      <c r="U32">
        <f>IF($B$12="age",IF(Data!C242&lt;=$C$12,$F$12,$G$12),IF(Data!B242&lt;=$C$12,$F$12,$G$12))</f>
        <v>1</v>
      </c>
      <c r="V32">
        <f>IF($B$13="age",IF(Data!C242&lt;=$C$13,$F$13,$G$13),IF(Data!B242&lt;=$C$13,$F$13,$G$13))</f>
        <v>1</v>
      </c>
      <c r="W32">
        <f>IF($B$14="age",IF(Data!C242&lt;=$C$14,$F$14,$G$14),IF(Data!B242&lt;=$C$14,$F$14,$G$14))</f>
        <v>1</v>
      </c>
      <c r="X32">
        <f>IF($B$15="age",IF(Data!C242&lt;=$C$15,$F$15,$G$15),IF(Data!B242&lt;=$C$15,$F$15,$G$15))</f>
        <v>1</v>
      </c>
      <c r="Y32">
        <f>IF($B$16="age",IF(Data!C242&lt;=$C$16,$F$16,$G$16),IF(Data!B242&lt;=$C$16,$F$16,$G$16))</f>
        <v>1</v>
      </c>
      <c r="Z32">
        <f>IF($B$17="age",IF(Data!C242&lt;=$C$17,$F$17,$G$17),IF(Data!B242&lt;=$C$17,$F$17,$G$17))</f>
        <v>1</v>
      </c>
      <c r="AA32">
        <f>IF($B$18="age",IF(Data!C242&lt;=$C$18,$F$18,$G$18),IF(Data!B242&lt;=$C$18,$F$18,$G$18))</f>
        <v>1</v>
      </c>
      <c r="AB32">
        <f>IF($B$19="age",IF(Data!C242&lt;=$C$19,$F$19,$G$19),IF(Data!B242&lt;=$C$19,$F$19,$G$19))</f>
        <v>1</v>
      </c>
      <c r="AC32">
        <f>IF($B$20="age",IF(Data!C242&lt;=$C$20,$F$20,$G$20),IF(Data!B242&lt;=$C$20,$F$20,$G$20))</f>
        <v>1</v>
      </c>
      <c r="AD32">
        <f>IF($B$21="age",IF(Data!C242&lt;=$C$21,$F$21,$G$21),IF(Data!B242&lt;=$C$21,$F$21,$G$21))</f>
        <v>1</v>
      </c>
      <c r="AE32">
        <f>IF($B$22="age",IF(Data!C242&lt;=$C$22,$F$22,$G$22),IF(Data!B242&lt;=$C$22,$F$22,$G$22))</f>
        <v>1</v>
      </c>
      <c r="AF32">
        <f>IF($B$23="age",IF(Data!C242&lt;=$C$23,$F$23,$G$23),IF(Data!B242&lt;=$C$23,$F$23,$G$23))</f>
        <v>1</v>
      </c>
      <c r="AG32">
        <f>IF($B$24="age",IF(Data!C242&lt;=$C$24,$F$24,$G$24),IF(Data!B242&lt;=$C$24,$F$24,$G$24))</f>
        <v>1</v>
      </c>
      <c r="AH32">
        <f>IF($B$25="age",IF(Data!C242&lt;=$C$25,$F$25,$G$25),IF(Data!B242&lt;=$C$25,$F$25,$G$25))</f>
        <v>1</v>
      </c>
      <c r="AI32">
        <f>IF($B$26="age",IF(Data!C242&lt;=$C$26,$F$26,$G$26),IF(Data!B242&lt;=$C$26,$F$26,$G$26))</f>
        <v>1</v>
      </c>
      <c r="AJ32">
        <f t="shared" si="0"/>
        <v>0.96</v>
      </c>
      <c r="AK32">
        <f>IF(AJ32&gt;=Controls!$B$2,1,0)</f>
        <v>1</v>
      </c>
      <c r="AL32">
        <f t="shared" si="1"/>
        <v>0</v>
      </c>
    </row>
    <row r="33" spans="9:38" x14ac:dyDescent="0.2">
      <c r="I33">
        <f>Data!A243</f>
        <v>242</v>
      </c>
      <c r="J33">
        <f>Data!L243</f>
        <v>1</v>
      </c>
      <c r="K33">
        <f>IF($B$2="age",IF(Data!C243&lt;=$C$2,$F$2,$G$2),IF(Data!B243&lt;=$C$2,$F$2,$G$2))</f>
        <v>0</v>
      </c>
      <c r="L33">
        <f>IF($B$3="age",IF(Data!C243&lt;=$C$3,$F$3,$G$3),IF(Data!B243&lt;=$C$3,$F$3,$G$3))</f>
        <v>1</v>
      </c>
      <c r="M33">
        <f>IF($B$4="age",IF(Data!C243&lt;=$C$4,$F$4,$G$4),IF(Data!B243&lt;=$C$4,$F$4,$G$4))</f>
        <v>1</v>
      </c>
      <c r="N33">
        <f>IF($B$5="age",IF(Data!C243&lt;=$C$5,$F$5,$G$5),IF(Data!B243&lt;=$C$5,$F$5,$G$5))</f>
        <v>1</v>
      </c>
      <c r="O33">
        <f>IF($B$6="age",IF(Data!C243&lt;=$C$6,$F$6,$G$6),IF(Data!B243&lt;=$C$6,$F$6,$G$6))</f>
        <v>1</v>
      </c>
      <c r="P33">
        <f>IF($B$7="age",IF(Data!C243&lt;=$C$7,$F$7,$G$7),IF(Data!B243&lt;=$C$7,$F$7,$G$7))</f>
        <v>1</v>
      </c>
      <c r="Q33">
        <f>IF($B$8="age",IF(Data!C243&lt;=$C$8,$F$8,$G$8),IF(Data!B243&lt;=$C$8,$F$8,$G$8))</f>
        <v>1</v>
      </c>
      <c r="R33">
        <f>IF($B$9="age",IF(Data!C243&lt;=$C$9,$F$9,$G$9),IF(Data!B243&lt;=$C$9,$F$9,$G$9))</f>
        <v>1</v>
      </c>
      <c r="S33">
        <f>IF($B$10="age",IF(Data!C243&lt;=$C$10,$F$10,$G$10),IF(Data!B243&lt;=$C$10,$F$10,$G$10))</f>
        <v>0</v>
      </c>
      <c r="T33">
        <f>IF($B$11="age",IF(Data!C243&lt;=$C$11,$F$11,$G$11),IF(Data!B243&lt;=$C$11,$F$11,$G$11))</f>
        <v>0</v>
      </c>
      <c r="U33">
        <f>IF($B$12="age",IF(Data!C243&lt;=$C$12,$F$12,$G$12),IF(Data!B243&lt;=$C$12,$F$12,$G$12))</f>
        <v>1</v>
      </c>
      <c r="V33">
        <f>IF($B$13="age",IF(Data!C243&lt;=$C$13,$F$13,$G$13),IF(Data!B243&lt;=$C$13,$F$13,$G$13))</f>
        <v>1</v>
      </c>
      <c r="W33">
        <f>IF($B$14="age",IF(Data!C243&lt;=$C$14,$F$14,$G$14),IF(Data!B243&lt;=$C$14,$F$14,$G$14))</f>
        <v>1</v>
      </c>
      <c r="X33">
        <f>IF($B$15="age",IF(Data!C243&lt;=$C$15,$F$15,$G$15),IF(Data!B243&lt;=$C$15,$F$15,$G$15))</f>
        <v>1</v>
      </c>
      <c r="Y33">
        <f>IF($B$16="age",IF(Data!C243&lt;=$C$16,$F$16,$G$16),IF(Data!B243&lt;=$C$16,$F$16,$G$16))</f>
        <v>1</v>
      </c>
      <c r="Z33">
        <f>IF($B$17="age",IF(Data!C243&lt;=$C$17,$F$17,$G$17),IF(Data!B243&lt;=$C$17,$F$17,$G$17))</f>
        <v>0</v>
      </c>
      <c r="AA33">
        <f>IF($B$18="age",IF(Data!C243&lt;=$C$18,$F$18,$G$18),IF(Data!B243&lt;=$C$18,$F$18,$G$18))</f>
        <v>1</v>
      </c>
      <c r="AB33">
        <f>IF($B$19="age",IF(Data!C243&lt;=$C$19,$F$19,$G$19),IF(Data!B243&lt;=$C$19,$F$19,$G$19))</f>
        <v>1</v>
      </c>
      <c r="AC33">
        <f>IF($B$20="age",IF(Data!C243&lt;=$C$20,$F$20,$G$20),IF(Data!B243&lt;=$C$20,$F$20,$G$20))</f>
        <v>1</v>
      </c>
      <c r="AD33">
        <f>IF($B$21="age",IF(Data!C243&lt;=$C$21,$F$21,$G$21),IF(Data!B243&lt;=$C$21,$F$21,$G$21))</f>
        <v>0</v>
      </c>
      <c r="AE33">
        <f>IF($B$22="age",IF(Data!C243&lt;=$C$22,$F$22,$G$22),IF(Data!B243&lt;=$C$22,$F$22,$G$22))</f>
        <v>1</v>
      </c>
      <c r="AF33">
        <f>IF($B$23="age",IF(Data!C243&lt;=$C$23,$F$23,$G$23),IF(Data!B243&lt;=$C$23,$F$23,$G$23))</f>
        <v>1</v>
      </c>
      <c r="AG33">
        <f>IF($B$24="age",IF(Data!C243&lt;=$C$24,$F$24,$G$24),IF(Data!B243&lt;=$C$24,$F$24,$G$24))</f>
        <v>1</v>
      </c>
      <c r="AH33">
        <f>IF($B$25="age",IF(Data!C243&lt;=$C$25,$F$25,$G$25),IF(Data!B243&lt;=$C$25,$F$25,$G$25))</f>
        <v>1</v>
      </c>
      <c r="AI33">
        <f>IF($B$26="age",IF(Data!C243&lt;=$C$26,$F$26,$G$26),IF(Data!B243&lt;=$C$26,$F$26,$G$26))</f>
        <v>1</v>
      </c>
      <c r="AJ33">
        <f t="shared" si="0"/>
        <v>0.8</v>
      </c>
      <c r="AK33">
        <f>IF(AJ33&gt;=Controls!$B$2,1,0)</f>
        <v>1</v>
      </c>
      <c r="AL33">
        <f t="shared" si="1"/>
        <v>1</v>
      </c>
    </row>
    <row r="34" spans="9:38" x14ac:dyDescent="0.2">
      <c r="I34">
        <f>Data!A244</f>
        <v>243</v>
      </c>
      <c r="J34">
        <f>Data!L244</f>
        <v>0</v>
      </c>
      <c r="K34">
        <f>IF($B$2="age",IF(Data!C244&lt;=$C$2,$F$2,$G$2),IF(Data!B244&lt;=$C$2,$F$2,$G$2))</f>
        <v>0</v>
      </c>
      <c r="L34">
        <f>IF($B$3="age",IF(Data!C244&lt;=$C$3,$F$3,$G$3),IF(Data!B244&lt;=$C$3,$F$3,$G$3))</f>
        <v>1</v>
      </c>
      <c r="M34">
        <f>IF($B$4="age",IF(Data!C244&lt;=$C$4,$F$4,$G$4),IF(Data!B244&lt;=$C$4,$F$4,$G$4))</f>
        <v>1</v>
      </c>
      <c r="N34">
        <f>IF($B$5="age",IF(Data!C244&lt;=$C$5,$F$5,$G$5),IF(Data!B244&lt;=$C$5,$F$5,$G$5))</f>
        <v>1</v>
      </c>
      <c r="O34">
        <f>IF($B$6="age",IF(Data!C244&lt;=$C$6,$F$6,$G$6),IF(Data!B244&lt;=$C$6,$F$6,$G$6))</f>
        <v>0</v>
      </c>
      <c r="P34">
        <f>IF($B$7="age",IF(Data!C244&lt;=$C$7,$F$7,$G$7),IF(Data!B244&lt;=$C$7,$F$7,$G$7))</f>
        <v>1</v>
      </c>
      <c r="Q34">
        <f>IF($B$8="age",IF(Data!C244&lt;=$C$8,$F$8,$G$8),IF(Data!B244&lt;=$C$8,$F$8,$G$8))</f>
        <v>1</v>
      </c>
      <c r="R34">
        <f>IF($B$9="age",IF(Data!C244&lt;=$C$9,$F$9,$G$9),IF(Data!B244&lt;=$C$9,$F$9,$G$9))</f>
        <v>1</v>
      </c>
      <c r="S34">
        <f>IF($B$10="age",IF(Data!C244&lt;=$C$10,$F$10,$G$10),IF(Data!B244&lt;=$C$10,$F$10,$G$10))</f>
        <v>0</v>
      </c>
      <c r="T34">
        <f>IF($B$11="age",IF(Data!C244&lt;=$C$11,$F$11,$G$11),IF(Data!B244&lt;=$C$11,$F$11,$G$11))</f>
        <v>0</v>
      </c>
      <c r="U34">
        <f>IF($B$12="age",IF(Data!C244&lt;=$C$12,$F$12,$G$12),IF(Data!B244&lt;=$C$12,$F$12,$G$12))</f>
        <v>1</v>
      </c>
      <c r="V34">
        <f>IF($B$13="age",IF(Data!C244&lt;=$C$13,$F$13,$G$13),IF(Data!B244&lt;=$C$13,$F$13,$G$13))</f>
        <v>1</v>
      </c>
      <c r="W34">
        <f>IF($B$14="age",IF(Data!C244&lt;=$C$14,$F$14,$G$14),IF(Data!B244&lt;=$C$14,$F$14,$G$14))</f>
        <v>0</v>
      </c>
      <c r="X34">
        <f>IF($B$15="age",IF(Data!C244&lt;=$C$15,$F$15,$G$15),IF(Data!B244&lt;=$C$15,$F$15,$G$15))</f>
        <v>1</v>
      </c>
      <c r="Y34">
        <f>IF($B$16="age",IF(Data!C244&lt;=$C$16,$F$16,$G$16),IF(Data!B244&lt;=$C$16,$F$16,$G$16))</f>
        <v>1</v>
      </c>
      <c r="Z34">
        <f>IF($B$17="age",IF(Data!C244&lt;=$C$17,$F$17,$G$17),IF(Data!B244&lt;=$C$17,$F$17,$G$17))</f>
        <v>0</v>
      </c>
      <c r="AA34">
        <f>IF($B$18="age",IF(Data!C244&lt;=$C$18,$F$18,$G$18),IF(Data!B244&lt;=$C$18,$F$18,$G$18))</f>
        <v>1</v>
      </c>
      <c r="AB34">
        <f>IF($B$19="age",IF(Data!C244&lt;=$C$19,$F$19,$G$19),IF(Data!B244&lt;=$C$19,$F$19,$G$19))</f>
        <v>1</v>
      </c>
      <c r="AC34">
        <f>IF($B$20="age",IF(Data!C244&lt;=$C$20,$F$20,$G$20),IF(Data!B244&lt;=$C$20,$F$20,$G$20))</f>
        <v>1</v>
      </c>
      <c r="AD34">
        <f>IF($B$21="age",IF(Data!C244&lt;=$C$21,$F$21,$G$21),IF(Data!B244&lt;=$C$21,$F$21,$G$21))</f>
        <v>0</v>
      </c>
      <c r="AE34">
        <f>IF($B$22="age",IF(Data!C244&lt;=$C$22,$F$22,$G$22),IF(Data!B244&lt;=$C$22,$F$22,$G$22))</f>
        <v>0</v>
      </c>
      <c r="AF34">
        <f>IF($B$23="age",IF(Data!C244&lt;=$C$23,$F$23,$G$23),IF(Data!B244&lt;=$C$23,$F$23,$G$23))</f>
        <v>1</v>
      </c>
      <c r="AG34">
        <f>IF($B$24="age",IF(Data!C244&lt;=$C$24,$F$24,$G$24),IF(Data!B244&lt;=$C$24,$F$24,$G$24))</f>
        <v>1</v>
      </c>
      <c r="AH34">
        <f>IF($B$25="age",IF(Data!C244&lt;=$C$25,$F$25,$G$25),IF(Data!B244&lt;=$C$25,$F$25,$G$25))</f>
        <v>1</v>
      </c>
      <c r="AI34">
        <f>IF($B$26="age",IF(Data!C244&lt;=$C$26,$F$26,$G$26),IF(Data!B244&lt;=$C$26,$F$26,$G$26))</f>
        <v>1</v>
      </c>
      <c r="AJ34">
        <f t="shared" ref="AJ34:AJ65" si="2">AVERAGE(K34:AI34)</f>
        <v>0.68</v>
      </c>
      <c r="AK34">
        <f>IF(AJ34&gt;=Controls!$B$2,1,0)</f>
        <v>1</v>
      </c>
      <c r="AL34">
        <f t="shared" ref="AL34:AL65" si="3">--(AK34=J34)</f>
        <v>0</v>
      </c>
    </row>
    <row r="35" spans="9:38" x14ac:dyDescent="0.2">
      <c r="I35">
        <f>Data!A245</f>
        <v>244</v>
      </c>
      <c r="J35">
        <f>Data!L245</f>
        <v>1</v>
      </c>
      <c r="K35">
        <f>IF($B$2="age",IF(Data!C245&lt;=$C$2,$F$2,$G$2),IF(Data!B245&lt;=$C$2,$F$2,$G$2))</f>
        <v>0</v>
      </c>
      <c r="L35">
        <f>IF($B$3="age",IF(Data!C245&lt;=$C$3,$F$3,$G$3),IF(Data!B245&lt;=$C$3,$F$3,$G$3))</f>
        <v>1</v>
      </c>
      <c r="M35">
        <f>IF($B$4="age",IF(Data!C245&lt;=$C$4,$F$4,$G$4),IF(Data!B245&lt;=$C$4,$F$4,$G$4))</f>
        <v>1</v>
      </c>
      <c r="N35">
        <f>IF($B$5="age",IF(Data!C245&lt;=$C$5,$F$5,$G$5),IF(Data!B245&lt;=$C$5,$F$5,$G$5))</f>
        <v>0</v>
      </c>
      <c r="O35">
        <f>IF($B$6="age",IF(Data!C245&lt;=$C$6,$F$6,$G$6),IF(Data!B245&lt;=$C$6,$F$6,$G$6))</f>
        <v>0</v>
      </c>
      <c r="P35">
        <f>IF($B$7="age",IF(Data!C245&lt;=$C$7,$F$7,$G$7),IF(Data!B245&lt;=$C$7,$F$7,$G$7))</f>
        <v>1</v>
      </c>
      <c r="Q35">
        <f>IF($B$8="age",IF(Data!C245&lt;=$C$8,$F$8,$G$8),IF(Data!B245&lt;=$C$8,$F$8,$G$8))</f>
        <v>1</v>
      </c>
      <c r="R35">
        <f>IF($B$9="age",IF(Data!C245&lt;=$C$9,$F$9,$G$9),IF(Data!B245&lt;=$C$9,$F$9,$G$9))</f>
        <v>0</v>
      </c>
      <c r="S35">
        <f>IF($B$10="age",IF(Data!C245&lt;=$C$10,$F$10,$G$10),IF(Data!B245&lt;=$C$10,$F$10,$G$10))</f>
        <v>0</v>
      </c>
      <c r="T35">
        <f>IF($B$11="age",IF(Data!C245&lt;=$C$11,$F$11,$G$11),IF(Data!B245&lt;=$C$11,$F$11,$G$11))</f>
        <v>0</v>
      </c>
      <c r="U35">
        <f>IF($B$12="age",IF(Data!C245&lt;=$C$12,$F$12,$G$12),IF(Data!B245&lt;=$C$12,$F$12,$G$12))</f>
        <v>1</v>
      </c>
      <c r="V35">
        <f>IF($B$13="age",IF(Data!C245&lt;=$C$13,$F$13,$G$13),IF(Data!B245&lt;=$C$13,$F$13,$G$13))</f>
        <v>0</v>
      </c>
      <c r="W35">
        <f>IF($B$14="age",IF(Data!C245&lt;=$C$14,$F$14,$G$14),IF(Data!B245&lt;=$C$14,$F$14,$G$14))</f>
        <v>0</v>
      </c>
      <c r="X35">
        <f>IF($B$15="age",IF(Data!C245&lt;=$C$15,$F$15,$G$15),IF(Data!B245&lt;=$C$15,$F$15,$G$15))</f>
        <v>1</v>
      </c>
      <c r="Y35">
        <f>IF($B$16="age",IF(Data!C245&lt;=$C$16,$F$16,$G$16),IF(Data!B245&lt;=$C$16,$F$16,$G$16))</f>
        <v>1</v>
      </c>
      <c r="Z35">
        <f>IF($B$17="age",IF(Data!C245&lt;=$C$17,$F$17,$G$17),IF(Data!B245&lt;=$C$17,$F$17,$G$17))</f>
        <v>0</v>
      </c>
      <c r="AA35">
        <f>IF($B$18="age",IF(Data!C245&lt;=$C$18,$F$18,$G$18),IF(Data!B245&lt;=$C$18,$F$18,$G$18))</f>
        <v>1</v>
      </c>
      <c r="AB35">
        <f>IF($B$19="age",IF(Data!C245&lt;=$C$19,$F$19,$G$19),IF(Data!B245&lt;=$C$19,$F$19,$G$19))</f>
        <v>0</v>
      </c>
      <c r="AC35">
        <f>IF($B$20="age",IF(Data!C245&lt;=$C$20,$F$20,$G$20),IF(Data!B245&lt;=$C$20,$F$20,$G$20))</f>
        <v>1</v>
      </c>
      <c r="AD35">
        <f>IF($B$21="age",IF(Data!C245&lt;=$C$21,$F$21,$G$21),IF(Data!B245&lt;=$C$21,$F$21,$G$21))</f>
        <v>0</v>
      </c>
      <c r="AE35">
        <f>IF($B$22="age",IF(Data!C245&lt;=$C$22,$F$22,$G$22),IF(Data!B245&lt;=$C$22,$F$22,$G$22))</f>
        <v>0</v>
      </c>
      <c r="AF35">
        <f>IF($B$23="age",IF(Data!C245&lt;=$C$23,$F$23,$G$23),IF(Data!B245&lt;=$C$23,$F$23,$G$23))</f>
        <v>0</v>
      </c>
      <c r="AG35">
        <f>IF($B$24="age",IF(Data!C245&lt;=$C$24,$F$24,$G$24),IF(Data!B245&lt;=$C$24,$F$24,$G$24))</f>
        <v>1</v>
      </c>
      <c r="AH35">
        <f>IF($B$25="age",IF(Data!C245&lt;=$C$25,$F$25,$G$25),IF(Data!B245&lt;=$C$25,$F$25,$G$25))</f>
        <v>1</v>
      </c>
      <c r="AI35">
        <f>IF($B$26="age",IF(Data!C245&lt;=$C$26,$F$26,$G$26),IF(Data!B245&lt;=$C$26,$F$26,$G$26))</f>
        <v>1</v>
      </c>
      <c r="AJ35">
        <f t="shared" si="2"/>
        <v>0.48</v>
      </c>
      <c r="AK35">
        <f>IF(AJ35&gt;=Controls!$B$2,1,0)</f>
        <v>0</v>
      </c>
      <c r="AL35">
        <f t="shared" si="3"/>
        <v>0</v>
      </c>
    </row>
    <row r="36" spans="9:38" x14ac:dyDescent="0.2">
      <c r="I36">
        <f>Data!A246</f>
        <v>245</v>
      </c>
      <c r="J36">
        <f>Data!L246</f>
        <v>1</v>
      </c>
      <c r="K36">
        <f>IF($B$2="age",IF(Data!C246&lt;=$C$2,$F$2,$G$2),IF(Data!B246&lt;=$C$2,$F$2,$G$2))</f>
        <v>0</v>
      </c>
      <c r="L36">
        <f>IF($B$3="age",IF(Data!C246&lt;=$C$3,$F$3,$G$3),IF(Data!B246&lt;=$C$3,$F$3,$G$3))</f>
        <v>1</v>
      </c>
      <c r="M36">
        <f>IF($B$4="age",IF(Data!C246&lt;=$C$4,$F$4,$G$4),IF(Data!B246&lt;=$C$4,$F$4,$G$4))</f>
        <v>1</v>
      </c>
      <c r="N36">
        <f>IF($B$5="age",IF(Data!C246&lt;=$C$5,$F$5,$G$5),IF(Data!B246&lt;=$C$5,$F$5,$G$5))</f>
        <v>1</v>
      </c>
      <c r="O36">
        <f>IF($B$6="age",IF(Data!C246&lt;=$C$6,$F$6,$G$6),IF(Data!B246&lt;=$C$6,$F$6,$G$6))</f>
        <v>0</v>
      </c>
      <c r="P36">
        <f>IF($B$7="age",IF(Data!C246&lt;=$C$7,$F$7,$G$7),IF(Data!B246&lt;=$C$7,$F$7,$G$7))</f>
        <v>1</v>
      </c>
      <c r="Q36">
        <f>IF($B$8="age",IF(Data!C246&lt;=$C$8,$F$8,$G$8),IF(Data!B246&lt;=$C$8,$F$8,$G$8))</f>
        <v>1</v>
      </c>
      <c r="R36">
        <f>IF($B$9="age",IF(Data!C246&lt;=$C$9,$F$9,$G$9),IF(Data!B246&lt;=$C$9,$F$9,$G$9))</f>
        <v>1</v>
      </c>
      <c r="S36">
        <f>IF($B$10="age",IF(Data!C246&lt;=$C$10,$F$10,$G$10),IF(Data!B246&lt;=$C$10,$F$10,$G$10))</f>
        <v>0</v>
      </c>
      <c r="T36">
        <f>IF($B$11="age",IF(Data!C246&lt;=$C$11,$F$11,$G$11),IF(Data!B246&lt;=$C$11,$F$11,$G$11))</f>
        <v>0</v>
      </c>
      <c r="U36">
        <f>IF($B$12="age",IF(Data!C246&lt;=$C$12,$F$12,$G$12),IF(Data!B246&lt;=$C$12,$F$12,$G$12))</f>
        <v>1</v>
      </c>
      <c r="V36">
        <f>IF($B$13="age",IF(Data!C246&lt;=$C$13,$F$13,$G$13),IF(Data!B246&lt;=$C$13,$F$13,$G$13))</f>
        <v>1</v>
      </c>
      <c r="W36">
        <f>IF($B$14="age",IF(Data!C246&lt;=$C$14,$F$14,$G$14),IF(Data!B246&lt;=$C$14,$F$14,$G$14))</f>
        <v>0</v>
      </c>
      <c r="X36">
        <f>IF($B$15="age",IF(Data!C246&lt;=$C$15,$F$15,$G$15),IF(Data!B246&lt;=$C$15,$F$15,$G$15))</f>
        <v>1</v>
      </c>
      <c r="Y36">
        <f>IF($B$16="age",IF(Data!C246&lt;=$C$16,$F$16,$G$16),IF(Data!B246&lt;=$C$16,$F$16,$G$16))</f>
        <v>1</v>
      </c>
      <c r="Z36">
        <f>IF($B$17="age",IF(Data!C246&lt;=$C$17,$F$17,$G$17),IF(Data!B246&lt;=$C$17,$F$17,$G$17))</f>
        <v>0</v>
      </c>
      <c r="AA36">
        <f>IF($B$18="age",IF(Data!C246&lt;=$C$18,$F$18,$G$18),IF(Data!B246&lt;=$C$18,$F$18,$G$18))</f>
        <v>1</v>
      </c>
      <c r="AB36">
        <f>IF($B$19="age",IF(Data!C246&lt;=$C$19,$F$19,$G$19),IF(Data!B246&lt;=$C$19,$F$19,$G$19))</f>
        <v>1</v>
      </c>
      <c r="AC36">
        <f>IF($B$20="age",IF(Data!C246&lt;=$C$20,$F$20,$G$20),IF(Data!B246&lt;=$C$20,$F$20,$G$20))</f>
        <v>1</v>
      </c>
      <c r="AD36">
        <f>IF($B$21="age",IF(Data!C246&lt;=$C$21,$F$21,$G$21),IF(Data!B246&lt;=$C$21,$F$21,$G$21))</f>
        <v>0</v>
      </c>
      <c r="AE36">
        <f>IF($B$22="age",IF(Data!C246&lt;=$C$22,$F$22,$G$22),IF(Data!B246&lt;=$C$22,$F$22,$G$22))</f>
        <v>0</v>
      </c>
      <c r="AF36">
        <f>IF($B$23="age",IF(Data!C246&lt;=$C$23,$F$23,$G$23),IF(Data!B246&lt;=$C$23,$F$23,$G$23))</f>
        <v>1</v>
      </c>
      <c r="AG36">
        <f>IF($B$24="age",IF(Data!C246&lt;=$C$24,$F$24,$G$24),IF(Data!B246&lt;=$C$24,$F$24,$G$24))</f>
        <v>0</v>
      </c>
      <c r="AH36">
        <f>IF($B$25="age",IF(Data!C246&lt;=$C$25,$F$25,$G$25),IF(Data!B246&lt;=$C$25,$F$25,$G$25))</f>
        <v>1</v>
      </c>
      <c r="AI36">
        <f>IF($B$26="age",IF(Data!C246&lt;=$C$26,$F$26,$G$26),IF(Data!B246&lt;=$C$26,$F$26,$G$26))</f>
        <v>1</v>
      </c>
      <c r="AJ36">
        <f t="shared" si="2"/>
        <v>0.64</v>
      </c>
      <c r="AK36">
        <f>IF(AJ36&gt;=Controls!$B$2,1,0)</f>
        <v>1</v>
      </c>
      <c r="AL36">
        <f t="shared" si="3"/>
        <v>1</v>
      </c>
    </row>
    <row r="37" spans="9:38" x14ac:dyDescent="0.2">
      <c r="I37">
        <f>Data!A247</f>
        <v>246</v>
      </c>
      <c r="J37">
        <f>Data!L247</f>
        <v>0</v>
      </c>
      <c r="K37">
        <f>IF($B$2="age",IF(Data!C247&lt;=$C$2,$F$2,$G$2),IF(Data!B247&lt;=$C$2,$F$2,$G$2))</f>
        <v>0</v>
      </c>
      <c r="L37">
        <f>IF($B$3="age",IF(Data!C247&lt;=$C$3,$F$3,$G$3),IF(Data!B247&lt;=$C$3,$F$3,$G$3))</f>
        <v>1</v>
      </c>
      <c r="M37">
        <f>IF($B$4="age",IF(Data!C247&lt;=$C$4,$F$4,$G$4),IF(Data!B247&lt;=$C$4,$F$4,$G$4))</f>
        <v>1</v>
      </c>
      <c r="N37">
        <f>IF($B$5="age",IF(Data!C247&lt;=$C$5,$F$5,$G$5),IF(Data!B247&lt;=$C$5,$F$5,$G$5))</f>
        <v>1</v>
      </c>
      <c r="O37">
        <f>IF($B$6="age",IF(Data!C247&lt;=$C$6,$F$6,$G$6),IF(Data!B247&lt;=$C$6,$F$6,$G$6))</f>
        <v>0</v>
      </c>
      <c r="P37">
        <f>IF($B$7="age",IF(Data!C247&lt;=$C$7,$F$7,$G$7),IF(Data!B247&lt;=$C$7,$F$7,$G$7))</f>
        <v>1</v>
      </c>
      <c r="Q37">
        <f>IF($B$8="age",IF(Data!C247&lt;=$C$8,$F$8,$G$8),IF(Data!B247&lt;=$C$8,$F$8,$G$8))</f>
        <v>1</v>
      </c>
      <c r="R37">
        <f>IF($B$9="age",IF(Data!C247&lt;=$C$9,$F$9,$G$9),IF(Data!B247&lt;=$C$9,$F$9,$G$9))</f>
        <v>1</v>
      </c>
      <c r="S37">
        <f>IF($B$10="age",IF(Data!C247&lt;=$C$10,$F$10,$G$10),IF(Data!B247&lt;=$C$10,$F$10,$G$10))</f>
        <v>0</v>
      </c>
      <c r="T37">
        <f>IF($B$11="age",IF(Data!C247&lt;=$C$11,$F$11,$G$11),IF(Data!B247&lt;=$C$11,$F$11,$G$11))</f>
        <v>1</v>
      </c>
      <c r="U37">
        <f>IF($B$12="age",IF(Data!C247&lt;=$C$12,$F$12,$G$12),IF(Data!B247&lt;=$C$12,$F$12,$G$12))</f>
        <v>1</v>
      </c>
      <c r="V37">
        <f>IF($B$13="age",IF(Data!C247&lt;=$C$13,$F$13,$G$13),IF(Data!B247&lt;=$C$13,$F$13,$G$13))</f>
        <v>1</v>
      </c>
      <c r="W37">
        <f>IF($B$14="age",IF(Data!C247&lt;=$C$14,$F$14,$G$14),IF(Data!B247&lt;=$C$14,$F$14,$G$14))</f>
        <v>0</v>
      </c>
      <c r="X37">
        <f>IF($B$15="age",IF(Data!C247&lt;=$C$15,$F$15,$G$15),IF(Data!B247&lt;=$C$15,$F$15,$G$15))</f>
        <v>1</v>
      </c>
      <c r="Y37">
        <f>IF($B$16="age",IF(Data!C247&lt;=$C$16,$F$16,$G$16),IF(Data!B247&lt;=$C$16,$F$16,$G$16))</f>
        <v>1</v>
      </c>
      <c r="Z37">
        <f>IF($B$17="age",IF(Data!C247&lt;=$C$17,$F$17,$G$17),IF(Data!B247&lt;=$C$17,$F$17,$G$17))</f>
        <v>0</v>
      </c>
      <c r="AA37">
        <f>IF($B$18="age",IF(Data!C247&lt;=$C$18,$F$18,$G$18),IF(Data!B247&lt;=$C$18,$F$18,$G$18))</f>
        <v>1</v>
      </c>
      <c r="AB37">
        <f>IF($B$19="age",IF(Data!C247&lt;=$C$19,$F$19,$G$19),IF(Data!B247&lt;=$C$19,$F$19,$G$19))</f>
        <v>1</v>
      </c>
      <c r="AC37">
        <f>IF($B$20="age",IF(Data!C247&lt;=$C$20,$F$20,$G$20),IF(Data!B247&lt;=$C$20,$F$20,$G$20))</f>
        <v>1</v>
      </c>
      <c r="AD37">
        <f>IF($B$21="age",IF(Data!C247&lt;=$C$21,$F$21,$G$21),IF(Data!B247&lt;=$C$21,$F$21,$G$21))</f>
        <v>0</v>
      </c>
      <c r="AE37">
        <f>IF($B$22="age",IF(Data!C247&lt;=$C$22,$F$22,$G$22),IF(Data!B247&lt;=$C$22,$F$22,$G$22))</f>
        <v>0</v>
      </c>
      <c r="AF37">
        <f>IF($B$23="age",IF(Data!C247&lt;=$C$23,$F$23,$G$23),IF(Data!B247&lt;=$C$23,$F$23,$G$23))</f>
        <v>1</v>
      </c>
      <c r="AG37">
        <f>IF($B$24="age",IF(Data!C247&lt;=$C$24,$F$24,$G$24),IF(Data!B247&lt;=$C$24,$F$24,$G$24))</f>
        <v>0</v>
      </c>
      <c r="AH37">
        <f>IF($B$25="age",IF(Data!C247&lt;=$C$25,$F$25,$G$25),IF(Data!B247&lt;=$C$25,$F$25,$G$25))</f>
        <v>1</v>
      </c>
      <c r="AI37">
        <f>IF($B$26="age",IF(Data!C247&lt;=$C$26,$F$26,$G$26),IF(Data!B247&lt;=$C$26,$F$26,$G$26))</f>
        <v>1</v>
      </c>
      <c r="AJ37">
        <f t="shared" si="2"/>
        <v>0.68</v>
      </c>
      <c r="AK37">
        <f>IF(AJ37&gt;=Controls!$B$2,1,0)</f>
        <v>1</v>
      </c>
      <c r="AL37">
        <f t="shared" si="3"/>
        <v>0</v>
      </c>
    </row>
    <row r="38" spans="9:38" x14ac:dyDescent="0.2">
      <c r="I38">
        <f>Data!A248</f>
        <v>247</v>
      </c>
      <c r="J38">
        <f>Data!L248</f>
        <v>0</v>
      </c>
      <c r="K38">
        <f>IF($B$2="age",IF(Data!C248&lt;=$C$2,$F$2,$G$2),IF(Data!B248&lt;=$C$2,$F$2,$G$2))</f>
        <v>0</v>
      </c>
      <c r="L38">
        <f>IF($B$3="age",IF(Data!C248&lt;=$C$3,$F$3,$G$3),IF(Data!B248&lt;=$C$3,$F$3,$G$3))</f>
        <v>1</v>
      </c>
      <c r="M38">
        <f>IF($B$4="age",IF(Data!C248&lt;=$C$4,$F$4,$G$4),IF(Data!B248&lt;=$C$4,$F$4,$G$4))</f>
        <v>1</v>
      </c>
      <c r="N38">
        <f>IF($B$5="age",IF(Data!C248&lt;=$C$5,$F$5,$G$5),IF(Data!B248&lt;=$C$5,$F$5,$G$5))</f>
        <v>0</v>
      </c>
      <c r="O38">
        <f>IF($B$6="age",IF(Data!C248&lt;=$C$6,$F$6,$G$6),IF(Data!B248&lt;=$C$6,$F$6,$G$6))</f>
        <v>0</v>
      </c>
      <c r="P38">
        <f>IF($B$7="age",IF(Data!C248&lt;=$C$7,$F$7,$G$7),IF(Data!B248&lt;=$C$7,$F$7,$G$7))</f>
        <v>1</v>
      </c>
      <c r="Q38">
        <f>IF($B$8="age",IF(Data!C248&lt;=$C$8,$F$8,$G$8),IF(Data!B248&lt;=$C$8,$F$8,$G$8))</f>
        <v>1</v>
      </c>
      <c r="R38">
        <f>IF($B$9="age",IF(Data!C248&lt;=$C$9,$F$9,$G$9),IF(Data!B248&lt;=$C$9,$F$9,$G$9))</f>
        <v>0</v>
      </c>
      <c r="S38">
        <f>IF($B$10="age",IF(Data!C248&lt;=$C$10,$F$10,$G$10),IF(Data!B248&lt;=$C$10,$F$10,$G$10))</f>
        <v>0</v>
      </c>
      <c r="T38">
        <f>IF($B$11="age",IF(Data!C248&lt;=$C$11,$F$11,$G$11),IF(Data!B248&lt;=$C$11,$F$11,$G$11))</f>
        <v>0</v>
      </c>
      <c r="U38">
        <f>IF($B$12="age",IF(Data!C248&lt;=$C$12,$F$12,$G$12),IF(Data!B248&lt;=$C$12,$F$12,$G$12))</f>
        <v>1</v>
      </c>
      <c r="V38">
        <f>IF($B$13="age",IF(Data!C248&lt;=$C$13,$F$13,$G$13),IF(Data!B248&lt;=$C$13,$F$13,$G$13))</f>
        <v>0</v>
      </c>
      <c r="W38">
        <f>IF($B$14="age",IF(Data!C248&lt;=$C$14,$F$14,$G$14),IF(Data!B248&lt;=$C$14,$F$14,$G$14))</f>
        <v>0</v>
      </c>
      <c r="X38">
        <f>IF($B$15="age",IF(Data!C248&lt;=$C$15,$F$15,$G$15),IF(Data!B248&lt;=$C$15,$F$15,$G$15))</f>
        <v>1</v>
      </c>
      <c r="Y38">
        <f>IF($B$16="age",IF(Data!C248&lt;=$C$16,$F$16,$G$16),IF(Data!B248&lt;=$C$16,$F$16,$G$16))</f>
        <v>1</v>
      </c>
      <c r="Z38">
        <f>IF($B$17="age",IF(Data!C248&lt;=$C$17,$F$17,$G$17),IF(Data!B248&lt;=$C$17,$F$17,$G$17))</f>
        <v>0</v>
      </c>
      <c r="AA38">
        <f>IF($B$18="age",IF(Data!C248&lt;=$C$18,$F$18,$G$18),IF(Data!B248&lt;=$C$18,$F$18,$G$18))</f>
        <v>1</v>
      </c>
      <c r="AB38">
        <f>IF($B$19="age",IF(Data!C248&lt;=$C$19,$F$19,$G$19),IF(Data!B248&lt;=$C$19,$F$19,$G$19))</f>
        <v>0</v>
      </c>
      <c r="AC38">
        <f>IF($B$20="age",IF(Data!C248&lt;=$C$20,$F$20,$G$20),IF(Data!B248&lt;=$C$20,$F$20,$G$20))</f>
        <v>1</v>
      </c>
      <c r="AD38">
        <f>IF($B$21="age",IF(Data!C248&lt;=$C$21,$F$21,$G$21),IF(Data!B248&lt;=$C$21,$F$21,$G$21))</f>
        <v>0</v>
      </c>
      <c r="AE38">
        <f>IF($B$22="age",IF(Data!C248&lt;=$C$22,$F$22,$G$22),IF(Data!B248&lt;=$C$22,$F$22,$G$22))</f>
        <v>0</v>
      </c>
      <c r="AF38">
        <f>IF($B$23="age",IF(Data!C248&lt;=$C$23,$F$23,$G$23),IF(Data!B248&lt;=$C$23,$F$23,$G$23))</f>
        <v>0</v>
      </c>
      <c r="AG38">
        <f>IF($B$24="age",IF(Data!C248&lt;=$C$24,$F$24,$G$24),IF(Data!B248&lt;=$C$24,$F$24,$G$24))</f>
        <v>1</v>
      </c>
      <c r="AH38">
        <f>IF($B$25="age",IF(Data!C248&lt;=$C$25,$F$25,$G$25),IF(Data!B248&lt;=$C$25,$F$25,$G$25))</f>
        <v>1</v>
      </c>
      <c r="AI38">
        <f>IF($B$26="age",IF(Data!C248&lt;=$C$26,$F$26,$G$26),IF(Data!B248&lt;=$C$26,$F$26,$G$26))</f>
        <v>1</v>
      </c>
      <c r="AJ38">
        <f t="shared" si="2"/>
        <v>0.48</v>
      </c>
      <c r="AK38">
        <f>IF(AJ38&gt;=Controls!$B$2,1,0)</f>
        <v>0</v>
      </c>
      <c r="AL38">
        <f t="shared" si="3"/>
        <v>1</v>
      </c>
    </row>
    <row r="39" spans="9:38" x14ac:dyDescent="0.2">
      <c r="I39">
        <f>Data!A249</f>
        <v>248</v>
      </c>
      <c r="J39">
        <f>Data!L249</f>
        <v>1</v>
      </c>
      <c r="K39">
        <f>IF($B$2="age",IF(Data!C249&lt;=$C$2,$F$2,$G$2),IF(Data!B249&lt;=$C$2,$F$2,$G$2))</f>
        <v>0</v>
      </c>
      <c r="L39">
        <f>IF($B$3="age",IF(Data!C249&lt;=$C$3,$F$3,$G$3),IF(Data!B249&lt;=$C$3,$F$3,$G$3))</f>
        <v>1</v>
      </c>
      <c r="M39">
        <f>IF($B$4="age",IF(Data!C249&lt;=$C$4,$F$4,$G$4),IF(Data!B249&lt;=$C$4,$F$4,$G$4))</f>
        <v>1</v>
      </c>
      <c r="N39">
        <f>IF($B$5="age",IF(Data!C249&lt;=$C$5,$F$5,$G$5),IF(Data!B249&lt;=$C$5,$F$5,$G$5))</f>
        <v>1</v>
      </c>
      <c r="O39">
        <f>IF($B$6="age",IF(Data!C249&lt;=$C$6,$F$6,$G$6),IF(Data!B249&lt;=$C$6,$F$6,$G$6))</f>
        <v>0</v>
      </c>
      <c r="P39">
        <f>IF($B$7="age",IF(Data!C249&lt;=$C$7,$F$7,$G$7),IF(Data!B249&lt;=$C$7,$F$7,$G$7))</f>
        <v>1</v>
      </c>
      <c r="Q39">
        <f>IF($B$8="age",IF(Data!C249&lt;=$C$8,$F$8,$G$8),IF(Data!B249&lt;=$C$8,$F$8,$G$8))</f>
        <v>1</v>
      </c>
      <c r="R39">
        <f>IF($B$9="age",IF(Data!C249&lt;=$C$9,$F$9,$G$9),IF(Data!B249&lt;=$C$9,$F$9,$G$9))</f>
        <v>1</v>
      </c>
      <c r="S39">
        <f>IF($B$10="age",IF(Data!C249&lt;=$C$10,$F$10,$G$10),IF(Data!B249&lt;=$C$10,$F$10,$G$10))</f>
        <v>0</v>
      </c>
      <c r="T39">
        <f>IF($B$11="age",IF(Data!C249&lt;=$C$11,$F$11,$G$11),IF(Data!B249&lt;=$C$11,$F$11,$G$11))</f>
        <v>1</v>
      </c>
      <c r="U39">
        <f>IF($B$12="age",IF(Data!C249&lt;=$C$12,$F$12,$G$12),IF(Data!B249&lt;=$C$12,$F$12,$G$12))</f>
        <v>1</v>
      </c>
      <c r="V39">
        <f>IF($B$13="age",IF(Data!C249&lt;=$C$13,$F$13,$G$13),IF(Data!B249&lt;=$C$13,$F$13,$G$13))</f>
        <v>1</v>
      </c>
      <c r="W39">
        <f>IF($B$14="age",IF(Data!C249&lt;=$C$14,$F$14,$G$14),IF(Data!B249&lt;=$C$14,$F$14,$G$14))</f>
        <v>0</v>
      </c>
      <c r="X39">
        <f>IF($B$15="age",IF(Data!C249&lt;=$C$15,$F$15,$G$15),IF(Data!B249&lt;=$C$15,$F$15,$G$15))</f>
        <v>1</v>
      </c>
      <c r="Y39">
        <f>IF($B$16="age",IF(Data!C249&lt;=$C$16,$F$16,$G$16),IF(Data!B249&lt;=$C$16,$F$16,$G$16))</f>
        <v>1</v>
      </c>
      <c r="Z39">
        <f>IF($B$17="age",IF(Data!C249&lt;=$C$17,$F$17,$G$17),IF(Data!B249&lt;=$C$17,$F$17,$G$17))</f>
        <v>1</v>
      </c>
      <c r="AA39">
        <f>IF($B$18="age",IF(Data!C249&lt;=$C$18,$F$18,$G$18),IF(Data!B249&lt;=$C$18,$F$18,$G$18))</f>
        <v>1</v>
      </c>
      <c r="AB39">
        <f>IF($B$19="age",IF(Data!C249&lt;=$C$19,$F$19,$G$19),IF(Data!B249&lt;=$C$19,$F$19,$G$19))</f>
        <v>1</v>
      </c>
      <c r="AC39">
        <f>IF($B$20="age",IF(Data!C249&lt;=$C$20,$F$20,$G$20),IF(Data!B249&lt;=$C$20,$F$20,$G$20))</f>
        <v>1</v>
      </c>
      <c r="AD39">
        <f>IF($B$21="age",IF(Data!C249&lt;=$C$21,$F$21,$G$21),IF(Data!B249&lt;=$C$21,$F$21,$G$21))</f>
        <v>1</v>
      </c>
      <c r="AE39">
        <f>IF($B$22="age",IF(Data!C249&lt;=$C$22,$F$22,$G$22),IF(Data!B249&lt;=$C$22,$F$22,$G$22))</f>
        <v>0</v>
      </c>
      <c r="AF39">
        <f>IF($B$23="age",IF(Data!C249&lt;=$C$23,$F$23,$G$23),IF(Data!B249&lt;=$C$23,$F$23,$G$23))</f>
        <v>1</v>
      </c>
      <c r="AG39">
        <f>IF($B$24="age",IF(Data!C249&lt;=$C$24,$F$24,$G$24),IF(Data!B249&lt;=$C$24,$F$24,$G$24))</f>
        <v>1</v>
      </c>
      <c r="AH39">
        <f>IF($B$25="age",IF(Data!C249&lt;=$C$25,$F$25,$G$25),IF(Data!B249&lt;=$C$25,$F$25,$G$25))</f>
        <v>1</v>
      </c>
      <c r="AI39">
        <f>IF($B$26="age",IF(Data!C249&lt;=$C$26,$F$26,$G$26),IF(Data!B249&lt;=$C$26,$F$26,$G$26))</f>
        <v>1</v>
      </c>
      <c r="AJ39">
        <f t="shared" si="2"/>
        <v>0.8</v>
      </c>
      <c r="AK39">
        <f>IF(AJ39&gt;=Controls!$B$2,1,0)</f>
        <v>1</v>
      </c>
      <c r="AL39">
        <f t="shared" si="3"/>
        <v>1</v>
      </c>
    </row>
    <row r="40" spans="9:38" x14ac:dyDescent="0.2">
      <c r="I40">
        <f>Data!A250</f>
        <v>249</v>
      </c>
      <c r="J40">
        <f>Data!L250</f>
        <v>0</v>
      </c>
      <c r="K40">
        <f>IF($B$2="age",IF(Data!C250&lt;=$C$2,$F$2,$G$2),IF(Data!B250&lt;=$C$2,$F$2,$G$2))</f>
        <v>0</v>
      </c>
      <c r="L40">
        <f>IF($B$3="age",IF(Data!C250&lt;=$C$3,$F$3,$G$3),IF(Data!B250&lt;=$C$3,$F$3,$G$3))</f>
        <v>1</v>
      </c>
      <c r="M40">
        <f>IF($B$4="age",IF(Data!C250&lt;=$C$4,$F$4,$G$4),IF(Data!B250&lt;=$C$4,$F$4,$G$4))</f>
        <v>1</v>
      </c>
      <c r="N40">
        <f>IF($B$5="age",IF(Data!C250&lt;=$C$5,$F$5,$G$5),IF(Data!B250&lt;=$C$5,$F$5,$G$5))</f>
        <v>1</v>
      </c>
      <c r="O40">
        <f>IF($B$6="age",IF(Data!C250&lt;=$C$6,$F$6,$G$6),IF(Data!B250&lt;=$C$6,$F$6,$G$6))</f>
        <v>0</v>
      </c>
      <c r="P40">
        <f>IF($B$7="age",IF(Data!C250&lt;=$C$7,$F$7,$G$7),IF(Data!B250&lt;=$C$7,$F$7,$G$7))</f>
        <v>1</v>
      </c>
      <c r="Q40">
        <f>IF($B$8="age",IF(Data!C250&lt;=$C$8,$F$8,$G$8),IF(Data!B250&lt;=$C$8,$F$8,$G$8))</f>
        <v>1</v>
      </c>
      <c r="R40">
        <f>IF($B$9="age",IF(Data!C250&lt;=$C$9,$F$9,$G$9),IF(Data!B250&lt;=$C$9,$F$9,$G$9))</f>
        <v>1</v>
      </c>
      <c r="S40">
        <f>IF($B$10="age",IF(Data!C250&lt;=$C$10,$F$10,$G$10),IF(Data!B250&lt;=$C$10,$F$10,$G$10))</f>
        <v>0</v>
      </c>
      <c r="T40">
        <f>IF($B$11="age",IF(Data!C250&lt;=$C$11,$F$11,$G$11),IF(Data!B250&lt;=$C$11,$F$11,$G$11))</f>
        <v>0</v>
      </c>
      <c r="U40">
        <f>IF($B$12="age",IF(Data!C250&lt;=$C$12,$F$12,$G$12),IF(Data!B250&lt;=$C$12,$F$12,$G$12))</f>
        <v>1</v>
      </c>
      <c r="V40">
        <f>IF($B$13="age",IF(Data!C250&lt;=$C$13,$F$13,$G$13),IF(Data!B250&lt;=$C$13,$F$13,$G$13))</f>
        <v>1</v>
      </c>
      <c r="W40">
        <f>IF($B$14="age",IF(Data!C250&lt;=$C$14,$F$14,$G$14),IF(Data!B250&lt;=$C$14,$F$14,$G$14))</f>
        <v>0</v>
      </c>
      <c r="X40">
        <f>IF($B$15="age",IF(Data!C250&lt;=$C$15,$F$15,$G$15),IF(Data!B250&lt;=$C$15,$F$15,$G$15))</f>
        <v>1</v>
      </c>
      <c r="Y40">
        <f>IF($B$16="age",IF(Data!C250&lt;=$C$16,$F$16,$G$16),IF(Data!B250&lt;=$C$16,$F$16,$G$16))</f>
        <v>1</v>
      </c>
      <c r="Z40">
        <f>IF($B$17="age",IF(Data!C250&lt;=$C$17,$F$17,$G$17),IF(Data!B250&lt;=$C$17,$F$17,$G$17))</f>
        <v>0</v>
      </c>
      <c r="AA40">
        <f>IF($B$18="age",IF(Data!C250&lt;=$C$18,$F$18,$G$18),IF(Data!B250&lt;=$C$18,$F$18,$G$18))</f>
        <v>1</v>
      </c>
      <c r="AB40">
        <f>IF($B$19="age",IF(Data!C250&lt;=$C$19,$F$19,$G$19),IF(Data!B250&lt;=$C$19,$F$19,$G$19))</f>
        <v>1</v>
      </c>
      <c r="AC40">
        <f>IF($B$20="age",IF(Data!C250&lt;=$C$20,$F$20,$G$20),IF(Data!B250&lt;=$C$20,$F$20,$G$20))</f>
        <v>1</v>
      </c>
      <c r="AD40">
        <f>IF($B$21="age",IF(Data!C250&lt;=$C$21,$F$21,$G$21),IF(Data!B250&lt;=$C$21,$F$21,$G$21))</f>
        <v>0</v>
      </c>
      <c r="AE40">
        <f>IF($B$22="age",IF(Data!C250&lt;=$C$22,$F$22,$G$22),IF(Data!B250&lt;=$C$22,$F$22,$G$22))</f>
        <v>0</v>
      </c>
      <c r="AF40">
        <f>IF($B$23="age",IF(Data!C250&lt;=$C$23,$F$23,$G$23),IF(Data!B250&lt;=$C$23,$F$23,$G$23))</f>
        <v>1</v>
      </c>
      <c r="AG40">
        <f>IF($B$24="age",IF(Data!C250&lt;=$C$24,$F$24,$G$24),IF(Data!B250&lt;=$C$24,$F$24,$G$24))</f>
        <v>1</v>
      </c>
      <c r="AH40">
        <f>IF($B$25="age",IF(Data!C250&lt;=$C$25,$F$25,$G$25),IF(Data!B250&lt;=$C$25,$F$25,$G$25))</f>
        <v>1</v>
      </c>
      <c r="AI40">
        <f>IF($B$26="age",IF(Data!C250&lt;=$C$26,$F$26,$G$26),IF(Data!B250&lt;=$C$26,$F$26,$G$26))</f>
        <v>1</v>
      </c>
      <c r="AJ40">
        <f t="shared" si="2"/>
        <v>0.68</v>
      </c>
      <c r="AK40">
        <f>IF(AJ40&gt;=Controls!$B$2,1,0)</f>
        <v>1</v>
      </c>
      <c r="AL40">
        <f t="shared" si="3"/>
        <v>0</v>
      </c>
    </row>
    <row r="41" spans="9:38" x14ac:dyDescent="0.2">
      <c r="I41">
        <f>Data!A251</f>
        <v>250</v>
      </c>
      <c r="J41">
        <f>Data!L251</f>
        <v>0</v>
      </c>
      <c r="K41">
        <f>IF($B$2="age",IF(Data!C251&lt;=$C$2,$F$2,$G$2),IF(Data!B251&lt;=$C$2,$F$2,$G$2))</f>
        <v>0</v>
      </c>
      <c r="L41">
        <f>IF($B$3="age",IF(Data!C251&lt;=$C$3,$F$3,$G$3),IF(Data!B251&lt;=$C$3,$F$3,$G$3))</f>
        <v>1</v>
      </c>
      <c r="M41">
        <f>IF($B$4="age",IF(Data!C251&lt;=$C$4,$F$4,$G$4),IF(Data!B251&lt;=$C$4,$F$4,$G$4))</f>
        <v>1</v>
      </c>
      <c r="N41">
        <f>IF($B$5="age",IF(Data!C251&lt;=$C$5,$F$5,$G$5),IF(Data!B251&lt;=$C$5,$F$5,$G$5))</f>
        <v>1</v>
      </c>
      <c r="O41">
        <f>IF($B$6="age",IF(Data!C251&lt;=$C$6,$F$6,$G$6),IF(Data!B251&lt;=$C$6,$F$6,$G$6))</f>
        <v>0</v>
      </c>
      <c r="P41">
        <f>IF($B$7="age",IF(Data!C251&lt;=$C$7,$F$7,$G$7),IF(Data!B251&lt;=$C$7,$F$7,$G$7))</f>
        <v>1</v>
      </c>
      <c r="Q41">
        <f>IF($B$8="age",IF(Data!C251&lt;=$C$8,$F$8,$G$8),IF(Data!B251&lt;=$C$8,$F$8,$G$8))</f>
        <v>1</v>
      </c>
      <c r="R41">
        <f>IF($B$9="age",IF(Data!C251&lt;=$C$9,$F$9,$G$9),IF(Data!B251&lt;=$C$9,$F$9,$G$9))</f>
        <v>1</v>
      </c>
      <c r="S41">
        <f>IF($B$10="age",IF(Data!C251&lt;=$C$10,$F$10,$G$10),IF(Data!B251&lt;=$C$10,$F$10,$G$10))</f>
        <v>0</v>
      </c>
      <c r="T41">
        <f>IF($B$11="age",IF(Data!C251&lt;=$C$11,$F$11,$G$11),IF(Data!B251&lt;=$C$11,$F$11,$G$11))</f>
        <v>1</v>
      </c>
      <c r="U41">
        <f>IF($B$12="age",IF(Data!C251&lt;=$C$12,$F$12,$G$12),IF(Data!B251&lt;=$C$12,$F$12,$G$12))</f>
        <v>1</v>
      </c>
      <c r="V41">
        <f>IF($B$13="age",IF(Data!C251&lt;=$C$13,$F$13,$G$13),IF(Data!B251&lt;=$C$13,$F$13,$G$13))</f>
        <v>1</v>
      </c>
      <c r="W41">
        <f>IF($B$14="age",IF(Data!C251&lt;=$C$14,$F$14,$G$14),IF(Data!B251&lt;=$C$14,$F$14,$G$14))</f>
        <v>0</v>
      </c>
      <c r="X41">
        <f>IF($B$15="age",IF(Data!C251&lt;=$C$15,$F$15,$G$15),IF(Data!B251&lt;=$C$15,$F$15,$G$15))</f>
        <v>1</v>
      </c>
      <c r="Y41">
        <f>IF($B$16="age",IF(Data!C251&lt;=$C$16,$F$16,$G$16),IF(Data!B251&lt;=$C$16,$F$16,$G$16))</f>
        <v>1</v>
      </c>
      <c r="Z41">
        <f>IF($B$17="age",IF(Data!C251&lt;=$C$17,$F$17,$G$17),IF(Data!B251&lt;=$C$17,$F$17,$G$17))</f>
        <v>0</v>
      </c>
      <c r="AA41">
        <f>IF($B$18="age",IF(Data!C251&lt;=$C$18,$F$18,$G$18),IF(Data!B251&lt;=$C$18,$F$18,$G$18))</f>
        <v>1</v>
      </c>
      <c r="AB41">
        <f>IF($B$19="age",IF(Data!C251&lt;=$C$19,$F$19,$G$19),IF(Data!B251&lt;=$C$19,$F$19,$G$19))</f>
        <v>1</v>
      </c>
      <c r="AC41">
        <f>IF($B$20="age",IF(Data!C251&lt;=$C$20,$F$20,$G$20),IF(Data!B251&lt;=$C$20,$F$20,$G$20))</f>
        <v>1</v>
      </c>
      <c r="AD41">
        <f>IF($B$21="age",IF(Data!C251&lt;=$C$21,$F$21,$G$21),IF(Data!B251&lt;=$C$21,$F$21,$G$21))</f>
        <v>0</v>
      </c>
      <c r="AE41">
        <f>IF($B$22="age",IF(Data!C251&lt;=$C$22,$F$22,$G$22),IF(Data!B251&lt;=$C$22,$F$22,$G$22))</f>
        <v>0</v>
      </c>
      <c r="AF41">
        <f>IF($B$23="age",IF(Data!C251&lt;=$C$23,$F$23,$G$23),IF(Data!B251&lt;=$C$23,$F$23,$G$23))</f>
        <v>1</v>
      </c>
      <c r="AG41">
        <f>IF($B$24="age",IF(Data!C251&lt;=$C$24,$F$24,$G$24),IF(Data!B251&lt;=$C$24,$F$24,$G$24))</f>
        <v>1</v>
      </c>
      <c r="AH41">
        <f>IF($B$25="age",IF(Data!C251&lt;=$C$25,$F$25,$G$25),IF(Data!B251&lt;=$C$25,$F$25,$G$25))</f>
        <v>1</v>
      </c>
      <c r="AI41">
        <f>IF($B$26="age",IF(Data!C251&lt;=$C$26,$F$26,$G$26),IF(Data!B251&lt;=$C$26,$F$26,$G$26))</f>
        <v>1</v>
      </c>
      <c r="AJ41">
        <f t="shared" si="2"/>
        <v>0.72</v>
      </c>
      <c r="AK41">
        <f>IF(AJ41&gt;=Controls!$B$2,1,0)</f>
        <v>1</v>
      </c>
      <c r="AL41">
        <f t="shared" si="3"/>
        <v>0</v>
      </c>
    </row>
    <row r="42" spans="9:38" x14ac:dyDescent="0.2">
      <c r="I42">
        <f>Data!A252</f>
        <v>251</v>
      </c>
      <c r="J42">
        <f>Data!L252</f>
        <v>0</v>
      </c>
      <c r="K42">
        <f>IF($B$2="age",IF(Data!C252&lt;=$C$2,$F$2,$G$2),IF(Data!B252&lt;=$C$2,$F$2,$G$2))</f>
        <v>0</v>
      </c>
      <c r="L42">
        <f>IF($B$3="age",IF(Data!C252&lt;=$C$3,$F$3,$G$3),IF(Data!B252&lt;=$C$3,$F$3,$G$3))</f>
        <v>0</v>
      </c>
      <c r="M42">
        <f>IF($B$4="age",IF(Data!C252&lt;=$C$4,$F$4,$G$4),IF(Data!B252&lt;=$C$4,$F$4,$G$4))</f>
        <v>1</v>
      </c>
      <c r="N42">
        <f>IF($B$5="age",IF(Data!C252&lt;=$C$5,$F$5,$G$5),IF(Data!B252&lt;=$C$5,$F$5,$G$5))</f>
        <v>0</v>
      </c>
      <c r="O42">
        <f>IF($B$6="age",IF(Data!C252&lt;=$C$6,$F$6,$G$6),IF(Data!B252&lt;=$C$6,$F$6,$G$6))</f>
        <v>1</v>
      </c>
      <c r="P42">
        <f>IF($B$7="age",IF(Data!C252&lt;=$C$7,$F$7,$G$7),IF(Data!B252&lt;=$C$7,$F$7,$G$7))</f>
        <v>1</v>
      </c>
      <c r="Q42">
        <f>IF($B$8="age",IF(Data!C252&lt;=$C$8,$F$8,$G$8),IF(Data!B252&lt;=$C$8,$F$8,$G$8))</f>
        <v>1</v>
      </c>
      <c r="R42">
        <f>IF($B$9="age",IF(Data!C252&lt;=$C$9,$F$9,$G$9),IF(Data!B252&lt;=$C$9,$F$9,$G$9))</f>
        <v>0</v>
      </c>
      <c r="S42">
        <f>IF($B$10="age",IF(Data!C252&lt;=$C$10,$F$10,$G$10),IF(Data!B252&lt;=$C$10,$F$10,$G$10))</f>
        <v>0</v>
      </c>
      <c r="T42">
        <f>IF($B$11="age",IF(Data!C252&lt;=$C$11,$F$11,$G$11),IF(Data!B252&lt;=$C$11,$F$11,$G$11))</f>
        <v>0</v>
      </c>
      <c r="U42">
        <f>IF($B$12="age",IF(Data!C252&lt;=$C$12,$F$12,$G$12),IF(Data!B252&lt;=$C$12,$F$12,$G$12))</f>
        <v>1</v>
      </c>
      <c r="V42">
        <f>IF($B$13="age",IF(Data!C252&lt;=$C$13,$F$13,$G$13),IF(Data!B252&lt;=$C$13,$F$13,$G$13))</f>
        <v>0</v>
      </c>
      <c r="W42">
        <f>IF($B$14="age",IF(Data!C252&lt;=$C$14,$F$14,$G$14),IF(Data!B252&lt;=$C$14,$F$14,$G$14))</f>
        <v>1</v>
      </c>
      <c r="X42">
        <f>IF($B$15="age",IF(Data!C252&lt;=$C$15,$F$15,$G$15),IF(Data!B252&lt;=$C$15,$F$15,$G$15))</f>
        <v>1</v>
      </c>
      <c r="Y42">
        <f>IF($B$16="age",IF(Data!C252&lt;=$C$16,$F$16,$G$16),IF(Data!B252&lt;=$C$16,$F$16,$G$16))</f>
        <v>1</v>
      </c>
      <c r="Z42">
        <f>IF($B$17="age",IF(Data!C252&lt;=$C$17,$F$17,$G$17),IF(Data!B252&lt;=$C$17,$F$17,$G$17))</f>
        <v>0</v>
      </c>
      <c r="AA42">
        <f>IF($B$18="age",IF(Data!C252&lt;=$C$18,$F$18,$G$18),IF(Data!B252&lt;=$C$18,$F$18,$G$18))</f>
        <v>1</v>
      </c>
      <c r="AB42">
        <f>IF($B$19="age",IF(Data!C252&lt;=$C$19,$F$19,$G$19),IF(Data!B252&lt;=$C$19,$F$19,$G$19))</f>
        <v>0</v>
      </c>
      <c r="AC42">
        <f>IF($B$20="age",IF(Data!C252&lt;=$C$20,$F$20,$G$20),IF(Data!B252&lt;=$C$20,$F$20,$G$20))</f>
        <v>1</v>
      </c>
      <c r="AD42">
        <f>IF($B$21="age",IF(Data!C252&lt;=$C$21,$F$21,$G$21),IF(Data!B252&lt;=$C$21,$F$21,$G$21))</f>
        <v>0</v>
      </c>
      <c r="AE42">
        <f>IF($B$22="age",IF(Data!C252&lt;=$C$22,$F$22,$G$22),IF(Data!B252&lt;=$C$22,$F$22,$G$22))</f>
        <v>1</v>
      </c>
      <c r="AF42">
        <f>IF($B$23="age",IF(Data!C252&lt;=$C$23,$F$23,$G$23),IF(Data!B252&lt;=$C$23,$F$23,$G$23))</f>
        <v>0</v>
      </c>
      <c r="AG42">
        <f>IF($B$24="age",IF(Data!C252&lt;=$C$24,$F$24,$G$24),IF(Data!B252&lt;=$C$24,$F$24,$G$24))</f>
        <v>1</v>
      </c>
      <c r="AH42">
        <f>IF($B$25="age",IF(Data!C252&lt;=$C$25,$F$25,$G$25),IF(Data!B252&lt;=$C$25,$F$25,$G$25))</f>
        <v>1</v>
      </c>
      <c r="AI42">
        <f>IF($B$26="age",IF(Data!C252&lt;=$C$26,$F$26,$G$26),IF(Data!B252&lt;=$C$26,$F$26,$G$26))</f>
        <v>1</v>
      </c>
      <c r="AJ42">
        <f t="shared" si="2"/>
        <v>0.56000000000000005</v>
      </c>
      <c r="AK42">
        <f>IF(AJ42&gt;=Controls!$B$2,1,0)</f>
        <v>1</v>
      </c>
      <c r="AL42">
        <f t="shared" si="3"/>
        <v>0</v>
      </c>
    </row>
    <row r="43" spans="9:38" x14ac:dyDescent="0.2">
      <c r="I43">
        <f>Data!A253</f>
        <v>252</v>
      </c>
      <c r="J43">
        <f>Data!L253</f>
        <v>1</v>
      </c>
      <c r="K43">
        <f>IF($B$2="age",IF(Data!C253&lt;=$C$2,$F$2,$G$2),IF(Data!B253&lt;=$C$2,$F$2,$G$2))</f>
        <v>0</v>
      </c>
      <c r="L43">
        <f>IF($B$3="age",IF(Data!C253&lt;=$C$3,$F$3,$G$3),IF(Data!B253&lt;=$C$3,$F$3,$G$3))</f>
        <v>1</v>
      </c>
      <c r="M43">
        <f>IF($B$4="age",IF(Data!C253&lt;=$C$4,$F$4,$G$4),IF(Data!B253&lt;=$C$4,$F$4,$G$4))</f>
        <v>1</v>
      </c>
      <c r="N43">
        <f>IF($B$5="age",IF(Data!C253&lt;=$C$5,$F$5,$G$5),IF(Data!B253&lt;=$C$5,$F$5,$G$5))</f>
        <v>1</v>
      </c>
      <c r="O43">
        <f>IF($B$6="age",IF(Data!C253&lt;=$C$6,$F$6,$G$6),IF(Data!B253&lt;=$C$6,$F$6,$G$6))</f>
        <v>1</v>
      </c>
      <c r="P43">
        <f>IF($B$7="age",IF(Data!C253&lt;=$C$7,$F$7,$G$7),IF(Data!B253&lt;=$C$7,$F$7,$G$7))</f>
        <v>1</v>
      </c>
      <c r="Q43">
        <f>IF($B$8="age",IF(Data!C253&lt;=$C$8,$F$8,$G$8),IF(Data!B253&lt;=$C$8,$F$8,$G$8))</f>
        <v>1</v>
      </c>
      <c r="R43">
        <f>IF($B$9="age",IF(Data!C253&lt;=$C$9,$F$9,$G$9),IF(Data!B253&lt;=$C$9,$F$9,$G$9))</f>
        <v>1</v>
      </c>
      <c r="S43">
        <f>IF($B$10="age",IF(Data!C253&lt;=$C$10,$F$10,$G$10),IF(Data!B253&lt;=$C$10,$F$10,$G$10))</f>
        <v>0</v>
      </c>
      <c r="T43">
        <f>IF($B$11="age",IF(Data!C253&lt;=$C$11,$F$11,$G$11),IF(Data!B253&lt;=$C$11,$F$11,$G$11))</f>
        <v>0</v>
      </c>
      <c r="U43">
        <f>IF($B$12="age",IF(Data!C253&lt;=$C$12,$F$12,$G$12),IF(Data!B253&lt;=$C$12,$F$12,$G$12))</f>
        <v>1</v>
      </c>
      <c r="V43">
        <f>IF($B$13="age",IF(Data!C253&lt;=$C$13,$F$13,$G$13),IF(Data!B253&lt;=$C$13,$F$13,$G$13))</f>
        <v>1</v>
      </c>
      <c r="W43">
        <f>IF($B$14="age",IF(Data!C253&lt;=$C$14,$F$14,$G$14),IF(Data!B253&lt;=$C$14,$F$14,$G$14))</f>
        <v>1</v>
      </c>
      <c r="X43">
        <f>IF($B$15="age",IF(Data!C253&lt;=$C$15,$F$15,$G$15),IF(Data!B253&lt;=$C$15,$F$15,$G$15))</f>
        <v>1</v>
      </c>
      <c r="Y43">
        <f>IF($B$16="age",IF(Data!C253&lt;=$C$16,$F$16,$G$16),IF(Data!B253&lt;=$C$16,$F$16,$G$16))</f>
        <v>1</v>
      </c>
      <c r="Z43">
        <f>IF($B$17="age",IF(Data!C253&lt;=$C$17,$F$17,$G$17),IF(Data!B253&lt;=$C$17,$F$17,$G$17))</f>
        <v>0</v>
      </c>
      <c r="AA43">
        <f>IF($B$18="age",IF(Data!C253&lt;=$C$18,$F$18,$G$18),IF(Data!B253&lt;=$C$18,$F$18,$G$18))</f>
        <v>1</v>
      </c>
      <c r="AB43">
        <f>IF($B$19="age",IF(Data!C253&lt;=$C$19,$F$19,$G$19),IF(Data!B253&lt;=$C$19,$F$19,$G$19))</f>
        <v>1</v>
      </c>
      <c r="AC43">
        <f>IF($B$20="age",IF(Data!C253&lt;=$C$20,$F$20,$G$20),IF(Data!B253&lt;=$C$20,$F$20,$G$20))</f>
        <v>1</v>
      </c>
      <c r="AD43">
        <f>IF($B$21="age",IF(Data!C253&lt;=$C$21,$F$21,$G$21),IF(Data!B253&lt;=$C$21,$F$21,$G$21))</f>
        <v>0</v>
      </c>
      <c r="AE43">
        <f>IF($B$22="age",IF(Data!C253&lt;=$C$22,$F$22,$G$22),IF(Data!B253&lt;=$C$22,$F$22,$G$22))</f>
        <v>1</v>
      </c>
      <c r="AF43">
        <f>IF($B$23="age",IF(Data!C253&lt;=$C$23,$F$23,$G$23),IF(Data!B253&lt;=$C$23,$F$23,$G$23))</f>
        <v>1</v>
      </c>
      <c r="AG43">
        <f>IF($B$24="age",IF(Data!C253&lt;=$C$24,$F$24,$G$24),IF(Data!B253&lt;=$C$24,$F$24,$G$24))</f>
        <v>1</v>
      </c>
      <c r="AH43">
        <f>IF($B$25="age",IF(Data!C253&lt;=$C$25,$F$25,$G$25),IF(Data!B253&lt;=$C$25,$F$25,$G$25))</f>
        <v>1</v>
      </c>
      <c r="AI43">
        <f>IF($B$26="age",IF(Data!C253&lt;=$C$26,$F$26,$G$26),IF(Data!B253&lt;=$C$26,$F$26,$G$26))</f>
        <v>1</v>
      </c>
      <c r="AJ43">
        <f t="shared" si="2"/>
        <v>0.8</v>
      </c>
      <c r="AK43">
        <f>IF(AJ43&gt;=Controls!$B$2,1,0)</f>
        <v>1</v>
      </c>
      <c r="AL43">
        <f t="shared" si="3"/>
        <v>1</v>
      </c>
    </row>
    <row r="44" spans="9:38" x14ac:dyDescent="0.2">
      <c r="I44">
        <f>Data!A254</f>
        <v>253</v>
      </c>
      <c r="J44">
        <f>Data!L254</f>
        <v>0</v>
      </c>
      <c r="K44">
        <f>IF($B$2="age",IF(Data!C254&lt;=$C$2,$F$2,$G$2),IF(Data!B254&lt;=$C$2,$F$2,$G$2))</f>
        <v>0</v>
      </c>
      <c r="L44">
        <f>IF($B$3="age",IF(Data!C254&lt;=$C$3,$F$3,$G$3),IF(Data!B254&lt;=$C$3,$F$3,$G$3))</f>
        <v>1</v>
      </c>
      <c r="M44">
        <f>IF($B$4="age",IF(Data!C254&lt;=$C$4,$F$4,$G$4),IF(Data!B254&lt;=$C$4,$F$4,$G$4))</f>
        <v>1</v>
      </c>
      <c r="N44">
        <f>IF($B$5="age",IF(Data!C254&lt;=$C$5,$F$5,$G$5),IF(Data!B254&lt;=$C$5,$F$5,$G$5))</f>
        <v>1</v>
      </c>
      <c r="O44">
        <f>IF($B$6="age",IF(Data!C254&lt;=$C$6,$F$6,$G$6),IF(Data!B254&lt;=$C$6,$F$6,$G$6))</f>
        <v>1</v>
      </c>
      <c r="P44">
        <f>IF($B$7="age",IF(Data!C254&lt;=$C$7,$F$7,$G$7),IF(Data!B254&lt;=$C$7,$F$7,$G$7))</f>
        <v>1</v>
      </c>
      <c r="Q44">
        <f>IF($B$8="age",IF(Data!C254&lt;=$C$8,$F$8,$G$8),IF(Data!B254&lt;=$C$8,$F$8,$G$8))</f>
        <v>1</v>
      </c>
      <c r="R44">
        <f>IF($B$9="age",IF(Data!C254&lt;=$C$9,$F$9,$G$9),IF(Data!B254&lt;=$C$9,$F$9,$G$9))</f>
        <v>1</v>
      </c>
      <c r="S44">
        <f>IF($B$10="age",IF(Data!C254&lt;=$C$10,$F$10,$G$10),IF(Data!B254&lt;=$C$10,$F$10,$G$10))</f>
        <v>0</v>
      </c>
      <c r="T44">
        <f>IF($B$11="age",IF(Data!C254&lt;=$C$11,$F$11,$G$11),IF(Data!B254&lt;=$C$11,$F$11,$G$11))</f>
        <v>0</v>
      </c>
      <c r="U44">
        <f>IF($B$12="age",IF(Data!C254&lt;=$C$12,$F$12,$G$12),IF(Data!B254&lt;=$C$12,$F$12,$G$12))</f>
        <v>1</v>
      </c>
      <c r="V44">
        <f>IF($B$13="age",IF(Data!C254&lt;=$C$13,$F$13,$G$13),IF(Data!B254&lt;=$C$13,$F$13,$G$13))</f>
        <v>1</v>
      </c>
      <c r="W44">
        <f>IF($B$14="age",IF(Data!C254&lt;=$C$14,$F$14,$G$14),IF(Data!B254&lt;=$C$14,$F$14,$G$14))</f>
        <v>1</v>
      </c>
      <c r="X44">
        <f>IF($B$15="age",IF(Data!C254&lt;=$C$15,$F$15,$G$15),IF(Data!B254&lt;=$C$15,$F$15,$G$15))</f>
        <v>1</v>
      </c>
      <c r="Y44">
        <f>IF($B$16="age",IF(Data!C254&lt;=$C$16,$F$16,$G$16),IF(Data!B254&lt;=$C$16,$F$16,$G$16))</f>
        <v>1</v>
      </c>
      <c r="Z44">
        <f>IF($B$17="age",IF(Data!C254&lt;=$C$17,$F$17,$G$17),IF(Data!B254&lt;=$C$17,$F$17,$G$17))</f>
        <v>0</v>
      </c>
      <c r="AA44">
        <f>IF($B$18="age",IF(Data!C254&lt;=$C$18,$F$18,$G$18),IF(Data!B254&lt;=$C$18,$F$18,$G$18))</f>
        <v>1</v>
      </c>
      <c r="AB44">
        <f>IF($B$19="age",IF(Data!C254&lt;=$C$19,$F$19,$G$19),IF(Data!B254&lt;=$C$19,$F$19,$G$19))</f>
        <v>1</v>
      </c>
      <c r="AC44">
        <f>IF($B$20="age",IF(Data!C254&lt;=$C$20,$F$20,$G$20),IF(Data!B254&lt;=$C$20,$F$20,$G$20))</f>
        <v>1</v>
      </c>
      <c r="AD44">
        <f>IF($B$21="age",IF(Data!C254&lt;=$C$21,$F$21,$G$21),IF(Data!B254&lt;=$C$21,$F$21,$G$21))</f>
        <v>0</v>
      </c>
      <c r="AE44">
        <f>IF($B$22="age",IF(Data!C254&lt;=$C$22,$F$22,$G$22),IF(Data!B254&lt;=$C$22,$F$22,$G$22))</f>
        <v>1</v>
      </c>
      <c r="AF44">
        <f>IF($B$23="age",IF(Data!C254&lt;=$C$23,$F$23,$G$23),IF(Data!B254&lt;=$C$23,$F$23,$G$23))</f>
        <v>1</v>
      </c>
      <c r="AG44">
        <f>IF($B$24="age",IF(Data!C254&lt;=$C$24,$F$24,$G$24),IF(Data!B254&lt;=$C$24,$F$24,$G$24))</f>
        <v>1</v>
      </c>
      <c r="AH44">
        <f>IF($B$25="age",IF(Data!C254&lt;=$C$25,$F$25,$G$25),IF(Data!B254&lt;=$C$25,$F$25,$G$25))</f>
        <v>1</v>
      </c>
      <c r="AI44">
        <f>IF($B$26="age",IF(Data!C254&lt;=$C$26,$F$26,$G$26),IF(Data!B254&lt;=$C$26,$F$26,$G$26))</f>
        <v>1</v>
      </c>
      <c r="AJ44">
        <f t="shared" si="2"/>
        <v>0.8</v>
      </c>
      <c r="AK44">
        <f>IF(AJ44&gt;=Controls!$B$2,1,0)</f>
        <v>1</v>
      </c>
      <c r="AL44">
        <f t="shared" si="3"/>
        <v>0</v>
      </c>
    </row>
    <row r="45" spans="9:38" x14ac:dyDescent="0.2">
      <c r="I45">
        <f>Data!A255</f>
        <v>254</v>
      </c>
      <c r="J45">
        <f>Data!L255</f>
        <v>1</v>
      </c>
      <c r="K45">
        <f>IF($B$2="age",IF(Data!C255&lt;=$C$2,$F$2,$G$2),IF(Data!B255&lt;=$C$2,$F$2,$G$2))</f>
        <v>0</v>
      </c>
      <c r="L45">
        <f>IF($B$3="age",IF(Data!C255&lt;=$C$3,$F$3,$G$3),IF(Data!B255&lt;=$C$3,$F$3,$G$3))</f>
        <v>1</v>
      </c>
      <c r="M45">
        <f>IF($B$4="age",IF(Data!C255&lt;=$C$4,$F$4,$G$4),IF(Data!B255&lt;=$C$4,$F$4,$G$4))</f>
        <v>1</v>
      </c>
      <c r="N45">
        <f>IF($B$5="age",IF(Data!C255&lt;=$C$5,$F$5,$G$5),IF(Data!B255&lt;=$C$5,$F$5,$G$5))</f>
        <v>1</v>
      </c>
      <c r="O45">
        <f>IF($B$6="age",IF(Data!C255&lt;=$C$6,$F$6,$G$6),IF(Data!B255&lt;=$C$6,$F$6,$G$6))</f>
        <v>0</v>
      </c>
      <c r="P45">
        <f>IF($B$7="age",IF(Data!C255&lt;=$C$7,$F$7,$G$7),IF(Data!B255&lt;=$C$7,$F$7,$G$7))</f>
        <v>1</v>
      </c>
      <c r="Q45">
        <f>IF($B$8="age",IF(Data!C255&lt;=$C$8,$F$8,$G$8),IF(Data!B255&lt;=$C$8,$F$8,$G$8))</f>
        <v>1</v>
      </c>
      <c r="R45">
        <f>IF($B$9="age",IF(Data!C255&lt;=$C$9,$F$9,$G$9),IF(Data!B255&lt;=$C$9,$F$9,$G$9))</f>
        <v>1</v>
      </c>
      <c r="S45">
        <f>IF($B$10="age",IF(Data!C255&lt;=$C$10,$F$10,$G$10),IF(Data!B255&lt;=$C$10,$F$10,$G$10))</f>
        <v>0</v>
      </c>
      <c r="T45">
        <f>IF($B$11="age",IF(Data!C255&lt;=$C$11,$F$11,$G$11),IF(Data!B255&lt;=$C$11,$F$11,$G$11))</f>
        <v>1</v>
      </c>
      <c r="U45">
        <f>IF($B$12="age",IF(Data!C255&lt;=$C$12,$F$12,$G$12),IF(Data!B255&lt;=$C$12,$F$12,$G$12))</f>
        <v>1</v>
      </c>
      <c r="V45">
        <f>IF($B$13="age",IF(Data!C255&lt;=$C$13,$F$13,$G$13),IF(Data!B255&lt;=$C$13,$F$13,$G$13))</f>
        <v>1</v>
      </c>
      <c r="W45">
        <f>IF($B$14="age",IF(Data!C255&lt;=$C$14,$F$14,$G$14),IF(Data!B255&lt;=$C$14,$F$14,$G$14))</f>
        <v>0</v>
      </c>
      <c r="X45">
        <f>IF($B$15="age",IF(Data!C255&lt;=$C$15,$F$15,$G$15),IF(Data!B255&lt;=$C$15,$F$15,$G$15))</f>
        <v>1</v>
      </c>
      <c r="Y45">
        <f>IF($B$16="age",IF(Data!C255&lt;=$C$16,$F$16,$G$16),IF(Data!B255&lt;=$C$16,$F$16,$G$16))</f>
        <v>1</v>
      </c>
      <c r="Z45">
        <f>IF($B$17="age",IF(Data!C255&lt;=$C$17,$F$17,$G$17),IF(Data!B255&lt;=$C$17,$F$17,$G$17))</f>
        <v>0</v>
      </c>
      <c r="AA45">
        <f>IF($B$18="age",IF(Data!C255&lt;=$C$18,$F$18,$G$18),IF(Data!B255&lt;=$C$18,$F$18,$G$18))</f>
        <v>1</v>
      </c>
      <c r="AB45">
        <f>IF($B$19="age",IF(Data!C255&lt;=$C$19,$F$19,$G$19),IF(Data!B255&lt;=$C$19,$F$19,$G$19))</f>
        <v>1</v>
      </c>
      <c r="AC45">
        <f>IF($B$20="age",IF(Data!C255&lt;=$C$20,$F$20,$G$20),IF(Data!B255&lt;=$C$20,$F$20,$G$20))</f>
        <v>1</v>
      </c>
      <c r="AD45">
        <f>IF($B$21="age",IF(Data!C255&lt;=$C$21,$F$21,$G$21),IF(Data!B255&lt;=$C$21,$F$21,$G$21))</f>
        <v>0</v>
      </c>
      <c r="AE45">
        <f>IF($B$22="age",IF(Data!C255&lt;=$C$22,$F$22,$G$22),IF(Data!B255&lt;=$C$22,$F$22,$G$22))</f>
        <v>0</v>
      </c>
      <c r="AF45">
        <f>IF($B$23="age",IF(Data!C255&lt;=$C$23,$F$23,$G$23),IF(Data!B255&lt;=$C$23,$F$23,$G$23))</f>
        <v>1</v>
      </c>
      <c r="AG45">
        <f>IF($B$24="age",IF(Data!C255&lt;=$C$24,$F$24,$G$24),IF(Data!B255&lt;=$C$24,$F$24,$G$24))</f>
        <v>1</v>
      </c>
      <c r="AH45">
        <f>IF($B$25="age",IF(Data!C255&lt;=$C$25,$F$25,$G$25),IF(Data!B255&lt;=$C$25,$F$25,$G$25))</f>
        <v>1</v>
      </c>
      <c r="AI45">
        <f>IF($B$26="age",IF(Data!C255&lt;=$C$26,$F$26,$G$26),IF(Data!B255&lt;=$C$26,$F$26,$G$26))</f>
        <v>1</v>
      </c>
      <c r="AJ45">
        <f t="shared" si="2"/>
        <v>0.72</v>
      </c>
      <c r="AK45">
        <f>IF(AJ45&gt;=Controls!$B$2,1,0)</f>
        <v>1</v>
      </c>
      <c r="AL45">
        <f t="shared" si="3"/>
        <v>1</v>
      </c>
    </row>
    <row r="46" spans="9:38" x14ac:dyDescent="0.2">
      <c r="I46">
        <f>Data!A256</f>
        <v>255</v>
      </c>
      <c r="J46">
        <f>Data!L256</f>
        <v>0</v>
      </c>
      <c r="K46">
        <f>IF($B$2="age",IF(Data!C256&lt;=$C$2,$F$2,$G$2),IF(Data!B256&lt;=$C$2,$F$2,$G$2))</f>
        <v>0</v>
      </c>
      <c r="L46">
        <f>IF($B$3="age",IF(Data!C256&lt;=$C$3,$F$3,$G$3),IF(Data!B256&lt;=$C$3,$F$3,$G$3))</f>
        <v>1</v>
      </c>
      <c r="M46">
        <f>IF($B$4="age",IF(Data!C256&lt;=$C$4,$F$4,$G$4),IF(Data!B256&lt;=$C$4,$F$4,$G$4))</f>
        <v>1</v>
      </c>
      <c r="N46">
        <f>IF($B$5="age",IF(Data!C256&lt;=$C$5,$F$5,$G$5),IF(Data!B256&lt;=$C$5,$F$5,$G$5))</f>
        <v>1</v>
      </c>
      <c r="O46">
        <f>IF($B$6="age",IF(Data!C256&lt;=$C$6,$F$6,$G$6),IF(Data!B256&lt;=$C$6,$F$6,$G$6))</f>
        <v>1</v>
      </c>
      <c r="P46">
        <f>IF($B$7="age",IF(Data!C256&lt;=$C$7,$F$7,$G$7),IF(Data!B256&lt;=$C$7,$F$7,$G$7))</f>
        <v>1</v>
      </c>
      <c r="Q46">
        <f>IF($B$8="age",IF(Data!C256&lt;=$C$8,$F$8,$G$8),IF(Data!B256&lt;=$C$8,$F$8,$G$8))</f>
        <v>1</v>
      </c>
      <c r="R46">
        <f>IF($B$9="age",IF(Data!C256&lt;=$C$9,$F$9,$G$9),IF(Data!B256&lt;=$C$9,$F$9,$G$9))</f>
        <v>1</v>
      </c>
      <c r="S46">
        <f>IF($B$10="age",IF(Data!C256&lt;=$C$10,$F$10,$G$10),IF(Data!B256&lt;=$C$10,$F$10,$G$10))</f>
        <v>1</v>
      </c>
      <c r="T46">
        <f>IF($B$11="age",IF(Data!C256&lt;=$C$11,$F$11,$G$11),IF(Data!B256&lt;=$C$11,$F$11,$G$11))</f>
        <v>1</v>
      </c>
      <c r="U46">
        <f>IF($B$12="age",IF(Data!C256&lt;=$C$12,$F$12,$G$12),IF(Data!B256&lt;=$C$12,$F$12,$G$12))</f>
        <v>1</v>
      </c>
      <c r="V46">
        <f>IF($B$13="age",IF(Data!C256&lt;=$C$13,$F$13,$G$13),IF(Data!B256&lt;=$C$13,$F$13,$G$13))</f>
        <v>1</v>
      </c>
      <c r="W46">
        <f>IF($B$14="age",IF(Data!C256&lt;=$C$14,$F$14,$G$14),IF(Data!B256&lt;=$C$14,$F$14,$G$14))</f>
        <v>1</v>
      </c>
      <c r="X46">
        <f>IF($B$15="age",IF(Data!C256&lt;=$C$15,$F$15,$G$15),IF(Data!B256&lt;=$C$15,$F$15,$G$15))</f>
        <v>1</v>
      </c>
      <c r="Y46">
        <f>IF($B$16="age",IF(Data!C256&lt;=$C$16,$F$16,$G$16),IF(Data!B256&lt;=$C$16,$F$16,$G$16))</f>
        <v>1</v>
      </c>
      <c r="Z46">
        <f>IF($B$17="age",IF(Data!C256&lt;=$C$17,$F$17,$G$17),IF(Data!B256&lt;=$C$17,$F$17,$G$17))</f>
        <v>1</v>
      </c>
      <c r="AA46">
        <f>IF($B$18="age",IF(Data!C256&lt;=$C$18,$F$18,$G$18),IF(Data!B256&lt;=$C$18,$F$18,$G$18))</f>
        <v>1</v>
      </c>
      <c r="AB46">
        <f>IF($B$19="age",IF(Data!C256&lt;=$C$19,$F$19,$G$19),IF(Data!B256&lt;=$C$19,$F$19,$G$19))</f>
        <v>1</v>
      </c>
      <c r="AC46">
        <f>IF($B$20="age",IF(Data!C256&lt;=$C$20,$F$20,$G$20),IF(Data!B256&lt;=$C$20,$F$20,$G$20))</f>
        <v>1</v>
      </c>
      <c r="AD46">
        <f>IF($B$21="age",IF(Data!C256&lt;=$C$21,$F$21,$G$21),IF(Data!B256&lt;=$C$21,$F$21,$G$21))</f>
        <v>1</v>
      </c>
      <c r="AE46">
        <f>IF($B$22="age",IF(Data!C256&lt;=$C$22,$F$22,$G$22),IF(Data!B256&lt;=$C$22,$F$22,$G$22))</f>
        <v>1</v>
      </c>
      <c r="AF46">
        <f>IF($B$23="age",IF(Data!C256&lt;=$C$23,$F$23,$G$23),IF(Data!B256&lt;=$C$23,$F$23,$G$23))</f>
        <v>1</v>
      </c>
      <c r="AG46">
        <f>IF($B$24="age",IF(Data!C256&lt;=$C$24,$F$24,$G$24),IF(Data!B256&lt;=$C$24,$F$24,$G$24))</f>
        <v>1</v>
      </c>
      <c r="AH46">
        <f>IF($B$25="age",IF(Data!C256&lt;=$C$25,$F$25,$G$25),IF(Data!B256&lt;=$C$25,$F$25,$G$25))</f>
        <v>1</v>
      </c>
      <c r="AI46">
        <f>IF($B$26="age",IF(Data!C256&lt;=$C$26,$F$26,$G$26),IF(Data!B256&lt;=$C$26,$F$26,$G$26))</f>
        <v>1</v>
      </c>
      <c r="AJ46">
        <f t="shared" si="2"/>
        <v>0.96</v>
      </c>
      <c r="AK46">
        <f>IF(AJ46&gt;=Controls!$B$2,1,0)</f>
        <v>1</v>
      </c>
      <c r="AL46">
        <f t="shared" si="3"/>
        <v>0</v>
      </c>
    </row>
    <row r="47" spans="9:38" x14ac:dyDescent="0.2">
      <c r="I47">
        <f>Data!A257</f>
        <v>256</v>
      </c>
      <c r="J47">
        <f>Data!L257</f>
        <v>1</v>
      </c>
      <c r="K47">
        <f>IF($B$2="age",IF(Data!C257&lt;=$C$2,$F$2,$G$2),IF(Data!B257&lt;=$C$2,$F$2,$G$2))</f>
        <v>0</v>
      </c>
      <c r="L47">
        <f>IF($B$3="age",IF(Data!C257&lt;=$C$3,$F$3,$G$3),IF(Data!B257&lt;=$C$3,$F$3,$G$3))</f>
        <v>1</v>
      </c>
      <c r="M47">
        <f>IF($B$4="age",IF(Data!C257&lt;=$C$4,$F$4,$G$4),IF(Data!B257&lt;=$C$4,$F$4,$G$4))</f>
        <v>1</v>
      </c>
      <c r="N47">
        <f>IF($B$5="age",IF(Data!C257&lt;=$C$5,$F$5,$G$5),IF(Data!B257&lt;=$C$5,$F$5,$G$5))</f>
        <v>0</v>
      </c>
      <c r="O47">
        <f>IF($B$6="age",IF(Data!C257&lt;=$C$6,$F$6,$G$6),IF(Data!B257&lt;=$C$6,$F$6,$G$6))</f>
        <v>0</v>
      </c>
      <c r="P47">
        <f>IF($B$7="age",IF(Data!C257&lt;=$C$7,$F$7,$G$7),IF(Data!B257&lt;=$C$7,$F$7,$G$7))</f>
        <v>1</v>
      </c>
      <c r="Q47">
        <f>IF($B$8="age",IF(Data!C257&lt;=$C$8,$F$8,$G$8),IF(Data!B257&lt;=$C$8,$F$8,$G$8))</f>
        <v>1</v>
      </c>
      <c r="R47">
        <f>IF($B$9="age",IF(Data!C257&lt;=$C$9,$F$9,$G$9),IF(Data!B257&lt;=$C$9,$F$9,$G$9))</f>
        <v>0</v>
      </c>
      <c r="S47">
        <f>IF($B$10="age",IF(Data!C257&lt;=$C$10,$F$10,$G$10),IF(Data!B257&lt;=$C$10,$F$10,$G$10))</f>
        <v>0</v>
      </c>
      <c r="T47">
        <f>IF($B$11="age",IF(Data!C257&lt;=$C$11,$F$11,$G$11),IF(Data!B257&lt;=$C$11,$F$11,$G$11))</f>
        <v>0</v>
      </c>
      <c r="U47">
        <f>IF($B$12="age",IF(Data!C257&lt;=$C$12,$F$12,$G$12),IF(Data!B257&lt;=$C$12,$F$12,$G$12))</f>
        <v>1</v>
      </c>
      <c r="V47">
        <f>IF($B$13="age",IF(Data!C257&lt;=$C$13,$F$13,$G$13),IF(Data!B257&lt;=$C$13,$F$13,$G$13))</f>
        <v>0</v>
      </c>
      <c r="W47">
        <f>IF($B$14="age",IF(Data!C257&lt;=$C$14,$F$14,$G$14),IF(Data!B257&lt;=$C$14,$F$14,$G$14))</f>
        <v>0</v>
      </c>
      <c r="X47">
        <f>IF($B$15="age",IF(Data!C257&lt;=$C$15,$F$15,$G$15),IF(Data!B257&lt;=$C$15,$F$15,$G$15))</f>
        <v>1</v>
      </c>
      <c r="Y47">
        <f>IF($B$16="age",IF(Data!C257&lt;=$C$16,$F$16,$G$16),IF(Data!B257&lt;=$C$16,$F$16,$G$16))</f>
        <v>1</v>
      </c>
      <c r="Z47">
        <f>IF($B$17="age",IF(Data!C257&lt;=$C$17,$F$17,$G$17),IF(Data!B257&lt;=$C$17,$F$17,$G$17))</f>
        <v>0</v>
      </c>
      <c r="AA47">
        <f>IF($B$18="age",IF(Data!C257&lt;=$C$18,$F$18,$G$18),IF(Data!B257&lt;=$C$18,$F$18,$G$18))</f>
        <v>1</v>
      </c>
      <c r="AB47">
        <f>IF($B$19="age",IF(Data!C257&lt;=$C$19,$F$19,$G$19),IF(Data!B257&lt;=$C$19,$F$19,$G$19))</f>
        <v>0</v>
      </c>
      <c r="AC47">
        <f>IF($B$20="age",IF(Data!C257&lt;=$C$20,$F$20,$G$20),IF(Data!B257&lt;=$C$20,$F$20,$G$20))</f>
        <v>1</v>
      </c>
      <c r="AD47">
        <f>IF($B$21="age",IF(Data!C257&lt;=$C$21,$F$21,$G$21),IF(Data!B257&lt;=$C$21,$F$21,$G$21))</f>
        <v>0</v>
      </c>
      <c r="AE47">
        <f>IF($B$22="age",IF(Data!C257&lt;=$C$22,$F$22,$G$22),IF(Data!B257&lt;=$C$22,$F$22,$G$22))</f>
        <v>0</v>
      </c>
      <c r="AF47">
        <f>IF($B$23="age",IF(Data!C257&lt;=$C$23,$F$23,$G$23),IF(Data!B257&lt;=$C$23,$F$23,$G$23))</f>
        <v>0</v>
      </c>
      <c r="AG47">
        <f>IF($B$24="age",IF(Data!C257&lt;=$C$24,$F$24,$G$24),IF(Data!B257&lt;=$C$24,$F$24,$G$24))</f>
        <v>1</v>
      </c>
      <c r="AH47">
        <f>IF($B$25="age",IF(Data!C257&lt;=$C$25,$F$25,$G$25),IF(Data!B257&lt;=$C$25,$F$25,$G$25))</f>
        <v>1</v>
      </c>
      <c r="AI47">
        <f>IF($B$26="age",IF(Data!C257&lt;=$C$26,$F$26,$G$26),IF(Data!B257&lt;=$C$26,$F$26,$G$26))</f>
        <v>1</v>
      </c>
      <c r="AJ47">
        <f t="shared" si="2"/>
        <v>0.48</v>
      </c>
      <c r="AK47">
        <f>IF(AJ47&gt;=Controls!$B$2,1,0)</f>
        <v>0</v>
      </c>
      <c r="AL47">
        <f t="shared" si="3"/>
        <v>0</v>
      </c>
    </row>
    <row r="48" spans="9:38" x14ac:dyDescent="0.2">
      <c r="I48">
        <f>Data!A258</f>
        <v>257</v>
      </c>
      <c r="J48">
        <f>Data!L258</f>
        <v>1</v>
      </c>
      <c r="K48">
        <f>IF($B$2="age",IF(Data!C258&lt;=$C$2,$F$2,$G$2),IF(Data!B258&lt;=$C$2,$F$2,$G$2))</f>
        <v>0</v>
      </c>
      <c r="L48">
        <f>IF($B$3="age",IF(Data!C258&lt;=$C$3,$F$3,$G$3),IF(Data!B258&lt;=$C$3,$F$3,$G$3))</f>
        <v>1</v>
      </c>
      <c r="M48">
        <f>IF($B$4="age",IF(Data!C258&lt;=$C$4,$F$4,$G$4),IF(Data!B258&lt;=$C$4,$F$4,$G$4))</f>
        <v>1</v>
      </c>
      <c r="N48">
        <f>IF($B$5="age",IF(Data!C258&lt;=$C$5,$F$5,$G$5),IF(Data!B258&lt;=$C$5,$F$5,$G$5))</f>
        <v>0</v>
      </c>
      <c r="O48">
        <f>IF($B$6="age",IF(Data!C258&lt;=$C$6,$F$6,$G$6),IF(Data!B258&lt;=$C$6,$F$6,$G$6))</f>
        <v>0</v>
      </c>
      <c r="P48">
        <f>IF($B$7="age",IF(Data!C258&lt;=$C$7,$F$7,$G$7),IF(Data!B258&lt;=$C$7,$F$7,$G$7))</f>
        <v>1</v>
      </c>
      <c r="Q48">
        <f>IF($B$8="age",IF(Data!C258&lt;=$C$8,$F$8,$G$8),IF(Data!B258&lt;=$C$8,$F$8,$G$8))</f>
        <v>1</v>
      </c>
      <c r="R48">
        <f>IF($B$9="age",IF(Data!C258&lt;=$C$9,$F$9,$G$9),IF(Data!B258&lt;=$C$9,$F$9,$G$9))</f>
        <v>0</v>
      </c>
      <c r="S48">
        <f>IF($B$10="age",IF(Data!C258&lt;=$C$10,$F$10,$G$10),IF(Data!B258&lt;=$C$10,$F$10,$G$10))</f>
        <v>0</v>
      </c>
      <c r="T48">
        <f>IF($B$11="age",IF(Data!C258&lt;=$C$11,$F$11,$G$11),IF(Data!B258&lt;=$C$11,$F$11,$G$11))</f>
        <v>0</v>
      </c>
      <c r="U48">
        <f>IF($B$12="age",IF(Data!C258&lt;=$C$12,$F$12,$G$12),IF(Data!B258&lt;=$C$12,$F$12,$G$12))</f>
        <v>1</v>
      </c>
      <c r="V48">
        <f>IF($B$13="age",IF(Data!C258&lt;=$C$13,$F$13,$G$13),IF(Data!B258&lt;=$C$13,$F$13,$G$13))</f>
        <v>0</v>
      </c>
      <c r="W48">
        <f>IF($B$14="age",IF(Data!C258&lt;=$C$14,$F$14,$G$14),IF(Data!B258&lt;=$C$14,$F$14,$G$14))</f>
        <v>0</v>
      </c>
      <c r="X48">
        <f>IF($B$15="age",IF(Data!C258&lt;=$C$15,$F$15,$G$15),IF(Data!B258&lt;=$C$15,$F$15,$G$15))</f>
        <v>1</v>
      </c>
      <c r="Y48">
        <f>IF($B$16="age",IF(Data!C258&lt;=$C$16,$F$16,$G$16),IF(Data!B258&lt;=$C$16,$F$16,$G$16))</f>
        <v>1</v>
      </c>
      <c r="Z48">
        <f>IF($B$17="age",IF(Data!C258&lt;=$C$17,$F$17,$G$17),IF(Data!B258&lt;=$C$17,$F$17,$G$17))</f>
        <v>0</v>
      </c>
      <c r="AA48">
        <f>IF($B$18="age",IF(Data!C258&lt;=$C$18,$F$18,$G$18),IF(Data!B258&lt;=$C$18,$F$18,$G$18))</f>
        <v>1</v>
      </c>
      <c r="AB48">
        <f>IF($B$19="age",IF(Data!C258&lt;=$C$19,$F$19,$G$19),IF(Data!B258&lt;=$C$19,$F$19,$G$19))</f>
        <v>0</v>
      </c>
      <c r="AC48">
        <f>IF($B$20="age",IF(Data!C258&lt;=$C$20,$F$20,$G$20),IF(Data!B258&lt;=$C$20,$F$20,$G$20))</f>
        <v>1</v>
      </c>
      <c r="AD48">
        <f>IF($B$21="age",IF(Data!C258&lt;=$C$21,$F$21,$G$21),IF(Data!B258&lt;=$C$21,$F$21,$G$21))</f>
        <v>0</v>
      </c>
      <c r="AE48">
        <f>IF($B$22="age",IF(Data!C258&lt;=$C$22,$F$22,$G$22),IF(Data!B258&lt;=$C$22,$F$22,$G$22))</f>
        <v>0</v>
      </c>
      <c r="AF48">
        <f>IF($B$23="age",IF(Data!C258&lt;=$C$23,$F$23,$G$23),IF(Data!B258&lt;=$C$23,$F$23,$G$23))</f>
        <v>0</v>
      </c>
      <c r="AG48">
        <f>IF($B$24="age",IF(Data!C258&lt;=$C$24,$F$24,$G$24),IF(Data!B258&lt;=$C$24,$F$24,$G$24))</f>
        <v>1</v>
      </c>
      <c r="AH48">
        <f>IF($B$25="age",IF(Data!C258&lt;=$C$25,$F$25,$G$25),IF(Data!B258&lt;=$C$25,$F$25,$G$25))</f>
        <v>1</v>
      </c>
      <c r="AI48">
        <f>IF($B$26="age",IF(Data!C258&lt;=$C$26,$F$26,$G$26),IF(Data!B258&lt;=$C$26,$F$26,$G$26))</f>
        <v>1</v>
      </c>
      <c r="AJ48">
        <f t="shared" si="2"/>
        <v>0.48</v>
      </c>
      <c r="AK48">
        <f>IF(AJ48&gt;=Controls!$B$2,1,0)</f>
        <v>0</v>
      </c>
      <c r="AL48">
        <f t="shared" si="3"/>
        <v>0</v>
      </c>
    </row>
    <row r="49" spans="9:38" x14ac:dyDescent="0.2">
      <c r="I49">
        <f>Data!A259</f>
        <v>258</v>
      </c>
      <c r="J49">
        <f>Data!L259</f>
        <v>0</v>
      </c>
      <c r="K49">
        <f>IF($B$2="age",IF(Data!C259&lt;=$C$2,$F$2,$G$2),IF(Data!B259&lt;=$C$2,$F$2,$G$2))</f>
        <v>1</v>
      </c>
      <c r="L49">
        <f>IF($B$3="age",IF(Data!C259&lt;=$C$3,$F$3,$G$3),IF(Data!B259&lt;=$C$3,$F$3,$G$3))</f>
        <v>1</v>
      </c>
      <c r="M49">
        <f>IF($B$4="age",IF(Data!C259&lt;=$C$4,$F$4,$G$4),IF(Data!B259&lt;=$C$4,$F$4,$G$4))</f>
        <v>1</v>
      </c>
      <c r="N49">
        <f>IF($B$5="age",IF(Data!C259&lt;=$C$5,$F$5,$G$5),IF(Data!B259&lt;=$C$5,$F$5,$G$5))</f>
        <v>1</v>
      </c>
      <c r="O49">
        <f>IF($B$6="age",IF(Data!C259&lt;=$C$6,$F$6,$G$6),IF(Data!B259&lt;=$C$6,$F$6,$G$6))</f>
        <v>1</v>
      </c>
      <c r="P49">
        <f>IF($B$7="age",IF(Data!C259&lt;=$C$7,$F$7,$G$7),IF(Data!B259&lt;=$C$7,$F$7,$G$7))</f>
        <v>1</v>
      </c>
      <c r="Q49">
        <f>IF($B$8="age",IF(Data!C259&lt;=$C$8,$F$8,$G$8),IF(Data!B259&lt;=$C$8,$F$8,$G$8))</f>
        <v>1</v>
      </c>
      <c r="R49">
        <f>IF($B$9="age",IF(Data!C259&lt;=$C$9,$F$9,$G$9),IF(Data!B259&lt;=$C$9,$F$9,$G$9))</f>
        <v>1</v>
      </c>
      <c r="S49">
        <f>IF($B$10="age",IF(Data!C259&lt;=$C$10,$F$10,$G$10),IF(Data!B259&lt;=$C$10,$F$10,$G$10))</f>
        <v>1</v>
      </c>
      <c r="T49">
        <f>IF($B$11="age",IF(Data!C259&lt;=$C$11,$F$11,$G$11),IF(Data!B259&lt;=$C$11,$F$11,$G$11))</f>
        <v>1</v>
      </c>
      <c r="U49">
        <f>IF($B$12="age",IF(Data!C259&lt;=$C$12,$F$12,$G$12),IF(Data!B259&lt;=$C$12,$F$12,$G$12))</f>
        <v>1</v>
      </c>
      <c r="V49">
        <f>IF($B$13="age",IF(Data!C259&lt;=$C$13,$F$13,$G$13),IF(Data!B259&lt;=$C$13,$F$13,$G$13))</f>
        <v>1</v>
      </c>
      <c r="W49">
        <f>IF($B$14="age",IF(Data!C259&lt;=$C$14,$F$14,$G$14),IF(Data!B259&lt;=$C$14,$F$14,$G$14))</f>
        <v>1</v>
      </c>
      <c r="X49">
        <f>IF($B$15="age",IF(Data!C259&lt;=$C$15,$F$15,$G$15),IF(Data!B259&lt;=$C$15,$F$15,$G$15))</f>
        <v>1</v>
      </c>
      <c r="Y49">
        <f>IF($B$16="age",IF(Data!C259&lt;=$C$16,$F$16,$G$16),IF(Data!B259&lt;=$C$16,$F$16,$G$16))</f>
        <v>1</v>
      </c>
      <c r="Z49">
        <f>IF($B$17="age",IF(Data!C259&lt;=$C$17,$F$17,$G$17),IF(Data!B259&lt;=$C$17,$F$17,$G$17))</f>
        <v>1</v>
      </c>
      <c r="AA49">
        <f>IF($B$18="age",IF(Data!C259&lt;=$C$18,$F$18,$G$18),IF(Data!B259&lt;=$C$18,$F$18,$G$18))</f>
        <v>1</v>
      </c>
      <c r="AB49">
        <f>IF($B$19="age",IF(Data!C259&lt;=$C$19,$F$19,$G$19),IF(Data!B259&lt;=$C$19,$F$19,$G$19))</f>
        <v>1</v>
      </c>
      <c r="AC49">
        <f>IF($B$20="age",IF(Data!C259&lt;=$C$20,$F$20,$G$20),IF(Data!B259&lt;=$C$20,$F$20,$G$20))</f>
        <v>1</v>
      </c>
      <c r="AD49">
        <f>IF($B$21="age",IF(Data!C259&lt;=$C$21,$F$21,$G$21),IF(Data!B259&lt;=$C$21,$F$21,$G$21))</f>
        <v>1</v>
      </c>
      <c r="AE49">
        <f>IF($B$22="age",IF(Data!C259&lt;=$C$22,$F$22,$G$22),IF(Data!B259&lt;=$C$22,$F$22,$G$22))</f>
        <v>1</v>
      </c>
      <c r="AF49">
        <f>IF($B$23="age",IF(Data!C259&lt;=$C$23,$F$23,$G$23),IF(Data!B259&lt;=$C$23,$F$23,$G$23))</f>
        <v>1</v>
      </c>
      <c r="AG49">
        <f>IF($B$24="age",IF(Data!C259&lt;=$C$24,$F$24,$G$24),IF(Data!B259&lt;=$C$24,$F$24,$G$24))</f>
        <v>1</v>
      </c>
      <c r="AH49">
        <f>IF($B$25="age",IF(Data!C259&lt;=$C$25,$F$25,$G$25),IF(Data!B259&lt;=$C$25,$F$25,$G$25))</f>
        <v>1</v>
      </c>
      <c r="AI49">
        <f>IF($B$26="age",IF(Data!C259&lt;=$C$26,$F$26,$G$26),IF(Data!B259&lt;=$C$26,$F$26,$G$26))</f>
        <v>1</v>
      </c>
      <c r="AJ49">
        <f t="shared" si="2"/>
        <v>1</v>
      </c>
      <c r="AK49">
        <f>IF(AJ49&gt;=Controls!$B$2,1,0)</f>
        <v>1</v>
      </c>
      <c r="AL49">
        <f t="shared" si="3"/>
        <v>0</v>
      </c>
    </row>
    <row r="50" spans="9:38" x14ac:dyDescent="0.2">
      <c r="I50">
        <f>Data!A260</f>
        <v>259</v>
      </c>
      <c r="J50">
        <f>Data!L260</f>
        <v>1</v>
      </c>
      <c r="K50">
        <f>IF($B$2="age",IF(Data!C260&lt;=$C$2,$F$2,$G$2),IF(Data!B260&lt;=$C$2,$F$2,$G$2))</f>
        <v>1</v>
      </c>
      <c r="L50">
        <f>IF($B$3="age",IF(Data!C260&lt;=$C$3,$F$3,$G$3),IF(Data!B260&lt;=$C$3,$F$3,$G$3))</f>
        <v>1</v>
      </c>
      <c r="M50">
        <f>IF($B$4="age",IF(Data!C260&lt;=$C$4,$F$4,$G$4),IF(Data!B260&lt;=$C$4,$F$4,$G$4))</f>
        <v>1</v>
      </c>
      <c r="N50">
        <f>IF($B$5="age",IF(Data!C260&lt;=$C$5,$F$5,$G$5),IF(Data!B260&lt;=$C$5,$F$5,$G$5))</f>
        <v>1</v>
      </c>
      <c r="O50">
        <f>IF($B$6="age",IF(Data!C260&lt;=$C$6,$F$6,$G$6),IF(Data!B260&lt;=$C$6,$F$6,$G$6))</f>
        <v>1</v>
      </c>
      <c r="P50">
        <f>IF($B$7="age",IF(Data!C260&lt;=$C$7,$F$7,$G$7),IF(Data!B260&lt;=$C$7,$F$7,$G$7))</f>
        <v>1</v>
      </c>
      <c r="Q50">
        <f>IF($B$8="age",IF(Data!C260&lt;=$C$8,$F$8,$G$8),IF(Data!B260&lt;=$C$8,$F$8,$G$8))</f>
        <v>1</v>
      </c>
      <c r="R50">
        <f>IF($B$9="age",IF(Data!C260&lt;=$C$9,$F$9,$G$9),IF(Data!B260&lt;=$C$9,$F$9,$G$9))</f>
        <v>1</v>
      </c>
      <c r="S50">
        <f>IF($B$10="age",IF(Data!C260&lt;=$C$10,$F$10,$G$10),IF(Data!B260&lt;=$C$10,$F$10,$G$10))</f>
        <v>1</v>
      </c>
      <c r="T50">
        <f>IF($B$11="age",IF(Data!C260&lt;=$C$11,$F$11,$G$11),IF(Data!B260&lt;=$C$11,$F$11,$G$11))</f>
        <v>1</v>
      </c>
      <c r="U50">
        <f>IF($B$12="age",IF(Data!C260&lt;=$C$12,$F$12,$G$12),IF(Data!B260&lt;=$C$12,$F$12,$G$12))</f>
        <v>1</v>
      </c>
      <c r="V50">
        <f>IF($B$13="age",IF(Data!C260&lt;=$C$13,$F$13,$G$13),IF(Data!B260&lt;=$C$13,$F$13,$G$13))</f>
        <v>1</v>
      </c>
      <c r="W50">
        <f>IF($B$14="age",IF(Data!C260&lt;=$C$14,$F$14,$G$14),IF(Data!B260&lt;=$C$14,$F$14,$G$14))</f>
        <v>1</v>
      </c>
      <c r="X50">
        <f>IF($B$15="age",IF(Data!C260&lt;=$C$15,$F$15,$G$15),IF(Data!B260&lt;=$C$15,$F$15,$G$15))</f>
        <v>1</v>
      </c>
      <c r="Y50">
        <f>IF($B$16="age",IF(Data!C260&lt;=$C$16,$F$16,$G$16),IF(Data!B260&lt;=$C$16,$F$16,$G$16))</f>
        <v>1</v>
      </c>
      <c r="Z50">
        <f>IF($B$17="age",IF(Data!C260&lt;=$C$17,$F$17,$G$17),IF(Data!B260&lt;=$C$17,$F$17,$G$17))</f>
        <v>1</v>
      </c>
      <c r="AA50">
        <f>IF($B$18="age",IF(Data!C260&lt;=$C$18,$F$18,$G$18),IF(Data!B260&lt;=$C$18,$F$18,$G$18))</f>
        <v>1</v>
      </c>
      <c r="AB50">
        <f>IF($B$19="age",IF(Data!C260&lt;=$C$19,$F$19,$G$19),IF(Data!B260&lt;=$C$19,$F$19,$G$19))</f>
        <v>1</v>
      </c>
      <c r="AC50">
        <f>IF($B$20="age",IF(Data!C260&lt;=$C$20,$F$20,$G$20),IF(Data!B260&lt;=$C$20,$F$20,$G$20))</f>
        <v>1</v>
      </c>
      <c r="AD50">
        <f>IF($B$21="age",IF(Data!C260&lt;=$C$21,$F$21,$G$21),IF(Data!B260&lt;=$C$21,$F$21,$G$21))</f>
        <v>1</v>
      </c>
      <c r="AE50">
        <f>IF($B$22="age",IF(Data!C260&lt;=$C$22,$F$22,$G$22),IF(Data!B260&lt;=$C$22,$F$22,$G$22))</f>
        <v>1</v>
      </c>
      <c r="AF50">
        <f>IF($B$23="age",IF(Data!C260&lt;=$C$23,$F$23,$G$23),IF(Data!B260&lt;=$C$23,$F$23,$G$23))</f>
        <v>1</v>
      </c>
      <c r="AG50">
        <f>IF($B$24="age",IF(Data!C260&lt;=$C$24,$F$24,$G$24),IF(Data!B260&lt;=$C$24,$F$24,$G$24))</f>
        <v>1</v>
      </c>
      <c r="AH50">
        <f>IF($B$25="age",IF(Data!C260&lt;=$C$25,$F$25,$G$25),IF(Data!B260&lt;=$C$25,$F$25,$G$25))</f>
        <v>1</v>
      </c>
      <c r="AI50">
        <f>IF($B$26="age",IF(Data!C260&lt;=$C$26,$F$26,$G$26),IF(Data!B260&lt;=$C$26,$F$26,$G$26))</f>
        <v>1</v>
      </c>
      <c r="AJ50">
        <f t="shared" si="2"/>
        <v>1</v>
      </c>
      <c r="AK50">
        <f>IF(AJ50&gt;=Controls!$B$2,1,0)</f>
        <v>1</v>
      </c>
      <c r="AL50">
        <f t="shared" si="3"/>
        <v>1</v>
      </c>
    </row>
    <row r="51" spans="9:38" x14ac:dyDescent="0.2">
      <c r="I51">
        <f>Data!A261</f>
        <v>260</v>
      </c>
      <c r="J51">
        <f>Data!L261</f>
        <v>0</v>
      </c>
      <c r="K51">
        <f>IF($B$2="age",IF(Data!C261&lt;=$C$2,$F$2,$G$2),IF(Data!B261&lt;=$C$2,$F$2,$G$2))</f>
        <v>1</v>
      </c>
      <c r="L51">
        <f>IF($B$3="age",IF(Data!C261&lt;=$C$3,$F$3,$G$3),IF(Data!B261&lt;=$C$3,$F$3,$G$3))</f>
        <v>1</v>
      </c>
      <c r="M51">
        <f>IF($B$4="age",IF(Data!C261&lt;=$C$4,$F$4,$G$4),IF(Data!B261&lt;=$C$4,$F$4,$G$4))</f>
        <v>1</v>
      </c>
      <c r="N51">
        <f>IF($B$5="age",IF(Data!C261&lt;=$C$5,$F$5,$G$5),IF(Data!B261&lt;=$C$5,$F$5,$G$5))</f>
        <v>1</v>
      </c>
      <c r="O51">
        <f>IF($B$6="age",IF(Data!C261&lt;=$C$6,$F$6,$G$6),IF(Data!B261&lt;=$C$6,$F$6,$G$6))</f>
        <v>1</v>
      </c>
      <c r="P51">
        <f>IF($B$7="age",IF(Data!C261&lt;=$C$7,$F$7,$G$7),IF(Data!B261&lt;=$C$7,$F$7,$G$7))</f>
        <v>1</v>
      </c>
      <c r="Q51">
        <f>IF($B$8="age",IF(Data!C261&lt;=$C$8,$F$8,$G$8),IF(Data!B261&lt;=$C$8,$F$8,$G$8))</f>
        <v>1</v>
      </c>
      <c r="R51">
        <f>IF($B$9="age",IF(Data!C261&lt;=$C$9,$F$9,$G$9),IF(Data!B261&lt;=$C$9,$F$9,$G$9))</f>
        <v>1</v>
      </c>
      <c r="S51">
        <f>IF($B$10="age",IF(Data!C261&lt;=$C$10,$F$10,$G$10),IF(Data!B261&lt;=$C$10,$F$10,$G$10))</f>
        <v>1</v>
      </c>
      <c r="T51">
        <f>IF($B$11="age",IF(Data!C261&lt;=$C$11,$F$11,$G$11),IF(Data!B261&lt;=$C$11,$F$11,$G$11))</f>
        <v>1</v>
      </c>
      <c r="U51">
        <f>IF($B$12="age",IF(Data!C261&lt;=$C$12,$F$12,$G$12),IF(Data!B261&lt;=$C$12,$F$12,$G$12))</f>
        <v>0</v>
      </c>
      <c r="V51">
        <f>IF($B$13="age",IF(Data!C261&lt;=$C$13,$F$13,$G$13),IF(Data!B261&lt;=$C$13,$F$13,$G$13))</f>
        <v>1</v>
      </c>
      <c r="W51">
        <f>IF($B$14="age",IF(Data!C261&lt;=$C$14,$F$14,$G$14),IF(Data!B261&lt;=$C$14,$F$14,$G$14))</f>
        <v>1</v>
      </c>
      <c r="X51">
        <f>IF($B$15="age",IF(Data!C261&lt;=$C$15,$F$15,$G$15),IF(Data!B261&lt;=$C$15,$F$15,$G$15))</f>
        <v>1</v>
      </c>
      <c r="Y51">
        <f>IF($B$16="age",IF(Data!C261&lt;=$C$16,$F$16,$G$16),IF(Data!B261&lt;=$C$16,$F$16,$G$16))</f>
        <v>0</v>
      </c>
      <c r="Z51">
        <f>IF($B$17="age",IF(Data!C261&lt;=$C$17,$F$17,$G$17),IF(Data!B261&lt;=$C$17,$F$17,$G$17))</f>
        <v>1</v>
      </c>
      <c r="AA51">
        <f>IF($B$18="age",IF(Data!C261&lt;=$C$18,$F$18,$G$18),IF(Data!B261&lt;=$C$18,$F$18,$G$18))</f>
        <v>0</v>
      </c>
      <c r="AB51">
        <f>IF($B$19="age",IF(Data!C261&lt;=$C$19,$F$19,$G$19),IF(Data!B261&lt;=$C$19,$F$19,$G$19))</f>
        <v>1</v>
      </c>
      <c r="AC51">
        <f>IF($B$20="age",IF(Data!C261&lt;=$C$20,$F$20,$G$20),IF(Data!B261&lt;=$C$20,$F$20,$G$20))</f>
        <v>1</v>
      </c>
      <c r="AD51">
        <f>IF($B$21="age",IF(Data!C261&lt;=$C$21,$F$21,$G$21),IF(Data!B261&lt;=$C$21,$F$21,$G$21))</f>
        <v>1</v>
      </c>
      <c r="AE51">
        <f>IF($B$22="age",IF(Data!C261&lt;=$C$22,$F$22,$G$22),IF(Data!B261&lt;=$C$22,$F$22,$G$22))</f>
        <v>1</v>
      </c>
      <c r="AF51">
        <f>IF($B$23="age",IF(Data!C261&lt;=$C$23,$F$23,$G$23),IF(Data!B261&lt;=$C$23,$F$23,$G$23))</f>
        <v>1</v>
      </c>
      <c r="AG51">
        <f>IF($B$24="age",IF(Data!C261&lt;=$C$24,$F$24,$G$24),IF(Data!B261&lt;=$C$24,$F$24,$G$24))</f>
        <v>1</v>
      </c>
      <c r="AH51">
        <f>IF($B$25="age",IF(Data!C261&lt;=$C$25,$F$25,$G$25),IF(Data!B261&lt;=$C$25,$F$25,$G$25))</f>
        <v>1</v>
      </c>
      <c r="AI51">
        <f>IF($B$26="age",IF(Data!C261&lt;=$C$26,$F$26,$G$26),IF(Data!B261&lt;=$C$26,$F$26,$G$26))</f>
        <v>1</v>
      </c>
      <c r="AJ51">
        <f t="shared" si="2"/>
        <v>0.88</v>
      </c>
      <c r="AK51">
        <f>IF(AJ51&gt;=Controls!$B$2,1,0)</f>
        <v>1</v>
      </c>
      <c r="AL51">
        <f t="shared" si="3"/>
        <v>0</v>
      </c>
    </row>
    <row r="52" spans="9:38" x14ac:dyDescent="0.2">
      <c r="I52">
        <f>Data!A262</f>
        <v>261</v>
      </c>
      <c r="J52">
        <f>Data!L262</f>
        <v>0</v>
      </c>
      <c r="K52">
        <f>IF($B$2="age",IF(Data!C262&lt;=$C$2,$F$2,$G$2),IF(Data!B262&lt;=$C$2,$F$2,$G$2))</f>
        <v>0</v>
      </c>
      <c r="L52">
        <f>IF($B$3="age",IF(Data!C262&lt;=$C$3,$F$3,$G$3),IF(Data!B262&lt;=$C$3,$F$3,$G$3))</f>
        <v>1</v>
      </c>
      <c r="M52">
        <f>IF($B$4="age",IF(Data!C262&lt;=$C$4,$F$4,$G$4),IF(Data!B262&lt;=$C$4,$F$4,$G$4))</f>
        <v>1</v>
      </c>
      <c r="N52">
        <f>IF($B$5="age",IF(Data!C262&lt;=$C$5,$F$5,$G$5),IF(Data!B262&lt;=$C$5,$F$5,$G$5))</f>
        <v>1</v>
      </c>
      <c r="O52">
        <f>IF($B$6="age",IF(Data!C262&lt;=$C$6,$F$6,$G$6),IF(Data!B262&lt;=$C$6,$F$6,$G$6))</f>
        <v>0</v>
      </c>
      <c r="P52">
        <f>IF($B$7="age",IF(Data!C262&lt;=$C$7,$F$7,$G$7),IF(Data!B262&lt;=$C$7,$F$7,$G$7))</f>
        <v>1</v>
      </c>
      <c r="Q52">
        <f>IF($B$8="age",IF(Data!C262&lt;=$C$8,$F$8,$G$8),IF(Data!B262&lt;=$C$8,$F$8,$G$8))</f>
        <v>1</v>
      </c>
      <c r="R52">
        <f>IF($B$9="age",IF(Data!C262&lt;=$C$9,$F$9,$G$9),IF(Data!B262&lt;=$C$9,$F$9,$G$9))</f>
        <v>1</v>
      </c>
      <c r="S52">
        <f>IF($B$10="age",IF(Data!C262&lt;=$C$10,$F$10,$G$10),IF(Data!B262&lt;=$C$10,$F$10,$G$10))</f>
        <v>0</v>
      </c>
      <c r="T52">
        <f>IF($B$11="age",IF(Data!C262&lt;=$C$11,$F$11,$G$11),IF(Data!B262&lt;=$C$11,$F$11,$G$11))</f>
        <v>1</v>
      </c>
      <c r="U52">
        <f>IF($B$12="age",IF(Data!C262&lt;=$C$12,$F$12,$G$12),IF(Data!B262&lt;=$C$12,$F$12,$G$12))</f>
        <v>1</v>
      </c>
      <c r="V52">
        <f>IF($B$13="age",IF(Data!C262&lt;=$C$13,$F$13,$G$13),IF(Data!B262&lt;=$C$13,$F$13,$G$13))</f>
        <v>1</v>
      </c>
      <c r="W52">
        <f>IF($B$14="age",IF(Data!C262&lt;=$C$14,$F$14,$G$14),IF(Data!B262&lt;=$C$14,$F$14,$G$14))</f>
        <v>0</v>
      </c>
      <c r="X52">
        <f>IF($B$15="age",IF(Data!C262&lt;=$C$15,$F$15,$G$15),IF(Data!B262&lt;=$C$15,$F$15,$G$15))</f>
        <v>1</v>
      </c>
      <c r="Y52">
        <f>IF($B$16="age",IF(Data!C262&lt;=$C$16,$F$16,$G$16),IF(Data!B262&lt;=$C$16,$F$16,$G$16))</f>
        <v>1</v>
      </c>
      <c r="Z52">
        <f>IF($B$17="age",IF(Data!C262&lt;=$C$17,$F$17,$G$17),IF(Data!B262&lt;=$C$17,$F$17,$G$17))</f>
        <v>0</v>
      </c>
      <c r="AA52">
        <f>IF($B$18="age",IF(Data!C262&lt;=$C$18,$F$18,$G$18),IF(Data!B262&lt;=$C$18,$F$18,$G$18))</f>
        <v>1</v>
      </c>
      <c r="AB52">
        <f>IF($B$19="age",IF(Data!C262&lt;=$C$19,$F$19,$G$19),IF(Data!B262&lt;=$C$19,$F$19,$G$19))</f>
        <v>1</v>
      </c>
      <c r="AC52">
        <f>IF($B$20="age",IF(Data!C262&lt;=$C$20,$F$20,$G$20),IF(Data!B262&lt;=$C$20,$F$20,$G$20))</f>
        <v>1</v>
      </c>
      <c r="AD52">
        <f>IF($B$21="age",IF(Data!C262&lt;=$C$21,$F$21,$G$21),IF(Data!B262&lt;=$C$21,$F$21,$G$21))</f>
        <v>0</v>
      </c>
      <c r="AE52">
        <f>IF($B$22="age",IF(Data!C262&lt;=$C$22,$F$22,$G$22),IF(Data!B262&lt;=$C$22,$F$22,$G$22))</f>
        <v>0</v>
      </c>
      <c r="AF52">
        <f>IF($B$23="age",IF(Data!C262&lt;=$C$23,$F$23,$G$23),IF(Data!B262&lt;=$C$23,$F$23,$G$23))</f>
        <v>1</v>
      </c>
      <c r="AG52">
        <f>IF($B$24="age",IF(Data!C262&lt;=$C$24,$F$24,$G$24),IF(Data!B262&lt;=$C$24,$F$24,$G$24))</f>
        <v>0</v>
      </c>
      <c r="AH52">
        <f>IF($B$25="age",IF(Data!C262&lt;=$C$25,$F$25,$G$25),IF(Data!B262&lt;=$C$25,$F$25,$G$25))</f>
        <v>1</v>
      </c>
      <c r="AI52">
        <f>IF($B$26="age",IF(Data!C262&lt;=$C$26,$F$26,$G$26),IF(Data!B262&lt;=$C$26,$F$26,$G$26))</f>
        <v>1</v>
      </c>
      <c r="AJ52">
        <f t="shared" si="2"/>
        <v>0.68</v>
      </c>
      <c r="AK52">
        <f>IF(AJ52&gt;=Controls!$B$2,1,0)</f>
        <v>1</v>
      </c>
      <c r="AL52">
        <f t="shared" si="3"/>
        <v>0</v>
      </c>
    </row>
    <row r="53" spans="9:38" x14ac:dyDescent="0.2">
      <c r="I53">
        <f>Data!A263</f>
        <v>262</v>
      </c>
      <c r="J53">
        <f>Data!L263</f>
        <v>1</v>
      </c>
      <c r="K53">
        <f>IF($B$2="age",IF(Data!C263&lt;=$C$2,$F$2,$G$2),IF(Data!B263&lt;=$C$2,$F$2,$G$2))</f>
        <v>0</v>
      </c>
      <c r="L53">
        <f>IF($B$3="age",IF(Data!C263&lt;=$C$3,$F$3,$G$3),IF(Data!B263&lt;=$C$3,$F$3,$G$3))</f>
        <v>0</v>
      </c>
      <c r="M53">
        <f>IF($B$4="age",IF(Data!C263&lt;=$C$4,$F$4,$G$4),IF(Data!B263&lt;=$C$4,$F$4,$G$4))</f>
        <v>1</v>
      </c>
      <c r="N53">
        <f>IF($B$5="age",IF(Data!C263&lt;=$C$5,$F$5,$G$5),IF(Data!B263&lt;=$C$5,$F$5,$G$5))</f>
        <v>0</v>
      </c>
      <c r="O53">
        <f>IF($B$6="age",IF(Data!C263&lt;=$C$6,$F$6,$G$6),IF(Data!B263&lt;=$C$6,$F$6,$G$6))</f>
        <v>1</v>
      </c>
      <c r="P53">
        <f>IF($B$7="age",IF(Data!C263&lt;=$C$7,$F$7,$G$7),IF(Data!B263&lt;=$C$7,$F$7,$G$7))</f>
        <v>1</v>
      </c>
      <c r="Q53">
        <f>IF($B$8="age",IF(Data!C263&lt;=$C$8,$F$8,$G$8),IF(Data!B263&lt;=$C$8,$F$8,$G$8))</f>
        <v>1</v>
      </c>
      <c r="R53">
        <f>IF($B$9="age",IF(Data!C263&lt;=$C$9,$F$9,$G$9),IF(Data!B263&lt;=$C$9,$F$9,$G$9))</f>
        <v>0</v>
      </c>
      <c r="S53">
        <f>IF($B$10="age",IF(Data!C263&lt;=$C$10,$F$10,$G$10),IF(Data!B263&lt;=$C$10,$F$10,$G$10))</f>
        <v>1</v>
      </c>
      <c r="T53">
        <f>IF($B$11="age",IF(Data!C263&lt;=$C$11,$F$11,$G$11),IF(Data!B263&lt;=$C$11,$F$11,$G$11))</f>
        <v>0</v>
      </c>
      <c r="U53">
        <f>IF($B$12="age",IF(Data!C263&lt;=$C$12,$F$12,$G$12),IF(Data!B263&lt;=$C$12,$F$12,$G$12))</f>
        <v>1</v>
      </c>
      <c r="V53">
        <f>IF($B$13="age",IF(Data!C263&lt;=$C$13,$F$13,$G$13),IF(Data!B263&lt;=$C$13,$F$13,$G$13))</f>
        <v>0</v>
      </c>
      <c r="W53">
        <f>IF($B$14="age",IF(Data!C263&lt;=$C$14,$F$14,$G$14),IF(Data!B263&lt;=$C$14,$F$14,$G$14))</f>
        <v>1</v>
      </c>
      <c r="X53">
        <f>IF($B$15="age",IF(Data!C263&lt;=$C$15,$F$15,$G$15),IF(Data!B263&lt;=$C$15,$F$15,$G$15))</f>
        <v>1</v>
      </c>
      <c r="Y53">
        <f>IF($B$16="age",IF(Data!C263&lt;=$C$16,$F$16,$G$16),IF(Data!B263&lt;=$C$16,$F$16,$G$16))</f>
        <v>1</v>
      </c>
      <c r="Z53">
        <f>IF($B$17="age",IF(Data!C263&lt;=$C$17,$F$17,$G$17),IF(Data!B263&lt;=$C$17,$F$17,$G$17))</f>
        <v>0</v>
      </c>
      <c r="AA53">
        <f>IF($B$18="age",IF(Data!C263&lt;=$C$18,$F$18,$G$18),IF(Data!B263&lt;=$C$18,$F$18,$G$18))</f>
        <v>1</v>
      </c>
      <c r="AB53">
        <f>IF($B$19="age",IF(Data!C263&lt;=$C$19,$F$19,$G$19),IF(Data!B263&lt;=$C$19,$F$19,$G$19))</f>
        <v>0</v>
      </c>
      <c r="AC53">
        <f>IF($B$20="age",IF(Data!C263&lt;=$C$20,$F$20,$G$20),IF(Data!B263&lt;=$C$20,$F$20,$G$20))</f>
        <v>1</v>
      </c>
      <c r="AD53">
        <f>IF($B$21="age",IF(Data!C263&lt;=$C$21,$F$21,$G$21),IF(Data!B263&lt;=$C$21,$F$21,$G$21))</f>
        <v>0</v>
      </c>
      <c r="AE53">
        <f>IF($B$22="age",IF(Data!C263&lt;=$C$22,$F$22,$G$22),IF(Data!B263&lt;=$C$22,$F$22,$G$22))</f>
        <v>1</v>
      </c>
      <c r="AF53">
        <f>IF($B$23="age",IF(Data!C263&lt;=$C$23,$F$23,$G$23),IF(Data!B263&lt;=$C$23,$F$23,$G$23))</f>
        <v>0</v>
      </c>
      <c r="AG53">
        <f>IF($B$24="age",IF(Data!C263&lt;=$C$24,$F$24,$G$24),IF(Data!B263&lt;=$C$24,$F$24,$G$24))</f>
        <v>1</v>
      </c>
      <c r="AH53">
        <f>IF($B$25="age",IF(Data!C263&lt;=$C$25,$F$25,$G$25),IF(Data!B263&lt;=$C$25,$F$25,$G$25))</f>
        <v>1</v>
      </c>
      <c r="AI53">
        <f>IF($B$26="age",IF(Data!C263&lt;=$C$26,$F$26,$G$26),IF(Data!B263&lt;=$C$26,$F$26,$G$26))</f>
        <v>1</v>
      </c>
      <c r="AJ53">
        <f t="shared" si="2"/>
        <v>0.6</v>
      </c>
      <c r="AK53">
        <f>IF(AJ53&gt;=Controls!$B$2,1,0)</f>
        <v>1</v>
      </c>
      <c r="AL53">
        <f t="shared" si="3"/>
        <v>1</v>
      </c>
    </row>
    <row r="54" spans="9:38" x14ac:dyDescent="0.2">
      <c r="I54">
        <f>Data!A264</f>
        <v>263</v>
      </c>
      <c r="J54">
        <f>Data!L264</f>
        <v>1</v>
      </c>
      <c r="K54">
        <f>IF($B$2="age",IF(Data!C264&lt;=$C$2,$F$2,$G$2),IF(Data!B264&lt;=$C$2,$F$2,$G$2))</f>
        <v>0</v>
      </c>
      <c r="L54">
        <f>IF($B$3="age",IF(Data!C264&lt;=$C$3,$F$3,$G$3),IF(Data!B264&lt;=$C$3,$F$3,$G$3))</f>
        <v>1</v>
      </c>
      <c r="M54">
        <f>IF($B$4="age",IF(Data!C264&lt;=$C$4,$F$4,$G$4),IF(Data!B264&lt;=$C$4,$F$4,$G$4))</f>
        <v>1</v>
      </c>
      <c r="N54">
        <f>IF($B$5="age",IF(Data!C264&lt;=$C$5,$F$5,$G$5),IF(Data!B264&lt;=$C$5,$F$5,$G$5))</f>
        <v>1</v>
      </c>
      <c r="O54">
        <f>IF($B$6="age",IF(Data!C264&lt;=$C$6,$F$6,$G$6),IF(Data!B264&lt;=$C$6,$F$6,$G$6))</f>
        <v>0</v>
      </c>
      <c r="P54">
        <f>IF($B$7="age",IF(Data!C264&lt;=$C$7,$F$7,$G$7),IF(Data!B264&lt;=$C$7,$F$7,$G$7))</f>
        <v>1</v>
      </c>
      <c r="Q54">
        <f>IF($B$8="age",IF(Data!C264&lt;=$C$8,$F$8,$G$8),IF(Data!B264&lt;=$C$8,$F$8,$G$8))</f>
        <v>1</v>
      </c>
      <c r="R54">
        <f>IF($B$9="age",IF(Data!C264&lt;=$C$9,$F$9,$G$9),IF(Data!B264&lt;=$C$9,$F$9,$G$9))</f>
        <v>1</v>
      </c>
      <c r="S54">
        <f>IF($B$10="age",IF(Data!C264&lt;=$C$10,$F$10,$G$10),IF(Data!B264&lt;=$C$10,$F$10,$G$10))</f>
        <v>0</v>
      </c>
      <c r="T54">
        <f>IF($B$11="age",IF(Data!C264&lt;=$C$11,$F$11,$G$11),IF(Data!B264&lt;=$C$11,$F$11,$G$11))</f>
        <v>1</v>
      </c>
      <c r="U54">
        <f>IF($B$12="age",IF(Data!C264&lt;=$C$12,$F$12,$G$12),IF(Data!B264&lt;=$C$12,$F$12,$G$12))</f>
        <v>1</v>
      </c>
      <c r="V54">
        <f>IF($B$13="age",IF(Data!C264&lt;=$C$13,$F$13,$G$13),IF(Data!B264&lt;=$C$13,$F$13,$G$13))</f>
        <v>1</v>
      </c>
      <c r="W54">
        <f>IF($B$14="age",IF(Data!C264&lt;=$C$14,$F$14,$G$14),IF(Data!B264&lt;=$C$14,$F$14,$G$14))</f>
        <v>0</v>
      </c>
      <c r="X54">
        <f>IF($B$15="age",IF(Data!C264&lt;=$C$15,$F$15,$G$15),IF(Data!B264&lt;=$C$15,$F$15,$G$15))</f>
        <v>1</v>
      </c>
      <c r="Y54">
        <f>IF($B$16="age",IF(Data!C264&lt;=$C$16,$F$16,$G$16),IF(Data!B264&lt;=$C$16,$F$16,$G$16))</f>
        <v>1</v>
      </c>
      <c r="Z54">
        <f>IF($B$17="age",IF(Data!C264&lt;=$C$17,$F$17,$G$17),IF(Data!B264&lt;=$C$17,$F$17,$G$17))</f>
        <v>1</v>
      </c>
      <c r="AA54">
        <f>IF($B$18="age",IF(Data!C264&lt;=$C$18,$F$18,$G$18),IF(Data!B264&lt;=$C$18,$F$18,$G$18))</f>
        <v>1</v>
      </c>
      <c r="AB54">
        <f>IF($B$19="age",IF(Data!C264&lt;=$C$19,$F$19,$G$19),IF(Data!B264&lt;=$C$19,$F$19,$G$19))</f>
        <v>1</v>
      </c>
      <c r="AC54">
        <f>IF($B$20="age",IF(Data!C264&lt;=$C$20,$F$20,$G$20),IF(Data!B264&lt;=$C$20,$F$20,$G$20))</f>
        <v>1</v>
      </c>
      <c r="AD54">
        <f>IF($B$21="age",IF(Data!C264&lt;=$C$21,$F$21,$G$21),IF(Data!B264&lt;=$C$21,$F$21,$G$21))</f>
        <v>1</v>
      </c>
      <c r="AE54">
        <f>IF($B$22="age",IF(Data!C264&lt;=$C$22,$F$22,$G$22),IF(Data!B264&lt;=$C$22,$F$22,$G$22))</f>
        <v>0</v>
      </c>
      <c r="AF54">
        <f>IF($B$23="age",IF(Data!C264&lt;=$C$23,$F$23,$G$23),IF(Data!B264&lt;=$C$23,$F$23,$G$23))</f>
        <v>1</v>
      </c>
      <c r="AG54">
        <f>IF($B$24="age",IF(Data!C264&lt;=$C$24,$F$24,$G$24),IF(Data!B264&lt;=$C$24,$F$24,$G$24))</f>
        <v>0</v>
      </c>
      <c r="AH54">
        <f>IF($B$25="age",IF(Data!C264&lt;=$C$25,$F$25,$G$25),IF(Data!B264&lt;=$C$25,$F$25,$G$25))</f>
        <v>1</v>
      </c>
      <c r="AI54">
        <f>IF($B$26="age",IF(Data!C264&lt;=$C$26,$F$26,$G$26),IF(Data!B264&lt;=$C$26,$F$26,$G$26))</f>
        <v>1</v>
      </c>
      <c r="AJ54">
        <f t="shared" si="2"/>
        <v>0.76</v>
      </c>
      <c r="AK54">
        <f>IF(AJ54&gt;=Controls!$B$2,1,0)</f>
        <v>1</v>
      </c>
      <c r="AL54">
        <f t="shared" si="3"/>
        <v>1</v>
      </c>
    </row>
    <row r="55" spans="9:38" x14ac:dyDescent="0.2">
      <c r="I55">
        <f>Data!A265</f>
        <v>264</v>
      </c>
      <c r="J55">
        <f>Data!L265</f>
        <v>0</v>
      </c>
      <c r="K55">
        <f>IF($B$2="age",IF(Data!C265&lt;=$C$2,$F$2,$G$2),IF(Data!B265&lt;=$C$2,$F$2,$G$2))</f>
        <v>0</v>
      </c>
      <c r="L55">
        <f>IF($B$3="age",IF(Data!C265&lt;=$C$3,$F$3,$G$3),IF(Data!B265&lt;=$C$3,$F$3,$G$3))</f>
        <v>1</v>
      </c>
      <c r="M55">
        <f>IF($B$4="age",IF(Data!C265&lt;=$C$4,$F$4,$G$4),IF(Data!B265&lt;=$C$4,$F$4,$G$4))</f>
        <v>1</v>
      </c>
      <c r="N55">
        <f>IF($B$5="age",IF(Data!C265&lt;=$C$5,$F$5,$G$5),IF(Data!B265&lt;=$C$5,$F$5,$G$5))</f>
        <v>1</v>
      </c>
      <c r="O55">
        <f>IF($B$6="age",IF(Data!C265&lt;=$C$6,$F$6,$G$6),IF(Data!B265&lt;=$C$6,$F$6,$G$6))</f>
        <v>0</v>
      </c>
      <c r="P55">
        <f>IF($B$7="age",IF(Data!C265&lt;=$C$7,$F$7,$G$7),IF(Data!B265&lt;=$C$7,$F$7,$G$7))</f>
        <v>1</v>
      </c>
      <c r="Q55">
        <f>IF($B$8="age",IF(Data!C265&lt;=$C$8,$F$8,$G$8),IF(Data!B265&lt;=$C$8,$F$8,$G$8))</f>
        <v>1</v>
      </c>
      <c r="R55">
        <f>IF($B$9="age",IF(Data!C265&lt;=$C$9,$F$9,$G$9),IF(Data!B265&lt;=$C$9,$F$9,$G$9))</f>
        <v>1</v>
      </c>
      <c r="S55">
        <f>IF($B$10="age",IF(Data!C265&lt;=$C$10,$F$10,$G$10),IF(Data!B265&lt;=$C$10,$F$10,$G$10))</f>
        <v>0</v>
      </c>
      <c r="T55">
        <f>IF($B$11="age",IF(Data!C265&lt;=$C$11,$F$11,$G$11),IF(Data!B265&lt;=$C$11,$F$11,$G$11))</f>
        <v>1</v>
      </c>
      <c r="U55">
        <f>IF($B$12="age",IF(Data!C265&lt;=$C$12,$F$12,$G$12),IF(Data!B265&lt;=$C$12,$F$12,$G$12))</f>
        <v>1</v>
      </c>
      <c r="V55">
        <f>IF($B$13="age",IF(Data!C265&lt;=$C$13,$F$13,$G$13),IF(Data!B265&lt;=$C$13,$F$13,$G$13))</f>
        <v>1</v>
      </c>
      <c r="W55">
        <f>IF($B$14="age",IF(Data!C265&lt;=$C$14,$F$14,$G$14),IF(Data!B265&lt;=$C$14,$F$14,$G$14))</f>
        <v>0</v>
      </c>
      <c r="X55">
        <f>IF($B$15="age",IF(Data!C265&lt;=$C$15,$F$15,$G$15),IF(Data!B265&lt;=$C$15,$F$15,$G$15))</f>
        <v>1</v>
      </c>
      <c r="Y55">
        <f>IF($B$16="age",IF(Data!C265&lt;=$C$16,$F$16,$G$16),IF(Data!B265&lt;=$C$16,$F$16,$G$16))</f>
        <v>1</v>
      </c>
      <c r="Z55">
        <f>IF($B$17="age",IF(Data!C265&lt;=$C$17,$F$17,$G$17),IF(Data!B265&lt;=$C$17,$F$17,$G$17))</f>
        <v>1</v>
      </c>
      <c r="AA55">
        <f>IF($B$18="age",IF(Data!C265&lt;=$C$18,$F$18,$G$18),IF(Data!B265&lt;=$C$18,$F$18,$G$18))</f>
        <v>1</v>
      </c>
      <c r="AB55">
        <f>IF($B$19="age",IF(Data!C265&lt;=$C$19,$F$19,$G$19),IF(Data!B265&lt;=$C$19,$F$19,$G$19))</f>
        <v>1</v>
      </c>
      <c r="AC55">
        <f>IF($B$20="age",IF(Data!C265&lt;=$C$20,$F$20,$G$20),IF(Data!B265&lt;=$C$20,$F$20,$G$20))</f>
        <v>1</v>
      </c>
      <c r="AD55">
        <f>IF($B$21="age",IF(Data!C265&lt;=$C$21,$F$21,$G$21),IF(Data!B265&lt;=$C$21,$F$21,$G$21))</f>
        <v>1</v>
      </c>
      <c r="AE55">
        <f>IF($B$22="age",IF(Data!C265&lt;=$C$22,$F$22,$G$22),IF(Data!B265&lt;=$C$22,$F$22,$G$22))</f>
        <v>0</v>
      </c>
      <c r="AF55">
        <f>IF($B$23="age",IF(Data!C265&lt;=$C$23,$F$23,$G$23),IF(Data!B265&lt;=$C$23,$F$23,$G$23))</f>
        <v>1</v>
      </c>
      <c r="AG55">
        <f>IF($B$24="age",IF(Data!C265&lt;=$C$24,$F$24,$G$24),IF(Data!B265&lt;=$C$24,$F$24,$G$24))</f>
        <v>0</v>
      </c>
      <c r="AH55">
        <f>IF($B$25="age",IF(Data!C265&lt;=$C$25,$F$25,$G$25),IF(Data!B265&lt;=$C$25,$F$25,$G$25))</f>
        <v>1</v>
      </c>
      <c r="AI55">
        <f>IF($B$26="age",IF(Data!C265&lt;=$C$26,$F$26,$G$26),IF(Data!B265&lt;=$C$26,$F$26,$G$26))</f>
        <v>1</v>
      </c>
      <c r="AJ55">
        <f t="shared" si="2"/>
        <v>0.76</v>
      </c>
      <c r="AK55">
        <f>IF(AJ55&gt;=Controls!$B$2,1,0)</f>
        <v>1</v>
      </c>
      <c r="AL55">
        <f t="shared" si="3"/>
        <v>0</v>
      </c>
    </row>
    <row r="56" spans="9:38" x14ac:dyDescent="0.2">
      <c r="I56">
        <f>Data!A266</f>
        <v>265</v>
      </c>
      <c r="J56">
        <f>Data!L266</f>
        <v>0</v>
      </c>
      <c r="K56">
        <f>IF($B$2="age",IF(Data!C266&lt;=$C$2,$F$2,$G$2),IF(Data!B266&lt;=$C$2,$F$2,$G$2))</f>
        <v>0</v>
      </c>
      <c r="L56">
        <f>IF($B$3="age",IF(Data!C266&lt;=$C$3,$F$3,$G$3),IF(Data!B266&lt;=$C$3,$F$3,$G$3))</f>
        <v>1</v>
      </c>
      <c r="M56">
        <f>IF($B$4="age",IF(Data!C266&lt;=$C$4,$F$4,$G$4),IF(Data!B266&lt;=$C$4,$F$4,$G$4))</f>
        <v>1</v>
      </c>
      <c r="N56">
        <f>IF($B$5="age",IF(Data!C266&lt;=$C$5,$F$5,$G$5),IF(Data!B266&lt;=$C$5,$F$5,$G$5))</f>
        <v>0</v>
      </c>
      <c r="O56">
        <f>IF($B$6="age",IF(Data!C266&lt;=$C$6,$F$6,$G$6),IF(Data!B266&lt;=$C$6,$F$6,$G$6))</f>
        <v>0</v>
      </c>
      <c r="P56">
        <f>IF($B$7="age",IF(Data!C266&lt;=$C$7,$F$7,$G$7),IF(Data!B266&lt;=$C$7,$F$7,$G$7))</f>
        <v>1</v>
      </c>
      <c r="Q56">
        <f>IF($B$8="age",IF(Data!C266&lt;=$C$8,$F$8,$G$8),IF(Data!B266&lt;=$C$8,$F$8,$G$8))</f>
        <v>1</v>
      </c>
      <c r="R56">
        <f>IF($B$9="age",IF(Data!C266&lt;=$C$9,$F$9,$G$9),IF(Data!B266&lt;=$C$9,$F$9,$G$9))</f>
        <v>0</v>
      </c>
      <c r="S56">
        <f>IF($B$10="age",IF(Data!C266&lt;=$C$10,$F$10,$G$10),IF(Data!B266&lt;=$C$10,$F$10,$G$10))</f>
        <v>0</v>
      </c>
      <c r="T56">
        <f>IF($B$11="age",IF(Data!C266&lt;=$C$11,$F$11,$G$11),IF(Data!B266&lt;=$C$11,$F$11,$G$11))</f>
        <v>0</v>
      </c>
      <c r="U56">
        <f>IF($B$12="age",IF(Data!C266&lt;=$C$12,$F$12,$G$12),IF(Data!B266&lt;=$C$12,$F$12,$G$12))</f>
        <v>1</v>
      </c>
      <c r="V56">
        <f>IF($B$13="age",IF(Data!C266&lt;=$C$13,$F$13,$G$13),IF(Data!B266&lt;=$C$13,$F$13,$G$13))</f>
        <v>0</v>
      </c>
      <c r="W56">
        <f>IF($B$14="age",IF(Data!C266&lt;=$C$14,$F$14,$G$14),IF(Data!B266&lt;=$C$14,$F$14,$G$14))</f>
        <v>0</v>
      </c>
      <c r="X56">
        <f>IF($B$15="age",IF(Data!C266&lt;=$C$15,$F$15,$G$15),IF(Data!B266&lt;=$C$15,$F$15,$G$15))</f>
        <v>1</v>
      </c>
      <c r="Y56">
        <f>IF($B$16="age",IF(Data!C266&lt;=$C$16,$F$16,$G$16),IF(Data!B266&lt;=$C$16,$F$16,$G$16))</f>
        <v>1</v>
      </c>
      <c r="Z56">
        <f>IF($B$17="age",IF(Data!C266&lt;=$C$17,$F$17,$G$17),IF(Data!B266&lt;=$C$17,$F$17,$G$17))</f>
        <v>0</v>
      </c>
      <c r="AA56">
        <f>IF($B$18="age",IF(Data!C266&lt;=$C$18,$F$18,$G$18),IF(Data!B266&lt;=$C$18,$F$18,$G$18))</f>
        <v>1</v>
      </c>
      <c r="AB56">
        <f>IF($B$19="age",IF(Data!C266&lt;=$C$19,$F$19,$G$19),IF(Data!B266&lt;=$C$19,$F$19,$G$19))</f>
        <v>0</v>
      </c>
      <c r="AC56">
        <f>IF($B$20="age",IF(Data!C266&lt;=$C$20,$F$20,$G$20),IF(Data!B266&lt;=$C$20,$F$20,$G$20))</f>
        <v>1</v>
      </c>
      <c r="AD56">
        <f>IF($B$21="age",IF(Data!C266&lt;=$C$21,$F$21,$G$21),IF(Data!B266&lt;=$C$21,$F$21,$G$21))</f>
        <v>0</v>
      </c>
      <c r="AE56">
        <f>IF($B$22="age",IF(Data!C266&lt;=$C$22,$F$22,$G$22),IF(Data!B266&lt;=$C$22,$F$22,$G$22))</f>
        <v>0</v>
      </c>
      <c r="AF56">
        <f>IF($B$23="age",IF(Data!C266&lt;=$C$23,$F$23,$G$23),IF(Data!B266&lt;=$C$23,$F$23,$G$23))</f>
        <v>0</v>
      </c>
      <c r="AG56">
        <f>IF($B$24="age",IF(Data!C266&lt;=$C$24,$F$24,$G$24),IF(Data!B266&lt;=$C$24,$F$24,$G$24))</f>
        <v>1</v>
      </c>
      <c r="AH56">
        <f>IF($B$25="age",IF(Data!C266&lt;=$C$25,$F$25,$G$25),IF(Data!B266&lt;=$C$25,$F$25,$G$25))</f>
        <v>1</v>
      </c>
      <c r="AI56">
        <f>IF($B$26="age",IF(Data!C266&lt;=$C$26,$F$26,$G$26),IF(Data!B266&lt;=$C$26,$F$26,$G$26))</f>
        <v>1</v>
      </c>
      <c r="AJ56">
        <f t="shared" si="2"/>
        <v>0.48</v>
      </c>
      <c r="AK56">
        <f>IF(AJ56&gt;=Controls!$B$2,1,0)</f>
        <v>0</v>
      </c>
      <c r="AL56">
        <f t="shared" si="3"/>
        <v>1</v>
      </c>
    </row>
    <row r="57" spans="9:38" x14ac:dyDescent="0.2">
      <c r="I57">
        <f>Data!A267</f>
        <v>266</v>
      </c>
      <c r="J57">
        <f>Data!L267</f>
        <v>1</v>
      </c>
      <c r="K57">
        <f>IF($B$2="age",IF(Data!C267&lt;=$C$2,$F$2,$G$2),IF(Data!B267&lt;=$C$2,$F$2,$G$2))</f>
        <v>0</v>
      </c>
      <c r="L57">
        <f>IF($B$3="age",IF(Data!C267&lt;=$C$3,$F$3,$G$3),IF(Data!B267&lt;=$C$3,$F$3,$G$3))</f>
        <v>1</v>
      </c>
      <c r="M57">
        <f>IF($B$4="age",IF(Data!C267&lt;=$C$4,$F$4,$G$4),IF(Data!B267&lt;=$C$4,$F$4,$G$4))</f>
        <v>1</v>
      </c>
      <c r="N57">
        <f>IF($B$5="age",IF(Data!C267&lt;=$C$5,$F$5,$G$5),IF(Data!B267&lt;=$C$5,$F$5,$G$5))</f>
        <v>1</v>
      </c>
      <c r="O57">
        <f>IF($B$6="age",IF(Data!C267&lt;=$C$6,$F$6,$G$6),IF(Data!B267&lt;=$C$6,$F$6,$G$6))</f>
        <v>0</v>
      </c>
      <c r="P57">
        <f>IF($B$7="age",IF(Data!C267&lt;=$C$7,$F$7,$G$7),IF(Data!B267&lt;=$C$7,$F$7,$G$7))</f>
        <v>1</v>
      </c>
      <c r="Q57">
        <f>IF($B$8="age",IF(Data!C267&lt;=$C$8,$F$8,$G$8),IF(Data!B267&lt;=$C$8,$F$8,$G$8))</f>
        <v>1</v>
      </c>
      <c r="R57">
        <f>IF($B$9="age",IF(Data!C267&lt;=$C$9,$F$9,$G$9),IF(Data!B267&lt;=$C$9,$F$9,$G$9))</f>
        <v>1</v>
      </c>
      <c r="S57">
        <f>IF($B$10="age",IF(Data!C267&lt;=$C$10,$F$10,$G$10),IF(Data!B267&lt;=$C$10,$F$10,$G$10))</f>
        <v>0</v>
      </c>
      <c r="T57">
        <f>IF($B$11="age",IF(Data!C267&lt;=$C$11,$F$11,$G$11),IF(Data!B267&lt;=$C$11,$F$11,$G$11))</f>
        <v>1</v>
      </c>
      <c r="U57">
        <f>IF($B$12="age",IF(Data!C267&lt;=$C$12,$F$12,$G$12),IF(Data!B267&lt;=$C$12,$F$12,$G$12))</f>
        <v>1</v>
      </c>
      <c r="V57">
        <f>IF($B$13="age",IF(Data!C267&lt;=$C$13,$F$13,$G$13),IF(Data!B267&lt;=$C$13,$F$13,$G$13))</f>
        <v>1</v>
      </c>
      <c r="W57">
        <f>IF($B$14="age",IF(Data!C267&lt;=$C$14,$F$14,$G$14),IF(Data!B267&lt;=$C$14,$F$14,$G$14))</f>
        <v>0</v>
      </c>
      <c r="X57">
        <f>IF($B$15="age",IF(Data!C267&lt;=$C$15,$F$15,$G$15),IF(Data!B267&lt;=$C$15,$F$15,$G$15))</f>
        <v>1</v>
      </c>
      <c r="Y57">
        <f>IF($B$16="age",IF(Data!C267&lt;=$C$16,$F$16,$G$16),IF(Data!B267&lt;=$C$16,$F$16,$G$16))</f>
        <v>1</v>
      </c>
      <c r="Z57">
        <f>IF($B$17="age",IF(Data!C267&lt;=$C$17,$F$17,$G$17),IF(Data!B267&lt;=$C$17,$F$17,$G$17))</f>
        <v>1</v>
      </c>
      <c r="AA57">
        <f>IF($B$18="age",IF(Data!C267&lt;=$C$18,$F$18,$G$18),IF(Data!B267&lt;=$C$18,$F$18,$G$18))</f>
        <v>1</v>
      </c>
      <c r="AB57">
        <f>IF($B$19="age",IF(Data!C267&lt;=$C$19,$F$19,$G$19),IF(Data!B267&lt;=$C$19,$F$19,$G$19))</f>
        <v>1</v>
      </c>
      <c r="AC57">
        <f>IF($B$20="age",IF(Data!C267&lt;=$C$20,$F$20,$G$20),IF(Data!B267&lt;=$C$20,$F$20,$G$20))</f>
        <v>1</v>
      </c>
      <c r="AD57">
        <f>IF($B$21="age",IF(Data!C267&lt;=$C$21,$F$21,$G$21),IF(Data!B267&lt;=$C$21,$F$21,$G$21))</f>
        <v>1</v>
      </c>
      <c r="AE57">
        <f>IF($B$22="age",IF(Data!C267&lt;=$C$22,$F$22,$G$22),IF(Data!B267&lt;=$C$22,$F$22,$G$22))</f>
        <v>0</v>
      </c>
      <c r="AF57">
        <f>IF($B$23="age",IF(Data!C267&lt;=$C$23,$F$23,$G$23),IF(Data!B267&lt;=$C$23,$F$23,$G$23))</f>
        <v>1</v>
      </c>
      <c r="AG57">
        <f>IF($B$24="age",IF(Data!C267&lt;=$C$24,$F$24,$G$24),IF(Data!B267&lt;=$C$24,$F$24,$G$24))</f>
        <v>1</v>
      </c>
      <c r="AH57">
        <f>IF($B$25="age",IF(Data!C267&lt;=$C$25,$F$25,$G$25),IF(Data!B267&lt;=$C$25,$F$25,$G$25))</f>
        <v>1</v>
      </c>
      <c r="AI57">
        <f>IF($B$26="age",IF(Data!C267&lt;=$C$26,$F$26,$G$26),IF(Data!B267&lt;=$C$26,$F$26,$G$26))</f>
        <v>1</v>
      </c>
      <c r="AJ57">
        <f t="shared" si="2"/>
        <v>0.8</v>
      </c>
      <c r="AK57">
        <f>IF(AJ57&gt;=Controls!$B$2,1,0)</f>
        <v>1</v>
      </c>
      <c r="AL57">
        <f t="shared" si="3"/>
        <v>1</v>
      </c>
    </row>
    <row r="58" spans="9:38" x14ac:dyDescent="0.2">
      <c r="I58">
        <f>Data!A268</f>
        <v>267</v>
      </c>
      <c r="J58">
        <f>Data!L268</f>
        <v>1</v>
      </c>
      <c r="K58">
        <f>IF($B$2="age",IF(Data!C268&lt;=$C$2,$F$2,$G$2),IF(Data!B268&lt;=$C$2,$F$2,$G$2))</f>
        <v>0</v>
      </c>
      <c r="L58">
        <f>IF($B$3="age",IF(Data!C268&lt;=$C$3,$F$3,$G$3),IF(Data!B268&lt;=$C$3,$F$3,$G$3))</f>
        <v>1</v>
      </c>
      <c r="M58">
        <f>IF($B$4="age",IF(Data!C268&lt;=$C$4,$F$4,$G$4),IF(Data!B268&lt;=$C$4,$F$4,$G$4))</f>
        <v>1</v>
      </c>
      <c r="N58">
        <f>IF($B$5="age",IF(Data!C268&lt;=$C$5,$F$5,$G$5),IF(Data!B268&lt;=$C$5,$F$5,$G$5))</f>
        <v>1</v>
      </c>
      <c r="O58">
        <f>IF($B$6="age",IF(Data!C268&lt;=$C$6,$F$6,$G$6),IF(Data!B268&lt;=$C$6,$F$6,$G$6))</f>
        <v>1</v>
      </c>
      <c r="P58">
        <f>IF($B$7="age",IF(Data!C268&lt;=$C$7,$F$7,$G$7),IF(Data!B268&lt;=$C$7,$F$7,$G$7))</f>
        <v>1</v>
      </c>
      <c r="Q58">
        <f>IF($B$8="age",IF(Data!C268&lt;=$C$8,$F$8,$G$8),IF(Data!B268&lt;=$C$8,$F$8,$G$8))</f>
        <v>1</v>
      </c>
      <c r="R58">
        <f>IF($B$9="age",IF(Data!C268&lt;=$C$9,$F$9,$G$9),IF(Data!B268&lt;=$C$9,$F$9,$G$9))</f>
        <v>1</v>
      </c>
      <c r="S58">
        <f>IF($B$10="age",IF(Data!C268&lt;=$C$10,$F$10,$G$10),IF(Data!B268&lt;=$C$10,$F$10,$G$10))</f>
        <v>0</v>
      </c>
      <c r="T58">
        <f>IF($B$11="age",IF(Data!C268&lt;=$C$11,$F$11,$G$11),IF(Data!B268&lt;=$C$11,$F$11,$G$11))</f>
        <v>1</v>
      </c>
      <c r="U58">
        <f>IF($B$12="age",IF(Data!C268&lt;=$C$12,$F$12,$G$12),IF(Data!B268&lt;=$C$12,$F$12,$G$12))</f>
        <v>1</v>
      </c>
      <c r="V58">
        <f>IF($B$13="age",IF(Data!C268&lt;=$C$13,$F$13,$G$13),IF(Data!B268&lt;=$C$13,$F$13,$G$13))</f>
        <v>1</v>
      </c>
      <c r="W58">
        <f>IF($B$14="age",IF(Data!C268&lt;=$C$14,$F$14,$G$14),IF(Data!B268&lt;=$C$14,$F$14,$G$14))</f>
        <v>1</v>
      </c>
      <c r="X58">
        <f>IF($B$15="age",IF(Data!C268&lt;=$C$15,$F$15,$G$15),IF(Data!B268&lt;=$C$15,$F$15,$G$15))</f>
        <v>1</v>
      </c>
      <c r="Y58">
        <f>IF($B$16="age",IF(Data!C268&lt;=$C$16,$F$16,$G$16),IF(Data!B268&lt;=$C$16,$F$16,$G$16))</f>
        <v>1</v>
      </c>
      <c r="Z58">
        <f>IF($B$17="age",IF(Data!C268&lt;=$C$17,$F$17,$G$17),IF(Data!B268&lt;=$C$17,$F$17,$G$17))</f>
        <v>0</v>
      </c>
      <c r="AA58">
        <f>IF($B$18="age",IF(Data!C268&lt;=$C$18,$F$18,$G$18),IF(Data!B268&lt;=$C$18,$F$18,$G$18))</f>
        <v>1</v>
      </c>
      <c r="AB58">
        <f>IF($B$19="age",IF(Data!C268&lt;=$C$19,$F$19,$G$19),IF(Data!B268&lt;=$C$19,$F$19,$G$19))</f>
        <v>1</v>
      </c>
      <c r="AC58">
        <f>IF($B$20="age",IF(Data!C268&lt;=$C$20,$F$20,$G$20),IF(Data!B268&lt;=$C$20,$F$20,$G$20))</f>
        <v>1</v>
      </c>
      <c r="AD58">
        <f>IF($B$21="age",IF(Data!C268&lt;=$C$21,$F$21,$G$21),IF(Data!B268&lt;=$C$21,$F$21,$G$21))</f>
        <v>0</v>
      </c>
      <c r="AE58">
        <f>IF($B$22="age",IF(Data!C268&lt;=$C$22,$F$22,$G$22),IF(Data!B268&lt;=$C$22,$F$22,$G$22))</f>
        <v>1</v>
      </c>
      <c r="AF58">
        <f>IF($B$23="age",IF(Data!C268&lt;=$C$23,$F$23,$G$23),IF(Data!B268&lt;=$C$23,$F$23,$G$23))</f>
        <v>1</v>
      </c>
      <c r="AG58">
        <f>IF($B$24="age",IF(Data!C268&lt;=$C$24,$F$24,$G$24),IF(Data!B268&lt;=$C$24,$F$24,$G$24))</f>
        <v>1</v>
      </c>
      <c r="AH58">
        <f>IF($B$25="age",IF(Data!C268&lt;=$C$25,$F$25,$G$25),IF(Data!B268&lt;=$C$25,$F$25,$G$25))</f>
        <v>1</v>
      </c>
      <c r="AI58">
        <f>IF($B$26="age",IF(Data!C268&lt;=$C$26,$F$26,$G$26),IF(Data!B268&lt;=$C$26,$F$26,$G$26))</f>
        <v>1</v>
      </c>
      <c r="AJ58">
        <f t="shared" si="2"/>
        <v>0.84</v>
      </c>
      <c r="AK58">
        <f>IF(AJ58&gt;=Controls!$B$2,1,0)</f>
        <v>1</v>
      </c>
      <c r="AL58">
        <f t="shared" si="3"/>
        <v>1</v>
      </c>
    </row>
    <row r="59" spans="9:38" x14ac:dyDescent="0.2">
      <c r="I59">
        <f>Data!A269</f>
        <v>268</v>
      </c>
      <c r="J59">
        <f>Data!L269</f>
        <v>0</v>
      </c>
      <c r="K59">
        <f>IF($B$2="age",IF(Data!C269&lt;=$C$2,$F$2,$G$2),IF(Data!B269&lt;=$C$2,$F$2,$G$2))</f>
        <v>0</v>
      </c>
      <c r="L59">
        <f>IF($B$3="age",IF(Data!C269&lt;=$C$3,$F$3,$G$3),IF(Data!B269&lt;=$C$3,$F$3,$G$3))</f>
        <v>1</v>
      </c>
      <c r="M59">
        <f>IF($B$4="age",IF(Data!C269&lt;=$C$4,$F$4,$G$4),IF(Data!B269&lt;=$C$4,$F$4,$G$4))</f>
        <v>1</v>
      </c>
      <c r="N59">
        <f>IF($B$5="age",IF(Data!C269&lt;=$C$5,$F$5,$G$5),IF(Data!B269&lt;=$C$5,$F$5,$G$5))</f>
        <v>1</v>
      </c>
      <c r="O59">
        <f>IF($B$6="age",IF(Data!C269&lt;=$C$6,$F$6,$G$6),IF(Data!B269&lt;=$C$6,$F$6,$G$6))</f>
        <v>1</v>
      </c>
      <c r="P59">
        <f>IF($B$7="age",IF(Data!C269&lt;=$C$7,$F$7,$G$7),IF(Data!B269&lt;=$C$7,$F$7,$G$7))</f>
        <v>1</v>
      </c>
      <c r="Q59">
        <f>IF($B$8="age",IF(Data!C269&lt;=$C$8,$F$8,$G$8),IF(Data!B269&lt;=$C$8,$F$8,$G$8))</f>
        <v>1</v>
      </c>
      <c r="R59">
        <f>IF($B$9="age",IF(Data!C269&lt;=$C$9,$F$9,$G$9),IF(Data!B269&lt;=$C$9,$F$9,$G$9))</f>
        <v>1</v>
      </c>
      <c r="S59">
        <f>IF($B$10="age",IF(Data!C269&lt;=$C$10,$F$10,$G$10),IF(Data!B269&lt;=$C$10,$F$10,$G$10))</f>
        <v>0</v>
      </c>
      <c r="T59">
        <f>IF($B$11="age",IF(Data!C269&lt;=$C$11,$F$11,$G$11),IF(Data!B269&lt;=$C$11,$F$11,$G$11))</f>
        <v>0</v>
      </c>
      <c r="U59">
        <f>IF($B$12="age",IF(Data!C269&lt;=$C$12,$F$12,$G$12),IF(Data!B269&lt;=$C$12,$F$12,$G$12))</f>
        <v>1</v>
      </c>
      <c r="V59">
        <f>IF($B$13="age",IF(Data!C269&lt;=$C$13,$F$13,$G$13),IF(Data!B269&lt;=$C$13,$F$13,$G$13))</f>
        <v>1</v>
      </c>
      <c r="W59">
        <f>IF($B$14="age",IF(Data!C269&lt;=$C$14,$F$14,$G$14),IF(Data!B269&lt;=$C$14,$F$14,$G$14))</f>
        <v>1</v>
      </c>
      <c r="X59">
        <f>IF($B$15="age",IF(Data!C269&lt;=$C$15,$F$15,$G$15),IF(Data!B269&lt;=$C$15,$F$15,$G$15))</f>
        <v>1</v>
      </c>
      <c r="Y59">
        <f>IF($B$16="age",IF(Data!C269&lt;=$C$16,$F$16,$G$16),IF(Data!B269&lt;=$C$16,$F$16,$G$16))</f>
        <v>1</v>
      </c>
      <c r="Z59">
        <f>IF($B$17="age",IF(Data!C269&lt;=$C$17,$F$17,$G$17),IF(Data!B269&lt;=$C$17,$F$17,$G$17))</f>
        <v>0</v>
      </c>
      <c r="AA59">
        <f>IF($B$18="age",IF(Data!C269&lt;=$C$18,$F$18,$G$18),IF(Data!B269&lt;=$C$18,$F$18,$G$18))</f>
        <v>1</v>
      </c>
      <c r="AB59">
        <f>IF($B$19="age",IF(Data!C269&lt;=$C$19,$F$19,$G$19),IF(Data!B269&lt;=$C$19,$F$19,$G$19))</f>
        <v>1</v>
      </c>
      <c r="AC59">
        <f>IF($B$20="age",IF(Data!C269&lt;=$C$20,$F$20,$G$20),IF(Data!B269&lt;=$C$20,$F$20,$G$20))</f>
        <v>1</v>
      </c>
      <c r="AD59">
        <f>IF($B$21="age",IF(Data!C269&lt;=$C$21,$F$21,$G$21),IF(Data!B269&lt;=$C$21,$F$21,$G$21))</f>
        <v>0</v>
      </c>
      <c r="AE59">
        <f>IF($B$22="age",IF(Data!C269&lt;=$C$22,$F$22,$G$22),IF(Data!B269&lt;=$C$22,$F$22,$G$22))</f>
        <v>1</v>
      </c>
      <c r="AF59">
        <f>IF($B$23="age",IF(Data!C269&lt;=$C$23,$F$23,$G$23),IF(Data!B269&lt;=$C$23,$F$23,$G$23))</f>
        <v>1</v>
      </c>
      <c r="AG59">
        <f>IF($B$24="age",IF(Data!C269&lt;=$C$24,$F$24,$G$24),IF(Data!B269&lt;=$C$24,$F$24,$G$24))</f>
        <v>1</v>
      </c>
      <c r="AH59">
        <f>IF($B$25="age",IF(Data!C269&lt;=$C$25,$F$25,$G$25),IF(Data!B269&lt;=$C$25,$F$25,$G$25))</f>
        <v>1</v>
      </c>
      <c r="AI59">
        <f>IF($B$26="age",IF(Data!C269&lt;=$C$26,$F$26,$G$26),IF(Data!B269&lt;=$C$26,$F$26,$G$26))</f>
        <v>1</v>
      </c>
      <c r="AJ59">
        <f t="shared" si="2"/>
        <v>0.8</v>
      </c>
      <c r="AK59">
        <f>IF(AJ59&gt;=Controls!$B$2,1,0)</f>
        <v>1</v>
      </c>
      <c r="AL59">
        <f t="shared" si="3"/>
        <v>0</v>
      </c>
    </row>
    <row r="60" spans="9:38" x14ac:dyDescent="0.2">
      <c r="I60">
        <f>Data!A270</f>
        <v>269</v>
      </c>
      <c r="J60">
        <f>Data!L270</f>
        <v>0</v>
      </c>
      <c r="K60">
        <f>IF($B$2="age",IF(Data!C270&lt;=$C$2,$F$2,$G$2),IF(Data!B270&lt;=$C$2,$F$2,$G$2))</f>
        <v>0</v>
      </c>
      <c r="L60">
        <f>IF($B$3="age",IF(Data!C270&lt;=$C$3,$F$3,$G$3),IF(Data!B270&lt;=$C$3,$F$3,$G$3))</f>
        <v>1</v>
      </c>
      <c r="M60">
        <f>IF($B$4="age",IF(Data!C270&lt;=$C$4,$F$4,$G$4),IF(Data!B270&lt;=$C$4,$F$4,$G$4))</f>
        <v>1</v>
      </c>
      <c r="N60">
        <f>IF($B$5="age",IF(Data!C270&lt;=$C$5,$F$5,$G$5),IF(Data!B270&lt;=$C$5,$F$5,$G$5))</f>
        <v>0</v>
      </c>
      <c r="O60">
        <f>IF($B$6="age",IF(Data!C270&lt;=$C$6,$F$6,$G$6),IF(Data!B270&lt;=$C$6,$F$6,$G$6))</f>
        <v>1</v>
      </c>
      <c r="P60">
        <f>IF($B$7="age",IF(Data!C270&lt;=$C$7,$F$7,$G$7),IF(Data!B270&lt;=$C$7,$F$7,$G$7))</f>
        <v>1</v>
      </c>
      <c r="Q60">
        <f>IF($B$8="age",IF(Data!C270&lt;=$C$8,$F$8,$G$8),IF(Data!B270&lt;=$C$8,$F$8,$G$8))</f>
        <v>1</v>
      </c>
      <c r="R60">
        <f>IF($B$9="age",IF(Data!C270&lt;=$C$9,$F$9,$G$9),IF(Data!B270&lt;=$C$9,$F$9,$G$9))</f>
        <v>0</v>
      </c>
      <c r="S60">
        <f>IF($B$10="age",IF(Data!C270&lt;=$C$10,$F$10,$G$10),IF(Data!B270&lt;=$C$10,$F$10,$G$10))</f>
        <v>1</v>
      </c>
      <c r="T60">
        <f>IF($B$11="age",IF(Data!C270&lt;=$C$11,$F$11,$G$11),IF(Data!B270&lt;=$C$11,$F$11,$G$11))</f>
        <v>0</v>
      </c>
      <c r="U60">
        <f>IF($B$12="age",IF(Data!C270&lt;=$C$12,$F$12,$G$12),IF(Data!B270&lt;=$C$12,$F$12,$G$12))</f>
        <v>1</v>
      </c>
      <c r="V60">
        <f>IF($B$13="age",IF(Data!C270&lt;=$C$13,$F$13,$G$13),IF(Data!B270&lt;=$C$13,$F$13,$G$13))</f>
        <v>0</v>
      </c>
      <c r="W60">
        <f>IF($B$14="age",IF(Data!C270&lt;=$C$14,$F$14,$G$14),IF(Data!B270&lt;=$C$14,$F$14,$G$14))</f>
        <v>1</v>
      </c>
      <c r="X60">
        <f>IF($B$15="age",IF(Data!C270&lt;=$C$15,$F$15,$G$15),IF(Data!B270&lt;=$C$15,$F$15,$G$15))</f>
        <v>1</v>
      </c>
      <c r="Y60">
        <f>IF($B$16="age",IF(Data!C270&lt;=$C$16,$F$16,$G$16),IF(Data!B270&lt;=$C$16,$F$16,$G$16))</f>
        <v>1</v>
      </c>
      <c r="Z60">
        <f>IF($B$17="age",IF(Data!C270&lt;=$C$17,$F$17,$G$17),IF(Data!B270&lt;=$C$17,$F$17,$G$17))</f>
        <v>0</v>
      </c>
      <c r="AA60">
        <f>IF($B$18="age",IF(Data!C270&lt;=$C$18,$F$18,$G$18),IF(Data!B270&lt;=$C$18,$F$18,$G$18))</f>
        <v>1</v>
      </c>
      <c r="AB60">
        <f>IF($B$19="age",IF(Data!C270&lt;=$C$19,$F$19,$G$19),IF(Data!B270&lt;=$C$19,$F$19,$G$19))</f>
        <v>0</v>
      </c>
      <c r="AC60">
        <f>IF($B$20="age",IF(Data!C270&lt;=$C$20,$F$20,$G$20),IF(Data!B270&lt;=$C$20,$F$20,$G$20))</f>
        <v>1</v>
      </c>
      <c r="AD60">
        <f>IF($B$21="age",IF(Data!C270&lt;=$C$21,$F$21,$G$21),IF(Data!B270&lt;=$C$21,$F$21,$G$21))</f>
        <v>0</v>
      </c>
      <c r="AE60">
        <f>IF($B$22="age",IF(Data!C270&lt;=$C$22,$F$22,$G$22),IF(Data!B270&lt;=$C$22,$F$22,$G$22))</f>
        <v>1</v>
      </c>
      <c r="AF60">
        <f>IF($B$23="age",IF(Data!C270&lt;=$C$23,$F$23,$G$23),IF(Data!B270&lt;=$C$23,$F$23,$G$23))</f>
        <v>0</v>
      </c>
      <c r="AG60">
        <f>IF($B$24="age",IF(Data!C270&lt;=$C$24,$F$24,$G$24),IF(Data!B270&lt;=$C$24,$F$24,$G$24))</f>
        <v>1</v>
      </c>
      <c r="AH60">
        <f>IF($B$25="age",IF(Data!C270&lt;=$C$25,$F$25,$G$25),IF(Data!B270&lt;=$C$25,$F$25,$G$25))</f>
        <v>1</v>
      </c>
      <c r="AI60">
        <f>IF($B$26="age",IF(Data!C270&lt;=$C$26,$F$26,$G$26),IF(Data!B270&lt;=$C$26,$F$26,$G$26))</f>
        <v>1</v>
      </c>
      <c r="AJ60">
        <f t="shared" si="2"/>
        <v>0.64</v>
      </c>
      <c r="AK60">
        <f>IF(AJ60&gt;=Controls!$B$2,1,0)</f>
        <v>1</v>
      </c>
      <c r="AL60">
        <f t="shared" si="3"/>
        <v>0</v>
      </c>
    </row>
    <row r="61" spans="9:38" x14ac:dyDescent="0.2">
      <c r="I61">
        <f>Data!A271</f>
        <v>270</v>
      </c>
      <c r="J61">
        <f>Data!L271</f>
        <v>0</v>
      </c>
      <c r="K61">
        <f>IF($B$2="age",IF(Data!C271&lt;=$C$2,$F$2,$G$2),IF(Data!B271&lt;=$C$2,$F$2,$G$2))</f>
        <v>0</v>
      </c>
      <c r="L61">
        <f>IF($B$3="age",IF(Data!C271&lt;=$C$3,$F$3,$G$3),IF(Data!B271&lt;=$C$3,$F$3,$G$3))</f>
        <v>0</v>
      </c>
      <c r="M61">
        <f>IF($B$4="age",IF(Data!C271&lt;=$C$4,$F$4,$G$4),IF(Data!B271&lt;=$C$4,$F$4,$G$4))</f>
        <v>1</v>
      </c>
      <c r="N61">
        <f>IF($B$5="age",IF(Data!C271&lt;=$C$5,$F$5,$G$5),IF(Data!B271&lt;=$C$5,$F$5,$G$5))</f>
        <v>0</v>
      </c>
      <c r="O61">
        <f>IF($B$6="age",IF(Data!C271&lt;=$C$6,$F$6,$G$6),IF(Data!B271&lt;=$C$6,$F$6,$G$6))</f>
        <v>1</v>
      </c>
      <c r="P61">
        <f>IF($B$7="age",IF(Data!C271&lt;=$C$7,$F$7,$G$7),IF(Data!B271&lt;=$C$7,$F$7,$G$7))</f>
        <v>1</v>
      </c>
      <c r="Q61">
        <f>IF($B$8="age",IF(Data!C271&lt;=$C$8,$F$8,$G$8),IF(Data!B271&lt;=$C$8,$F$8,$G$8))</f>
        <v>1</v>
      </c>
      <c r="R61">
        <f>IF($B$9="age",IF(Data!C271&lt;=$C$9,$F$9,$G$9),IF(Data!B271&lt;=$C$9,$F$9,$G$9))</f>
        <v>0</v>
      </c>
      <c r="S61">
        <f>IF($B$10="age",IF(Data!C271&lt;=$C$10,$F$10,$G$10),IF(Data!B271&lt;=$C$10,$F$10,$G$10))</f>
        <v>0</v>
      </c>
      <c r="T61">
        <f>IF($B$11="age",IF(Data!C271&lt;=$C$11,$F$11,$G$11),IF(Data!B271&lt;=$C$11,$F$11,$G$11))</f>
        <v>0</v>
      </c>
      <c r="U61">
        <f>IF($B$12="age",IF(Data!C271&lt;=$C$12,$F$12,$G$12),IF(Data!B271&lt;=$C$12,$F$12,$G$12))</f>
        <v>1</v>
      </c>
      <c r="V61">
        <f>IF($B$13="age",IF(Data!C271&lt;=$C$13,$F$13,$G$13),IF(Data!B271&lt;=$C$13,$F$13,$G$13))</f>
        <v>0</v>
      </c>
      <c r="W61">
        <f>IF($B$14="age",IF(Data!C271&lt;=$C$14,$F$14,$G$14),IF(Data!B271&lt;=$C$14,$F$14,$G$14))</f>
        <v>0</v>
      </c>
      <c r="X61">
        <f>IF($B$15="age",IF(Data!C271&lt;=$C$15,$F$15,$G$15),IF(Data!B271&lt;=$C$15,$F$15,$G$15))</f>
        <v>1</v>
      </c>
      <c r="Y61">
        <f>IF($B$16="age",IF(Data!C271&lt;=$C$16,$F$16,$G$16),IF(Data!B271&lt;=$C$16,$F$16,$G$16))</f>
        <v>1</v>
      </c>
      <c r="Z61">
        <f>IF($B$17="age",IF(Data!C271&lt;=$C$17,$F$17,$G$17),IF(Data!B271&lt;=$C$17,$F$17,$G$17))</f>
        <v>0</v>
      </c>
      <c r="AA61">
        <f>IF($B$18="age",IF(Data!C271&lt;=$C$18,$F$18,$G$18),IF(Data!B271&lt;=$C$18,$F$18,$G$18))</f>
        <v>1</v>
      </c>
      <c r="AB61">
        <f>IF($B$19="age",IF(Data!C271&lt;=$C$19,$F$19,$G$19),IF(Data!B271&lt;=$C$19,$F$19,$G$19))</f>
        <v>0</v>
      </c>
      <c r="AC61">
        <f>IF($B$20="age",IF(Data!C271&lt;=$C$20,$F$20,$G$20),IF(Data!B271&lt;=$C$20,$F$20,$G$20))</f>
        <v>1</v>
      </c>
      <c r="AD61">
        <f>IF($B$21="age",IF(Data!C271&lt;=$C$21,$F$21,$G$21),IF(Data!B271&lt;=$C$21,$F$21,$G$21))</f>
        <v>0</v>
      </c>
      <c r="AE61">
        <f>IF($B$22="age",IF(Data!C271&lt;=$C$22,$F$22,$G$22),IF(Data!B271&lt;=$C$22,$F$22,$G$22))</f>
        <v>0</v>
      </c>
      <c r="AF61">
        <f>IF($B$23="age",IF(Data!C271&lt;=$C$23,$F$23,$G$23),IF(Data!B271&lt;=$C$23,$F$23,$G$23))</f>
        <v>0</v>
      </c>
      <c r="AG61">
        <f>IF($B$24="age",IF(Data!C271&lt;=$C$24,$F$24,$G$24),IF(Data!B271&lt;=$C$24,$F$24,$G$24))</f>
        <v>1</v>
      </c>
      <c r="AH61">
        <f>IF($B$25="age",IF(Data!C271&lt;=$C$25,$F$25,$G$25),IF(Data!B271&lt;=$C$25,$F$25,$G$25))</f>
        <v>1</v>
      </c>
      <c r="AI61">
        <f>IF($B$26="age",IF(Data!C271&lt;=$C$26,$F$26,$G$26),IF(Data!B271&lt;=$C$26,$F$26,$G$26))</f>
        <v>1</v>
      </c>
      <c r="AJ61">
        <f t="shared" si="2"/>
        <v>0.48</v>
      </c>
      <c r="AK61">
        <f>IF(AJ61&gt;=Controls!$B$2,1,0)</f>
        <v>0</v>
      </c>
      <c r="AL61">
        <f t="shared" si="3"/>
        <v>1</v>
      </c>
    </row>
    <row r="62" spans="9:38" x14ac:dyDescent="0.2">
      <c r="I62">
        <f>Data!A272</f>
        <v>271</v>
      </c>
      <c r="J62">
        <f>Data!L272</f>
        <v>1</v>
      </c>
      <c r="K62">
        <f>IF($B$2="age",IF(Data!C272&lt;=$C$2,$F$2,$G$2),IF(Data!B272&lt;=$C$2,$F$2,$G$2))</f>
        <v>1</v>
      </c>
      <c r="L62">
        <f>IF($B$3="age",IF(Data!C272&lt;=$C$3,$F$3,$G$3),IF(Data!B272&lt;=$C$3,$F$3,$G$3))</f>
        <v>1</v>
      </c>
      <c r="M62">
        <f>IF($B$4="age",IF(Data!C272&lt;=$C$4,$F$4,$G$4),IF(Data!B272&lt;=$C$4,$F$4,$G$4))</f>
        <v>1</v>
      </c>
      <c r="N62">
        <f>IF($B$5="age",IF(Data!C272&lt;=$C$5,$F$5,$G$5),IF(Data!B272&lt;=$C$5,$F$5,$G$5))</f>
        <v>1</v>
      </c>
      <c r="O62">
        <f>IF($B$6="age",IF(Data!C272&lt;=$C$6,$F$6,$G$6),IF(Data!B272&lt;=$C$6,$F$6,$G$6))</f>
        <v>1</v>
      </c>
      <c r="P62">
        <f>IF($B$7="age",IF(Data!C272&lt;=$C$7,$F$7,$G$7),IF(Data!B272&lt;=$C$7,$F$7,$G$7))</f>
        <v>1</v>
      </c>
      <c r="Q62">
        <f>IF($B$8="age",IF(Data!C272&lt;=$C$8,$F$8,$G$8),IF(Data!B272&lt;=$C$8,$F$8,$G$8))</f>
        <v>1</v>
      </c>
      <c r="R62">
        <f>IF($B$9="age",IF(Data!C272&lt;=$C$9,$F$9,$G$9),IF(Data!B272&lt;=$C$9,$F$9,$G$9))</f>
        <v>1</v>
      </c>
      <c r="S62">
        <f>IF($B$10="age",IF(Data!C272&lt;=$C$10,$F$10,$G$10),IF(Data!B272&lt;=$C$10,$F$10,$G$10))</f>
        <v>1</v>
      </c>
      <c r="T62">
        <f>IF($B$11="age",IF(Data!C272&lt;=$C$11,$F$11,$G$11),IF(Data!B272&lt;=$C$11,$F$11,$G$11))</f>
        <v>1</v>
      </c>
      <c r="U62">
        <f>IF($B$12="age",IF(Data!C272&lt;=$C$12,$F$12,$G$12),IF(Data!B272&lt;=$C$12,$F$12,$G$12))</f>
        <v>1</v>
      </c>
      <c r="V62">
        <f>IF($B$13="age",IF(Data!C272&lt;=$C$13,$F$13,$G$13),IF(Data!B272&lt;=$C$13,$F$13,$G$13))</f>
        <v>1</v>
      </c>
      <c r="W62">
        <f>IF($B$14="age",IF(Data!C272&lt;=$C$14,$F$14,$G$14),IF(Data!B272&lt;=$C$14,$F$14,$G$14))</f>
        <v>1</v>
      </c>
      <c r="X62">
        <f>IF($B$15="age",IF(Data!C272&lt;=$C$15,$F$15,$G$15),IF(Data!B272&lt;=$C$15,$F$15,$G$15))</f>
        <v>1</v>
      </c>
      <c r="Y62">
        <f>IF($B$16="age",IF(Data!C272&lt;=$C$16,$F$16,$G$16),IF(Data!B272&lt;=$C$16,$F$16,$G$16))</f>
        <v>1</v>
      </c>
      <c r="Z62">
        <f>IF($B$17="age",IF(Data!C272&lt;=$C$17,$F$17,$G$17),IF(Data!B272&lt;=$C$17,$F$17,$G$17))</f>
        <v>0</v>
      </c>
      <c r="AA62">
        <f>IF($B$18="age",IF(Data!C272&lt;=$C$18,$F$18,$G$18),IF(Data!B272&lt;=$C$18,$F$18,$G$18))</f>
        <v>1</v>
      </c>
      <c r="AB62">
        <f>IF($B$19="age",IF(Data!C272&lt;=$C$19,$F$19,$G$19),IF(Data!B272&lt;=$C$19,$F$19,$G$19))</f>
        <v>1</v>
      </c>
      <c r="AC62">
        <f>IF($B$20="age",IF(Data!C272&lt;=$C$20,$F$20,$G$20),IF(Data!B272&lt;=$C$20,$F$20,$G$20))</f>
        <v>1</v>
      </c>
      <c r="AD62">
        <f>IF($B$21="age",IF(Data!C272&lt;=$C$21,$F$21,$G$21),IF(Data!B272&lt;=$C$21,$F$21,$G$21))</f>
        <v>0</v>
      </c>
      <c r="AE62">
        <f>IF($B$22="age",IF(Data!C272&lt;=$C$22,$F$22,$G$22),IF(Data!B272&lt;=$C$22,$F$22,$G$22))</f>
        <v>1</v>
      </c>
      <c r="AF62">
        <f>IF($B$23="age",IF(Data!C272&lt;=$C$23,$F$23,$G$23),IF(Data!B272&lt;=$C$23,$F$23,$G$23))</f>
        <v>1</v>
      </c>
      <c r="AG62">
        <f>IF($B$24="age",IF(Data!C272&lt;=$C$24,$F$24,$G$24),IF(Data!B272&lt;=$C$24,$F$24,$G$24))</f>
        <v>1</v>
      </c>
      <c r="AH62">
        <f>IF($B$25="age",IF(Data!C272&lt;=$C$25,$F$25,$G$25),IF(Data!B272&lt;=$C$25,$F$25,$G$25))</f>
        <v>1</v>
      </c>
      <c r="AI62">
        <f>IF($B$26="age",IF(Data!C272&lt;=$C$26,$F$26,$G$26),IF(Data!B272&lt;=$C$26,$F$26,$G$26))</f>
        <v>1</v>
      </c>
      <c r="AJ62">
        <f t="shared" si="2"/>
        <v>0.92</v>
      </c>
      <c r="AK62">
        <f>IF(AJ62&gt;=Controls!$B$2,1,0)</f>
        <v>1</v>
      </c>
      <c r="AL62">
        <f t="shared" si="3"/>
        <v>1</v>
      </c>
    </row>
    <row r="63" spans="9:38" x14ac:dyDescent="0.2">
      <c r="I63">
        <f>Data!A273</f>
        <v>272</v>
      </c>
      <c r="J63">
        <f>Data!L273</f>
        <v>1</v>
      </c>
      <c r="K63">
        <f>IF($B$2="age",IF(Data!C273&lt;=$C$2,$F$2,$G$2),IF(Data!B273&lt;=$C$2,$F$2,$G$2))</f>
        <v>0</v>
      </c>
      <c r="L63">
        <f>IF($B$3="age",IF(Data!C273&lt;=$C$3,$F$3,$G$3),IF(Data!B273&lt;=$C$3,$F$3,$G$3))</f>
        <v>1</v>
      </c>
      <c r="M63">
        <f>IF($B$4="age",IF(Data!C273&lt;=$C$4,$F$4,$G$4),IF(Data!B273&lt;=$C$4,$F$4,$G$4))</f>
        <v>1</v>
      </c>
      <c r="N63">
        <f>IF($B$5="age",IF(Data!C273&lt;=$C$5,$F$5,$G$5),IF(Data!B273&lt;=$C$5,$F$5,$G$5))</f>
        <v>1</v>
      </c>
      <c r="O63">
        <f>IF($B$6="age",IF(Data!C273&lt;=$C$6,$F$6,$G$6),IF(Data!B273&lt;=$C$6,$F$6,$G$6))</f>
        <v>1</v>
      </c>
      <c r="P63">
        <f>IF($B$7="age",IF(Data!C273&lt;=$C$7,$F$7,$G$7),IF(Data!B273&lt;=$C$7,$F$7,$G$7))</f>
        <v>1</v>
      </c>
      <c r="Q63">
        <f>IF($B$8="age",IF(Data!C273&lt;=$C$8,$F$8,$G$8),IF(Data!B273&lt;=$C$8,$F$8,$G$8))</f>
        <v>1</v>
      </c>
      <c r="R63">
        <f>IF($B$9="age",IF(Data!C273&lt;=$C$9,$F$9,$G$9),IF(Data!B273&lt;=$C$9,$F$9,$G$9))</f>
        <v>1</v>
      </c>
      <c r="S63">
        <f>IF($B$10="age",IF(Data!C273&lt;=$C$10,$F$10,$G$10),IF(Data!B273&lt;=$C$10,$F$10,$G$10))</f>
        <v>0</v>
      </c>
      <c r="T63">
        <f>IF($B$11="age",IF(Data!C273&lt;=$C$11,$F$11,$G$11),IF(Data!B273&lt;=$C$11,$F$11,$G$11))</f>
        <v>1</v>
      </c>
      <c r="U63">
        <f>IF($B$12="age",IF(Data!C273&lt;=$C$12,$F$12,$G$12),IF(Data!B273&lt;=$C$12,$F$12,$G$12))</f>
        <v>1</v>
      </c>
      <c r="V63">
        <f>IF($B$13="age",IF(Data!C273&lt;=$C$13,$F$13,$G$13),IF(Data!B273&lt;=$C$13,$F$13,$G$13))</f>
        <v>1</v>
      </c>
      <c r="W63">
        <f>IF($B$14="age",IF(Data!C273&lt;=$C$14,$F$14,$G$14),IF(Data!B273&lt;=$C$14,$F$14,$G$14))</f>
        <v>1</v>
      </c>
      <c r="X63">
        <f>IF($B$15="age",IF(Data!C273&lt;=$C$15,$F$15,$G$15),IF(Data!B273&lt;=$C$15,$F$15,$G$15))</f>
        <v>1</v>
      </c>
      <c r="Y63">
        <f>IF($B$16="age",IF(Data!C273&lt;=$C$16,$F$16,$G$16),IF(Data!B273&lt;=$C$16,$F$16,$G$16))</f>
        <v>1</v>
      </c>
      <c r="Z63">
        <f>IF($B$17="age",IF(Data!C273&lt;=$C$17,$F$17,$G$17),IF(Data!B273&lt;=$C$17,$F$17,$G$17))</f>
        <v>0</v>
      </c>
      <c r="AA63">
        <f>IF($B$18="age",IF(Data!C273&lt;=$C$18,$F$18,$G$18),IF(Data!B273&lt;=$C$18,$F$18,$G$18))</f>
        <v>1</v>
      </c>
      <c r="AB63">
        <f>IF($B$19="age",IF(Data!C273&lt;=$C$19,$F$19,$G$19),IF(Data!B273&lt;=$C$19,$F$19,$G$19))</f>
        <v>1</v>
      </c>
      <c r="AC63">
        <f>IF($B$20="age",IF(Data!C273&lt;=$C$20,$F$20,$G$20),IF(Data!B273&lt;=$C$20,$F$20,$G$20))</f>
        <v>1</v>
      </c>
      <c r="AD63">
        <f>IF($B$21="age",IF(Data!C273&lt;=$C$21,$F$21,$G$21),IF(Data!B273&lt;=$C$21,$F$21,$G$21))</f>
        <v>0</v>
      </c>
      <c r="AE63">
        <f>IF($B$22="age",IF(Data!C273&lt;=$C$22,$F$22,$G$22),IF(Data!B273&lt;=$C$22,$F$22,$G$22))</f>
        <v>1</v>
      </c>
      <c r="AF63">
        <f>IF($B$23="age",IF(Data!C273&lt;=$C$23,$F$23,$G$23),IF(Data!B273&lt;=$C$23,$F$23,$G$23))</f>
        <v>1</v>
      </c>
      <c r="AG63">
        <f>IF($B$24="age",IF(Data!C273&lt;=$C$24,$F$24,$G$24),IF(Data!B273&lt;=$C$24,$F$24,$G$24))</f>
        <v>1</v>
      </c>
      <c r="AH63">
        <f>IF($B$25="age",IF(Data!C273&lt;=$C$25,$F$25,$G$25),IF(Data!B273&lt;=$C$25,$F$25,$G$25))</f>
        <v>1</v>
      </c>
      <c r="AI63">
        <f>IF($B$26="age",IF(Data!C273&lt;=$C$26,$F$26,$G$26),IF(Data!B273&lt;=$C$26,$F$26,$G$26))</f>
        <v>1</v>
      </c>
      <c r="AJ63">
        <f t="shared" si="2"/>
        <v>0.84</v>
      </c>
      <c r="AK63">
        <f>IF(AJ63&gt;=Controls!$B$2,1,0)</f>
        <v>1</v>
      </c>
      <c r="AL63">
        <f t="shared" si="3"/>
        <v>1</v>
      </c>
    </row>
    <row r="64" spans="9:38" x14ac:dyDescent="0.2">
      <c r="I64">
        <f>Data!A274</f>
        <v>273</v>
      </c>
      <c r="J64">
        <f>Data!L274</f>
        <v>1</v>
      </c>
      <c r="K64">
        <f>IF($B$2="age",IF(Data!C274&lt;=$C$2,$F$2,$G$2),IF(Data!B274&lt;=$C$2,$F$2,$G$2))</f>
        <v>0</v>
      </c>
      <c r="L64">
        <f>IF($B$3="age",IF(Data!C274&lt;=$C$3,$F$3,$G$3),IF(Data!B274&lt;=$C$3,$F$3,$G$3))</f>
        <v>0</v>
      </c>
      <c r="M64">
        <f>IF($B$4="age",IF(Data!C274&lt;=$C$4,$F$4,$G$4),IF(Data!B274&lt;=$C$4,$F$4,$G$4))</f>
        <v>1</v>
      </c>
      <c r="N64">
        <f>IF($B$5="age",IF(Data!C274&lt;=$C$5,$F$5,$G$5),IF(Data!B274&lt;=$C$5,$F$5,$G$5))</f>
        <v>0</v>
      </c>
      <c r="O64">
        <f>IF($B$6="age",IF(Data!C274&lt;=$C$6,$F$6,$G$6),IF(Data!B274&lt;=$C$6,$F$6,$G$6))</f>
        <v>1</v>
      </c>
      <c r="P64">
        <f>IF($B$7="age",IF(Data!C274&lt;=$C$7,$F$7,$G$7),IF(Data!B274&lt;=$C$7,$F$7,$G$7))</f>
        <v>1</v>
      </c>
      <c r="Q64">
        <f>IF($B$8="age",IF(Data!C274&lt;=$C$8,$F$8,$G$8),IF(Data!B274&lt;=$C$8,$F$8,$G$8))</f>
        <v>1</v>
      </c>
      <c r="R64">
        <f>IF($B$9="age",IF(Data!C274&lt;=$C$9,$F$9,$G$9),IF(Data!B274&lt;=$C$9,$F$9,$G$9))</f>
        <v>0</v>
      </c>
      <c r="S64">
        <f>IF($B$10="age",IF(Data!C274&lt;=$C$10,$F$10,$G$10),IF(Data!B274&lt;=$C$10,$F$10,$G$10))</f>
        <v>0</v>
      </c>
      <c r="T64">
        <f>IF($B$11="age",IF(Data!C274&lt;=$C$11,$F$11,$G$11),IF(Data!B274&lt;=$C$11,$F$11,$G$11))</f>
        <v>0</v>
      </c>
      <c r="U64">
        <f>IF($B$12="age",IF(Data!C274&lt;=$C$12,$F$12,$G$12),IF(Data!B274&lt;=$C$12,$F$12,$G$12))</f>
        <v>1</v>
      </c>
      <c r="V64">
        <f>IF($B$13="age",IF(Data!C274&lt;=$C$13,$F$13,$G$13),IF(Data!B274&lt;=$C$13,$F$13,$G$13))</f>
        <v>0</v>
      </c>
      <c r="W64">
        <f>IF($B$14="age",IF(Data!C274&lt;=$C$14,$F$14,$G$14),IF(Data!B274&lt;=$C$14,$F$14,$G$14))</f>
        <v>1</v>
      </c>
      <c r="X64">
        <f>IF($B$15="age",IF(Data!C274&lt;=$C$15,$F$15,$G$15),IF(Data!B274&lt;=$C$15,$F$15,$G$15))</f>
        <v>1</v>
      </c>
      <c r="Y64">
        <f>IF($B$16="age",IF(Data!C274&lt;=$C$16,$F$16,$G$16),IF(Data!B274&lt;=$C$16,$F$16,$G$16))</f>
        <v>1</v>
      </c>
      <c r="Z64">
        <f>IF($B$17="age",IF(Data!C274&lt;=$C$17,$F$17,$G$17),IF(Data!B274&lt;=$C$17,$F$17,$G$17))</f>
        <v>0</v>
      </c>
      <c r="AA64">
        <f>IF($B$18="age",IF(Data!C274&lt;=$C$18,$F$18,$G$18),IF(Data!B274&lt;=$C$18,$F$18,$G$18))</f>
        <v>1</v>
      </c>
      <c r="AB64">
        <f>IF($B$19="age",IF(Data!C274&lt;=$C$19,$F$19,$G$19),IF(Data!B274&lt;=$C$19,$F$19,$G$19))</f>
        <v>0</v>
      </c>
      <c r="AC64">
        <f>IF($B$20="age",IF(Data!C274&lt;=$C$20,$F$20,$G$20),IF(Data!B274&lt;=$C$20,$F$20,$G$20))</f>
        <v>1</v>
      </c>
      <c r="AD64">
        <f>IF($B$21="age",IF(Data!C274&lt;=$C$21,$F$21,$G$21),IF(Data!B274&lt;=$C$21,$F$21,$G$21))</f>
        <v>0</v>
      </c>
      <c r="AE64">
        <f>IF($B$22="age",IF(Data!C274&lt;=$C$22,$F$22,$G$22),IF(Data!B274&lt;=$C$22,$F$22,$G$22))</f>
        <v>1</v>
      </c>
      <c r="AF64">
        <f>IF($B$23="age",IF(Data!C274&lt;=$C$23,$F$23,$G$23),IF(Data!B274&lt;=$C$23,$F$23,$G$23))</f>
        <v>0</v>
      </c>
      <c r="AG64">
        <f>IF($B$24="age",IF(Data!C274&lt;=$C$24,$F$24,$G$24),IF(Data!B274&lt;=$C$24,$F$24,$G$24))</f>
        <v>1</v>
      </c>
      <c r="AH64">
        <f>IF($B$25="age",IF(Data!C274&lt;=$C$25,$F$25,$G$25),IF(Data!B274&lt;=$C$25,$F$25,$G$25))</f>
        <v>1</v>
      </c>
      <c r="AI64">
        <f>IF($B$26="age",IF(Data!C274&lt;=$C$26,$F$26,$G$26),IF(Data!B274&lt;=$C$26,$F$26,$G$26))</f>
        <v>1</v>
      </c>
      <c r="AJ64">
        <f t="shared" si="2"/>
        <v>0.56000000000000005</v>
      </c>
      <c r="AK64">
        <f>IF(AJ64&gt;=Controls!$B$2,1,0)</f>
        <v>1</v>
      </c>
      <c r="AL64">
        <f t="shared" si="3"/>
        <v>1</v>
      </c>
    </row>
    <row r="65" spans="9:38" x14ac:dyDescent="0.2">
      <c r="I65">
        <f>Data!A275</f>
        <v>274</v>
      </c>
      <c r="J65">
        <f>Data!L275</f>
        <v>1</v>
      </c>
      <c r="K65">
        <f>IF($B$2="age",IF(Data!C275&lt;=$C$2,$F$2,$G$2),IF(Data!B275&lt;=$C$2,$F$2,$G$2))</f>
        <v>0</v>
      </c>
      <c r="L65">
        <f>IF($B$3="age",IF(Data!C275&lt;=$C$3,$F$3,$G$3),IF(Data!B275&lt;=$C$3,$F$3,$G$3))</f>
        <v>1</v>
      </c>
      <c r="M65">
        <f>IF($B$4="age",IF(Data!C275&lt;=$C$4,$F$4,$G$4),IF(Data!B275&lt;=$C$4,$F$4,$G$4))</f>
        <v>1</v>
      </c>
      <c r="N65">
        <f>IF($B$5="age",IF(Data!C275&lt;=$C$5,$F$5,$G$5),IF(Data!B275&lt;=$C$5,$F$5,$G$5))</f>
        <v>1</v>
      </c>
      <c r="O65">
        <f>IF($B$6="age",IF(Data!C275&lt;=$C$6,$F$6,$G$6),IF(Data!B275&lt;=$C$6,$F$6,$G$6))</f>
        <v>1</v>
      </c>
      <c r="P65">
        <f>IF($B$7="age",IF(Data!C275&lt;=$C$7,$F$7,$G$7),IF(Data!B275&lt;=$C$7,$F$7,$G$7))</f>
        <v>1</v>
      </c>
      <c r="Q65">
        <f>IF($B$8="age",IF(Data!C275&lt;=$C$8,$F$8,$G$8),IF(Data!B275&lt;=$C$8,$F$8,$G$8))</f>
        <v>1</v>
      </c>
      <c r="R65">
        <f>IF($B$9="age",IF(Data!C275&lt;=$C$9,$F$9,$G$9),IF(Data!B275&lt;=$C$9,$F$9,$G$9))</f>
        <v>1</v>
      </c>
      <c r="S65">
        <f>IF($B$10="age",IF(Data!C275&lt;=$C$10,$F$10,$G$10),IF(Data!B275&lt;=$C$10,$F$10,$G$10))</f>
        <v>0</v>
      </c>
      <c r="T65">
        <f>IF($B$11="age",IF(Data!C275&lt;=$C$11,$F$11,$G$11),IF(Data!B275&lt;=$C$11,$F$11,$G$11))</f>
        <v>0</v>
      </c>
      <c r="U65">
        <f>IF($B$12="age",IF(Data!C275&lt;=$C$12,$F$12,$G$12),IF(Data!B275&lt;=$C$12,$F$12,$G$12))</f>
        <v>1</v>
      </c>
      <c r="V65">
        <f>IF($B$13="age",IF(Data!C275&lt;=$C$13,$F$13,$G$13),IF(Data!B275&lt;=$C$13,$F$13,$G$13))</f>
        <v>1</v>
      </c>
      <c r="W65">
        <f>IF($B$14="age",IF(Data!C275&lt;=$C$14,$F$14,$G$14),IF(Data!B275&lt;=$C$14,$F$14,$G$14))</f>
        <v>1</v>
      </c>
      <c r="X65">
        <f>IF($B$15="age",IF(Data!C275&lt;=$C$15,$F$15,$G$15),IF(Data!B275&lt;=$C$15,$F$15,$G$15))</f>
        <v>1</v>
      </c>
      <c r="Y65">
        <f>IF($B$16="age",IF(Data!C275&lt;=$C$16,$F$16,$G$16),IF(Data!B275&lt;=$C$16,$F$16,$G$16))</f>
        <v>1</v>
      </c>
      <c r="Z65">
        <f>IF($B$17="age",IF(Data!C275&lt;=$C$17,$F$17,$G$17),IF(Data!B275&lt;=$C$17,$F$17,$G$17))</f>
        <v>0</v>
      </c>
      <c r="AA65">
        <f>IF($B$18="age",IF(Data!C275&lt;=$C$18,$F$18,$G$18),IF(Data!B275&lt;=$C$18,$F$18,$G$18))</f>
        <v>1</v>
      </c>
      <c r="AB65">
        <f>IF($B$19="age",IF(Data!C275&lt;=$C$19,$F$19,$G$19),IF(Data!B275&lt;=$C$19,$F$19,$G$19))</f>
        <v>1</v>
      </c>
      <c r="AC65">
        <f>IF($B$20="age",IF(Data!C275&lt;=$C$20,$F$20,$G$20),IF(Data!B275&lt;=$C$20,$F$20,$G$20))</f>
        <v>1</v>
      </c>
      <c r="AD65">
        <f>IF($B$21="age",IF(Data!C275&lt;=$C$21,$F$21,$G$21),IF(Data!B275&lt;=$C$21,$F$21,$G$21))</f>
        <v>0</v>
      </c>
      <c r="AE65">
        <f>IF($B$22="age",IF(Data!C275&lt;=$C$22,$F$22,$G$22),IF(Data!B275&lt;=$C$22,$F$22,$G$22))</f>
        <v>1</v>
      </c>
      <c r="AF65">
        <f>IF($B$23="age",IF(Data!C275&lt;=$C$23,$F$23,$G$23),IF(Data!B275&lt;=$C$23,$F$23,$G$23))</f>
        <v>1</v>
      </c>
      <c r="AG65">
        <f>IF($B$24="age",IF(Data!C275&lt;=$C$24,$F$24,$G$24),IF(Data!B275&lt;=$C$24,$F$24,$G$24))</f>
        <v>1</v>
      </c>
      <c r="AH65">
        <f>IF($B$25="age",IF(Data!C275&lt;=$C$25,$F$25,$G$25),IF(Data!B275&lt;=$C$25,$F$25,$G$25))</f>
        <v>1</v>
      </c>
      <c r="AI65">
        <f>IF($B$26="age",IF(Data!C275&lt;=$C$26,$F$26,$G$26),IF(Data!B275&lt;=$C$26,$F$26,$G$26))</f>
        <v>1</v>
      </c>
      <c r="AJ65">
        <f t="shared" si="2"/>
        <v>0.8</v>
      </c>
      <c r="AK65">
        <f>IF(AJ65&gt;=Controls!$B$2,1,0)</f>
        <v>1</v>
      </c>
      <c r="AL65">
        <f t="shared" si="3"/>
        <v>1</v>
      </c>
    </row>
    <row r="66" spans="9:38" x14ac:dyDescent="0.2">
      <c r="I66">
        <f>Data!A276</f>
        <v>275</v>
      </c>
      <c r="J66">
        <f>Data!L276</f>
        <v>1</v>
      </c>
      <c r="K66">
        <f>IF($B$2="age",IF(Data!C276&lt;=$C$2,$F$2,$G$2),IF(Data!B276&lt;=$C$2,$F$2,$G$2))</f>
        <v>0</v>
      </c>
      <c r="L66">
        <f>IF($B$3="age",IF(Data!C276&lt;=$C$3,$F$3,$G$3),IF(Data!B276&lt;=$C$3,$F$3,$G$3))</f>
        <v>1</v>
      </c>
      <c r="M66">
        <f>IF($B$4="age",IF(Data!C276&lt;=$C$4,$F$4,$G$4),IF(Data!B276&lt;=$C$4,$F$4,$G$4))</f>
        <v>1</v>
      </c>
      <c r="N66">
        <f>IF($B$5="age",IF(Data!C276&lt;=$C$5,$F$5,$G$5),IF(Data!B276&lt;=$C$5,$F$5,$G$5))</f>
        <v>1</v>
      </c>
      <c r="O66">
        <f>IF($B$6="age",IF(Data!C276&lt;=$C$6,$F$6,$G$6),IF(Data!B276&lt;=$C$6,$F$6,$G$6))</f>
        <v>0</v>
      </c>
      <c r="P66">
        <f>IF($B$7="age",IF(Data!C276&lt;=$C$7,$F$7,$G$7),IF(Data!B276&lt;=$C$7,$F$7,$G$7))</f>
        <v>1</v>
      </c>
      <c r="Q66">
        <f>IF($B$8="age",IF(Data!C276&lt;=$C$8,$F$8,$G$8),IF(Data!B276&lt;=$C$8,$F$8,$G$8))</f>
        <v>1</v>
      </c>
      <c r="R66">
        <f>IF($B$9="age",IF(Data!C276&lt;=$C$9,$F$9,$G$9),IF(Data!B276&lt;=$C$9,$F$9,$G$9))</f>
        <v>1</v>
      </c>
      <c r="S66">
        <f>IF($B$10="age",IF(Data!C276&lt;=$C$10,$F$10,$G$10),IF(Data!B276&lt;=$C$10,$F$10,$G$10))</f>
        <v>0</v>
      </c>
      <c r="T66">
        <f>IF($B$11="age",IF(Data!C276&lt;=$C$11,$F$11,$G$11),IF(Data!B276&lt;=$C$11,$F$11,$G$11))</f>
        <v>1</v>
      </c>
      <c r="U66">
        <f>IF($B$12="age",IF(Data!C276&lt;=$C$12,$F$12,$G$12),IF(Data!B276&lt;=$C$12,$F$12,$G$12))</f>
        <v>1</v>
      </c>
      <c r="V66">
        <f>IF($B$13="age",IF(Data!C276&lt;=$C$13,$F$13,$G$13),IF(Data!B276&lt;=$C$13,$F$13,$G$13))</f>
        <v>1</v>
      </c>
      <c r="W66">
        <f>IF($B$14="age",IF(Data!C276&lt;=$C$14,$F$14,$G$14),IF(Data!B276&lt;=$C$14,$F$14,$G$14))</f>
        <v>0</v>
      </c>
      <c r="X66">
        <f>IF($B$15="age",IF(Data!C276&lt;=$C$15,$F$15,$G$15),IF(Data!B276&lt;=$C$15,$F$15,$G$15))</f>
        <v>1</v>
      </c>
      <c r="Y66">
        <f>IF($B$16="age",IF(Data!C276&lt;=$C$16,$F$16,$G$16),IF(Data!B276&lt;=$C$16,$F$16,$G$16))</f>
        <v>1</v>
      </c>
      <c r="Z66">
        <f>IF($B$17="age",IF(Data!C276&lt;=$C$17,$F$17,$G$17),IF(Data!B276&lt;=$C$17,$F$17,$G$17))</f>
        <v>0</v>
      </c>
      <c r="AA66">
        <f>IF($B$18="age",IF(Data!C276&lt;=$C$18,$F$18,$G$18),IF(Data!B276&lt;=$C$18,$F$18,$G$18))</f>
        <v>1</v>
      </c>
      <c r="AB66">
        <f>IF($B$19="age",IF(Data!C276&lt;=$C$19,$F$19,$G$19),IF(Data!B276&lt;=$C$19,$F$19,$G$19))</f>
        <v>1</v>
      </c>
      <c r="AC66">
        <f>IF($B$20="age",IF(Data!C276&lt;=$C$20,$F$20,$G$20),IF(Data!B276&lt;=$C$20,$F$20,$G$20))</f>
        <v>1</v>
      </c>
      <c r="AD66">
        <f>IF($B$21="age",IF(Data!C276&lt;=$C$21,$F$21,$G$21),IF(Data!B276&lt;=$C$21,$F$21,$G$21))</f>
        <v>0</v>
      </c>
      <c r="AE66">
        <f>IF($B$22="age",IF(Data!C276&lt;=$C$22,$F$22,$G$22),IF(Data!B276&lt;=$C$22,$F$22,$G$22))</f>
        <v>0</v>
      </c>
      <c r="AF66">
        <f>IF($B$23="age",IF(Data!C276&lt;=$C$23,$F$23,$G$23),IF(Data!B276&lt;=$C$23,$F$23,$G$23))</f>
        <v>1</v>
      </c>
      <c r="AG66">
        <f>IF($B$24="age",IF(Data!C276&lt;=$C$24,$F$24,$G$24),IF(Data!B276&lt;=$C$24,$F$24,$G$24))</f>
        <v>1</v>
      </c>
      <c r="AH66">
        <f>IF($B$25="age",IF(Data!C276&lt;=$C$25,$F$25,$G$25),IF(Data!B276&lt;=$C$25,$F$25,$G$25))</f>
        <v>1</v>
      </c>
      <c r="AI66">
        <f>IF($B$26="age",IF(Data!C276&lt;=$C$26,$F$26,$G$26),IF(Data!B276&lt;=$C$26,$F$26,$G$26))</f>
        <v>1</v>
      </c>
      <c r="AJ66">
        <f t="shared" ref="AJ66:AJ97" si="4">AVERAGE(K66:AI66)</f>
        <v>0.72</v>
      </c>
      <c r="AK66">
        <f>IF(AJ66&gt;=Controls!$B$2,1,0)</f>
        <v>1</v>
      </c>
      <c r="AL66">
        <f t="shared" ref="AL66:AL97" si="5">--(AK66=J66)</f>
        <v>1</v>
      </c>
    </row>
    <row r="67" spans="9:38" x14ac:dyDescent="0.2">
      <c r="I67">
        <f>Data!A277</f>
        <v>276</v>
      </c>
      <c r="J67">
        <f>Data!L277</f>
        <v>0</v>
      </c>
      <c r="K67">
        <f>IF($B$2="age",IF(Data!C277&lt;=$C$2,$F$2,$G$2),IF(Data!B277&lt;=$C$2,$F$2,$G$2))</f>
        <v>0</v>
      </c>
      <c r="L67">
        <f>IF($B$3="age",IF(Data!C277&lt;=$C$3,$F$3,$G$3),IF(Data!B277&lt;=$C$3,$F$3,$G$3))</f>
        <v>1</v>
      </c>
      <c r="M67">
        <f>IF($B$4="age",IF(Data!C277&lt;=$C$4,$F$4,$G$4),IF(Data!B277&lt;=$C$4,$F$4,$G$4))</f>
        <v>1</v>
      </c>
      <c r="N67">
        <f>IF($B$5="age",IF(Data!C277&lt;=$C$5,$F$5,$G$5),IF(Data!B277&lt;=$C$5,$F$5,$G$5))</f>
        <v>1</v>
      </c>
      <c r="O67">
        <f>IF($B$6="age",IF(Data!C277&lt;=$C$6,$F$6,$G$6),IF(Data!B277&lt;=$C$6,$F$6,$G$6))</f>
        <v>0</v>
      </c>
      <c r="P67">
        <f>IF($B$7="age",IF(Data!C277&lt;=$C$7,$F$7,$G$7),IF(Data!B277&lt;=$C$7,$F$7,$G$7))</f>
        <v>1</v>
      </c>
      <c r="Q67">
        <f>IF($B$8="age",IF(Data!C277&lt;=$C$8,$F$8,$G$8),IF(Data!B277&lt;=$C$8,$F$8,$G$8))</f>
        <v>1</v>
      </c>
      <c r="R67">
        <f>IF($B$9="age",IF(Data!C277&lt;=$C$9,$F$9,$G$9),IF(Data!B277&lt;=$C$9,$F$9,$G$9))</f>
        <v>1</v>
      </c>
      <c r="S67">
        <f>IF($B$10="age",IF(Data!C277&lt;=$C$10,$F$10,$G$10),IF(Data!B277&lt;=$C$10,$F$10,$G$10))</f>
        <v>0</v>
      </c>
      <c r="T67">
        <f>IF($B$11="age",IF(Data!C277&lt;=$C$11,$F$11,$G$11),IF(Data!B277&lt;=$C$11,$F$11,$G$11))</f>
        <v>1</v>
      </c>
      <c r="U67">
        <f>IF($B$12="age",IF(Data!C277&lt;=$C$12,$F$12,$G$12),IF(Data!B277&lt;=$C$12,$F$12,$G$12))</f>
        <v>1</v>
      </c>
      <c r="V67">
        <f>IF($B$13="age",IF(Data!C277&lt;=$C$13,$F$13,$G$13),IF(Data!B277&lt;=$C$13,$F$13,$G$13))</f>
        <v>1</v>
      </c>
      <c r="W67">
        <f>IF($B$14="age",IF(Data!C277&lt;=$C$14,$F$14,$G$14),IF(Data!B277&lt;=$C$14,$F$14,$G$14))</f>
        <v>0</v>
      </c>
      <c r="X67">
        <f>IF($B$15="age",IF(Data!C277&lt;=$C$15,$F$15,$G$15),IF(Data!B277&lt;=$C$15,$F$15,$G$15))</f>
        <v>1</v>
      </c>
      <c r="Y67">
        <f>IF($B$16="age",IF(Data!C277&lt;=$C$16,$F$16,$G$16),IF(Data!B277&lt;=$C$16,$F$16,$G$16))</f>
        <v>1</v>
      </c>
      <c r="Z67">
        <f>IF($B$17="age",IF(Data!C277&lt;=$C$17,$F$17,$G$17),IF(Data!B277&lt;=$C$17,$F$17,$G$17))</f>
        <v>1</v>
      </c>
      <c r="AA67">
        <f>IF($B$18="age",IF(Data!C277&lt;=$C$18,$F$18,$G$18),IF(Data!B277&lt;=$C$18,$F$18,$G$18))</f>
        <v>1</v>
      </c>
      <c r="AB67">
        <f>IF($B$19="age",IF(Data!C277&lt;=$C$19,$F$19,$G$19),IF(Data!B277&lt;=$C$19,$F$19,$G$19))</f>
        <v>1</v>
      </c>
      <c r="AC67">
        <f>IF($B$20="age",IF(Data!C277&lt;=$C$20,$F$20,$G$20),IF(Data!B277&lt;=$C$20,$F$20,$G$20))</f>
        <v>1</v>
      </c>
      <c r="AD67">
        <f>IF($B$21="age",IF(Data!C277&lt;=$C$21,$F$21,$G$21),IF(Data!B277&lt;=$C$21,$F$21,$G$21))</f>
        <v>1</v>
      </c>
      <c r="AE67">
        <f>IF($B$22="age",IF(Data!C277&lt;=$C$22,$F$22,$G$22),IF(Data!B277&lt;=$C$22,$F$22,$G$22))</f>
        <v>0</v>
      </c>
      <c r="AF67">
        <f>IF($B$23="age",IF(Data!C277&lt;=$C$23,$F$23,$G$23),IF(Data!B277&lt;=$C$23,$F$23,$G$23))</f>
        <v>1</v>
      </c>
      <c r="AG67">
        <f>IF($B$24="age",IF(Data!C277&lt;=$C$24,$F$24,$G$24),IF(Data!B277&lt;=$C$24,$F$24,$G$24))</f>
        <v>0</v>
      </c>
      <c r="AH67">
        <f>IF($B$25="age",IF(Data!C277&lt;=$C$25,$F$25,$G$25),IF(Data!B277&lt;=$C$25,$F$25,$G$25))</f>
        <v>1</v>
      </c>
      <c r="AI67">
        <f>IF($B$26="age",IF(Data!C277&lt;=$C$26,$F$26,$G$26),IF(Data!B277&lt;=$C$26,$F$26,$G$26))</f>
        <v>1</v>
      </c>
      <c r="AJ67">
        <f t="shared" si="4"/>
        <v>0.76</v>
      </c>
      <c r="AK67">
        <f>IF(AJ67&gt;=Controls!$B$2,1,0)</f>
        <v>1</v>
      </c>
      <c r="AL67">
        <f t="shared" si="5"/>
        <v>0</v>
      </c>
    </row>
    <row r="68" spans="9:38" x14ac:dyDescent="0.2">
      <c r="I68">
        <f>Data!A278</f>
        <v>277</v>
      </c>
      <c r="J68">
        <f>Data!L278</f>
        <v>1</v>
      </c>
      <c r="K68">
        <f>IF($B$2="age",IF(Data!C278&lt;=$C$2,$F$2,$G$2),IF(Data!B278&lt;=$C$2,$F$2,$G$2))</f>
        <v>0</v>
      </c>
      <c r="L68">
        <f>IF($B$3="age",IF(Data!C278&lt;=$C$3,$F$3,$G$3),IF(Data!B278&lt;=$C$3,$F$3,$G$3))</f>
        <v>1</v>
      </c>
      <c r="M68">
        <f>IF($B$4="age",IF(Data!C278&lt;=$C$4,$F$4,$G$4),IF(Data!B278&lt;=$C$4,$F$4,$G$4))</f>
        <v>1</v>
      </c>
      <c r="N68">
        <f>IF($B$5="age",IF(Data!C278&lt;=$C$5,$F$5,$G$5),IF(Data!B278&lt;=$C$5,$F$5,$G$5))</f>
        <v>0</v>
      </c>
      <c r="O68">
        <f>IF($B$6="age",IF(Data!C278&lt;=$C$6,$F$6,$G$6),IF(Data!B278&lt;=$C$6,$F$6,$G$6))</f>
        <v>1</v>
      </c>
      <c r="P68">
        <f>IF($B$7="age",IF(Data!C278&lt;=$C$7,$F$7,$G$7),IF(Data!B278&lt;=$C$7,$F$7,$G$7))</f>
        <v>1</v>
      </c>
      <c r="Q68">
        <f>IF($B$8="age",IF(Data!C278&lt;=$C$8,$F$8,$G$8),IF(Data!B278&lt;=$C$8,$F$8,$G$8))</f>
        <v>1</v>
      </c>
      <c r="R68">
        <f>IF($B$9="age",IF(Data!C278&lt;=$C$9,$F$9,$G$9),IF(Data!B278&lt;=$C$9,$F$9,$G$9))</f>
        <v>0</v>
      </c>
      <c r="S68">
        <f>IF($B$10="age",IF(Data!C278&lt;=$C$10,$F$10,$G$10),IF(Data!B278&lt;=$C$10,$F$10,$G$10))</f>
        <v>0</v>
      </c>
      <c r="T68">
        <f>IF($B$11="age",IF(Data!C278&lt;=$C$11,$F$11,$G$11),IF(Data!B278&lt;=$C$11,$F$11,$G$11))</f>
        <v>0</v>
      </c>
      <c r="U68">
        <f>IF($B$12="age",IF(Data!C278&lt;=$C$12,$F$12,$G$12),IF(Data!B278&lt;=$C$12,$F$12,$G$12))</f>
        <v>1</v>
      </c>
      <c r="V68">
        <f>IF($B$13="age",IF(Data!C278&lt;=$C$13,$F$13,$G$13),IF(Data!B278&lt;=$C$13,$F$13,$G$13))</f>
        <v>0</v>
      </c>
      <c r="W68">
        <f>IF($B$14="age",IF(Data!C278&lt;=$C$14,$F$14,$G$14),IF(Data!B278&lt;=$C$14,$F$14,$G$14))</f>
        <v>1</v>
      </c>
      <c r="X68">
        <f>IF($B$15="age",IF(Data!C278&lt;=$C$15,$F$15,$G$15),IF(Data!B278&lt;=$C$15,$F$15,$G$15))</f>
        <v>1</v>
      </c>
      <c r="Y68">
        <f>IF($B$16="age",IF(Data!C278&lt;=$C$16,$F$16,$G$16),IF(Data!B278&lt;=$C$16,$F$16,$G$16))</f>
        <v>1</v>
      </c>
      <c r="Z68">
        <f>IF($B$17="age",IF(Data!C278&lt;=$C$17,$F$17,$G$17),IF(Data!B278&lt;=$C$17,$F$17,$G$17))</f>
        <v>0</v>
      </c>
      <c r="AA68">
        <f>IF($B$18="age",IF(Data!C278&lt;=$C$18,$F$18,$G$18),IF(Data!B278&lt;=$C$18,$F$18,$G$18))</f>
        <v>1</v>
      </c>
      <c r="AB68">
        <f>IF($B$19="age",IF(Data!C278&lt;=$C$19,$F$19,$G$19),IF(Data!B278&lt;=$C$19,$F$19,$G$19))</f>
        <v>0</v>
      </c>
      <c r="AC68">
        <f>IF($B$20="age",IF(Data!C278&lt;=$C$20,$F$20,$G$20),IF(Data!B278&lt;=$C$20,$F$20,$G$20))</f>
        <v>1</v>
      </c>
      <c r="AD68">
        <f>IF($B$21="age",IF(Data!C278&lt;=$C$21,$F$21,$G$21),IF(Data!B278&lt;=$C$21,$F$21,$G$21))</f>
        <v>0</v>
      </c>
      <c r="AE68">
        <f>IF($B$22="age",IF(Data!C278&lt;=$C$22,$F$22,$G$22),IF(Data!B278&lt;=$C$22,$F$22,$G$22))</f>
        <v>1</v>
      </c>
      <c r="AF68">
        <f>IF($B$23="age",IF(Data!C278&lt;=$C$23,$F$23,$G$23),IF(Data!B278&lt;=$C$23,$F$23,$G$23))</f>
        <v>0</v>
      </c>
      <c r="AG68">
        <f>IF($B$24="age",IF(Data!C278&lt;=$C$24,$F$24,$G$24),IF(Data!B278&lt;=$C$24,$F$24,$G$24))</f>
        <v>1</v>
      </c>
      <c r="AH68">
        <f>IF($B$25="age",IF(Data!C278&lt;=$C$25,$F$25,$G$25),IF(Data!B278&lt;=$C$25,$F$25,$G$25))</f>
        <v>1</v>
      </c>
      <c r="AI68">
        <f>IF($B$26="age",IF(Data!C278&lt;=$C$26,$F$26,$G$26),IF(Data!B278&lt;=$C$26,$F$26,$G$26))</f>
        <v>1</v>
      </c>
      <c r="AJ68">
        <f t="shared" si="4"/>
        <v>0.6</v>
      </c>
      <c r="AK68">
        <f>IF(AJ68&gt;=Controls!$B$2,1,0)</f>
        <v>1</v>
      </c>
      <c r="AL68">
        <f t="shared" si="5"/>
        <v>1</v>
      </c>
    </row>
    <row r="69" spans="9:38" x14ac:dyDescent="0.2">
      <c r="I69">
        <f>Data!A279</f>
        <v>278</v>
      </c>
      <c r="J69">
        <f>Data!L279</f>
        <v>1</v>
      </c>
      <c r="K69">
        <f>IF($B$2="age",IF(Data!C279&lt;=$C$2,$F$2,$G$2),IF(Data!B279&lt;=$C$2,$F$2,$G$2))</f>
        <v>0</v>
      </c>
      <c r="L69">
        <f>IF($B$3="age",IF(Data!C279&lt;=$C$3,$F$3,$G$3),IF(Data!B279&lt;=$C$3,$F$3,$G$3))</f>
        <v>0</v>
      </c>
      <c r="M69">
        <f>IF($B$4="age",IF(Data!C279&lt;=$C$4,$F$4,$G$4),IF(Data!B279&lt;=$C$4,$F$4,$G$4))</f>
        <v>1</v>
      </c>
      <c r="N69">
        <f>IF($B$5="age",IF(Data!C279&lt;=$C$5,$F$5,$G$5),IF(Data!B279&lt;=$C$5,$F$5,$G$5))</f>
        <v>0</v>
      </c>
      <c r="O69">
        <f>IF($B$6="age",IF(Data!C279&lt;=$C$6,$F$6,$G$6),IF(Data!B279&lt;=$C$6,$F$6,$G$6))</f>
        <v>0</v>
      </c>
      <c r="P69">
        <f>IF($B$7="age",IF(Data!C279&lt;=$C$7,$F$7,$G$7),IF(Data!B279&lt;=$C$7,$F$7,$G$7))</f>
        <v>1</v>
      </c>
      <c r="Q69">
        <f>IF($B$8="age",IF(Data!C279&lt;=$C$8,$F$8,$G$8),IF(Data!B279&lt;=$C$8,$F$8,$G$8))</f>
        <v>1</v>
      </c>
      <c r="R69">
        <f>IF($B$9="age",IF(Data!C279&lt;=$C$9,$F$9,$G$9),IF(Data!B279&lt;=$C$9,$F$9,$G$9))</f>
        <v>0</v>
      </c>
      <c r="S69">
        <f>IF($B$10="age",IF(Data!C279&lt;=$C$10,$F$10,$G$10),IF(Data!B279&lt;=$C$10,$F$10,$G$10))</f>
        <v>0</v>
      </c>
      <c r="T69">
        <f>IF($B$11="age",IF(Data!C279&lt;=$C$11,$F$11,$G$11),IF(Data!B279&lt;=$C$11,$F$11,$G$11))</f>
        <v>0</v>
      </c>
      <c r="U69">
        <f>IF($B$12="age",IF(Data!C279&lt;=$C$12,$F$12,$G$12),IF(Data!B279&lt;=$C$12,$F$12,$G$12))</f>
        <v>1</v>
      </c>
      <c r="V69">
        <f>IF($B$13="age",IF(Data!C279&lt;=$C$13,$F$13,$G$13),IF(Data!B279&lt;=$C$13,$F$13,$G$13))</f>
        <v>0</v>
      </c>
      <c r="W69">
        <f>IF($B$14="age",IF(Data!C279&lt;=$C$14,$F$14,$G$14),IF(Data!B279&lt;=$C$14,$F$14,$G$14))</f>
        <v>0</v>
      </c>
      <c r="X69">
        <f>IF($B$15="age",IF(Data!C279&lt;=$C$15,$F$15,$G$15),IF(Data!B279&lt;=$C$15,$F$15,$G$15))</f>
        <v>1</v>
      </c>
      <c r="Y69">
        <f>IF($B$16="age",IF(Data!C279&lt;=$C$16,$F$16,$G$16),IF(Data!B279&lt;=$C$16,$F$16,$G$16))</f>
        <v>1</v>
      </c>
      <c r="Z69">
        <f>IF($B$17="age",IF(Data!C279&lt;=$C$17,$F$17,$G$17),IF(Data!B279&lt;=$C$17,$F$17,$G$17))</f>
        <v>0</v>
      </c>
      <c r="AA69">
        <f>IF($B$18="age",IF(Data!C279&lt;=$C$18,$F$18,$G$18),IF(Data!B279&lt;=$C$18,$F$18,$G$18))</f>
        <v>1</v>
      </c>
      <c r="AB69">
        <f>IF($B$19="age",IF(Data!C279&lt;=$C$19,$F$19,$G$19),IF(Data!B279&lt;=$C$19,$F$19,$G$19))</f>
        <v>0</v>
      </c>
      <c r="AC69">
        <f>IF($B$20="age",IF(Data!C279&lt;=$C$20,$F$20,$G$20),IF(Data!B279&lt;=$C$20,$F$20,$G$20))</f>
        <v>1</v>
      </c>
      <c r="AD69">
        <f>IF($B$21="age",IF(Data!C279&lt;=$C$21,$F$21,$G$21),IF(Data!B279&lt;=$C$21,$F$21,$G$21))</f>
        <v>0</v>
      </c>
      <c r="AE69">
        <f>IF($B$22="age",IF(Data!C279&lt;=$C$22,$F$22,$G$22),IF(Data!B279&lt;=$C$22,$F$22,$G$22))</f>
        <v>0</v>
      </c>
      <c r="AF69">
        <f>IF($B$23="age",IF(Data!C279&lt;=$C$23,$F$23,$G$23),IF(Data!B279&lt;=$C$23,$F$23,$G$23))</f>
        <v>0</v>
      </c>
      <c r="AG69">
        <f>IF($B$24="age",IF(Data!C279&lt;=$C$24,$F$24,$G$24),IF(Data!B279&lt;=$C$24,$F$24,$G$24))</f>
        <v>1</v>
      </c>
      <c r="AH69">
        <f>IF($B$25="age",IF(Data!C279&lt;=$C$25,$F$25,$G$25),IF(Data!B279&lt;=$C$25,$F$25,$G$25))</f>
        <v>1</v>
      </c>
      <c r="AI69">
        <f>IF($B$26="age",IF(Data!C279&lt;=$C$26,$F$26,$G$26),IF(Data!B279&lt;=$C$26,$F$26,$G$26))</f>
        <v>1</v>
      </c>
      <c r="AJ69">
        <f t="shared" si="4"/>
        <v>0.44</v>
      </c>
      <c r="AK69">
        <f>IF(AJ69&gt;=Controls!$B$2,1,0)</f>
        <v>0</v>
      </c>
      <c r="AL69">
        <f t="shared" si="5"/>
        <v>0</v>
      </c>
    </row>
    <row r="70" spans="9:38" x14ac:dyDescent="0.2">
      <c r="I70">
        <f>Data!A280</f>
        <v>279</v>
      </c>
      <c r="J70">
        <f>Data!L280</f>
        <v>1</v>
      </c>
      <c r="K70">
        <f>IF($B$2="age",IF(Data!C280&lt;=$C$2,$F$2,$G$2),IF(Data!B280&lt;=$C$2,$F$2,$G$2))</f>
        <v>0</v>
      </c>
      <c r="L70">
        <f>IF($B$3="age",IF(Data!C280&lt;=$C$3,$F$3,$G$3),IF(Data!B280&lt;=$C$3,$F$3,$G$3))</f>
        <v>1</v>
      </c>
      <c r="M70">
        <f>IF($B$4="age",IF(Data!C280&lt;=$C$4,$F$4,$G$4),IF(Data!B280&lt;=$C$4,$F$4,$G$4))</f>
        <v>1</v>
      </c>
      <c r="N70">
        <f>IF($B$5="age",IF(Data!C280&lt;=$C$5,$F$5,$G$5),IF(Data!B280&lt;=$C$5,$F$5,$G$5))</f>
        <v>1</v>
      </c>
      <c r="O70">
        <f>IF($B$6="age",IF(Data!C280&lt;=$C$6,$F$6,$G$6),IF(Data!B280&lt;=$C$6,$F$6,$G$6))</f>
        <v>1</v>
      </c>
      <c r="P70">
        <f>IF($B$7="age",IF(Data!C280&lt;=$C$7,$F$7,$G$7),IF(Data!B280&lt;=$C$7,$F$7,$G$7))</f>
        <v>1</v>
      </c>
      <c r="Q70">
        <f>IF($B$8="age",IF(Data!C280&lt;=$C$8,$F$8,$G$8),IF(Data!B280&lt;=$C$8,$F$8,$G$8))</f>
        <v>1</v>
      </c>
      <c r="R70">
        <f>IF($B$9="age",IF(Data!C280&lt;=$C$9,$F$9,$G$9),IF(Data!B280&lt;=$C$9,$F$9,$G$9))</f>
        <v>1</v>
      </c>
      <c r="S70">
        <f>IF($B$10="age",IF(Data!C280&lt;=$C$10,$F$10,$G$10),IF(Data!B280&lt;=$C$10,$F$10,$G$10))</f>
        <v>0</v>
      </c>
      <c r="T70">
        <f>IF($B$11="age",IF(Data!C280&lt;=$C$11,$F$11,$G$11),IF(Data!B280&lt;=$C$11,$F$11,$G$11))</f>
        <v>0</v>
      </c>
      <c r="U70">
        <f>IF($B$12="age",IF(Data!C280&lt;=$C$12,$F$12,$G$12),IF(Data!B280&lt;=$C$12,$F$12,$G$12))</f>
        <v>1</v>
      </c>
      <c r="V70">
        <f>IF($B$13="age",IF(Data!C280&lt;=$C$13,$F$13,$G$13),IF(Data!B280&lt;=$C$13,$F$13,$G$13))</f>
        <v>1</v>
      </c>
      <c r="W70">
        <f>IF($B$14="age",IF(Data!C280&lt;=$C$14,$F$14,$G$14),IF(Data!B280&lt;=$C$14,$F$14,$G$14))</f>
        <v>1</v>
      </c>
      <c r="X70">
        <f>IF($B$15="age",IF(Data!C280&lt;=$C$15,$F$15,$G$15),IF(Data!B280&lt;=$C$15,$F$15,$G$15))</f>
        <v>1</v>
      </c>
      <c r="Y70">
        <f>IF($B$16="age",IF(Data!C280&lt;=$C$16,$F$16,$G$16),IF(Data!B280&lt;=$C$16,$F$16,$G$16))</f>
        <v>1</v>
      </c>
      <c r="Z70">
        <f>IF($B$17="age",IF(Data!C280&lt;=$C$17,$F$17,$G$17),IF(Data!B280&lt;=$C$17,$F$17,$G$17))</f>
        <v>0</v>
      </c>
      <c r="AA70">
        <f>IF($B$18="age",IF(Data!C280&lt;=$C$18,$F$18,$G$18),IF(Data!B280&lt;=$C$18,$F$18,$G$18))</f>
        <v>1</v>
      </c>
      <c r="AB70">
        <f>IF($B$19="age",IF(Data!C280&lt;=$C$19,$F$19,$G$19),IF(Data!B280&lt;=$C$19,$F$19,$G$19))</f>
        <v>1</v>
      </c>
      <c r="AC70">
        <f>IF($B$20="age",IF(Data!C280&lt;=$C$20,$F$20,$G$20),IF(Data!B280&lt;=$C$20,$F$20,$G$20))</f>
        <v>1</v>
      </c>
      <c r="AD70">
        <f>IF($B$21="age",IF(Data!C280&lt;=$C$21,$F$21,$G$21),IF(Data!B280&lt;=$C$21,$F$21,$G$21))</f>
        <v>0</v>
      </c>
      <c r="AE70">
        <f>IF($B$22="age",IF(Data!C280&lt;=$C$22,$F$22,$G$22),IF(Data!B280&lt;=$C$22,$F$22,$G$22))</f>
        <v>1</v>
      </c>
      <c r="AF70">
        <f>IF($B$23="age",IF(Data!C280&lt;=$C$23,$F$23,$G$23),IF(Data!B280&lt;=$C$23,$F$23,$G$23))</f>
        <v>1</v>
      </c>
      <c r="AG70">
        <f>IF($B$24="age",IF(Data!C280&lt;=$C$24,$F$24,$G$24),IF(Data!B280&lt;=$C$24,$F$24,$G$24))</f>
        <v>1</v>
      </c>
      <c r="AH70">
        <f>IF($B$25="age",IF(Data!C280&lt;=$C$25,$F$25,$G$25),IF(Data!B280&lt;=$C$25,$F$25,$G$25))</f>
        <v>1</v>
      </c>
      <c r="AI70">
        <f>IF($B$26="age",IF(Data!C280&lt;=$C$26,$F$26,$G$26),IF(Data!B280&lt;=$C$26,$F$26,$G$26))</f>
        <v>1</v>
      </c>
      <c r="AJ70">
        <f t="shared" si="4"/>
        <v>0.8</v>
      </c>
      <c r="AK70">
        <f>IF(AJ70&gt;=Controls!$B$2,1,0)</f>
        <v>1</v>
      </c>
      <c r="AL70">
        <f t="shared" si="5"/>
        <v>1</v>
      </c>
    </row>
    <row r="71" spans="9:38" x14ac:dyDescent="0.2">
      <c r="I71">
        <f>Data!A281</f>
        <v>280</v>
      </c>
      <c r="J71">
        <f>Data!L281</f>
        <v>0</v>
      </c>
      <c r="K71">
        <f>IF($B$2="age",IF(Data!C281&lt;=$C$2,$F$2,$G$2),IF(Data!B281&lt;=$C$2,$F$2,$G$2))</f>
        <v>1</v>
      </c>
      <c r="L71">
        <f>IF($B$3="age",IF(Data!C281&lt;=$C$3,$F$3,$G$3),IF(Data!B281&lt;=$C$3,$F$3,$G$3))</f>
        <v>1</v>
      </c>
      <c r="M71">
        <f>IF($B$4="age",IF(Data!C281&lt;=$C$4,$F$4,$G$4),IF(Data!B281&lt;=$C$4,$F$4,$G$4))</f>
        <v>1</v>
      </c>
      <c r="N71">
        <f>IF($B$5="age",IF(Data!C281&lt;=$C$5,$F$5,$G$5),IF(Data!B281&lt;=$C$5,$F$5,$G$5))</f>
        <v>1</v>
      </c>
      <c r="O71">
        <f>IF($B$6="age",IF(Data!C281&lt;=$C$6,$F$6,$G$6),IF(Data!B281&lt;=$C$6,$F$6,$G$6))</f>
        <v>1</v>
      </c>
      <c r="P71">
        <f>IF($B$7="age",IF(Data!C281&lt;=$C$7,$F$7,$G$7),IF(Data!B281&lt;=$C$7,$F$7,$G$7))</f>
        <v>1</v>
      </c>
      <c r="Q71">
        <f>IF($B$8="age",IF(Data!C281&lt;=$C$8,$F$8,$G$8),IF(Data!B281&lt;=$C$8,$F$8,$G$8))</f>
        <v>1</v>
      </c>
      <c r="R71">
        <f>IF($B$9="age",IF(Data!C281&lt;=$C$9,$F$9,$G$9),IF(Data!B281&lt;=$C$9,$F$9,$G$9))</f>
        <v>1</v>
      </c>
      <c r="S71">
        <f>IF($B$10="age",IF(Data!C281&lt;=$C$10,$F$10,$G$10),IF(Data!B281&lt;=$C$10,$F$10,$G$10))</f>
        <v>1</v>
      </c>
      <c r="T71">
        <f>IF($B$11="age",IF(Data!C281&lt;=$C$11,$F$11,$G$11),IF(Data!B281&lt;=$C$11,$F$11,$G$11))</f>
        <v>0</v>
      </c>
      <c r="U71">
        <f>IF($B$12="age",IF(Data!C281&lt;=$C$12,$F$12,$G$12),IF(Data!B281&lt;=$C$12,$F$12,$G$12))</f>
        <v>1</v>
      </c>
      <c r="V71">
        <f>IF($B$13="age",IF(Data!C281&lt;=$C$13,$F$13,$G$13),IF(Data!B281&lt;=$C$13,$F$13,$G$13))</f>
        <v>1</v>
      </c>
      <c r="W71">
        <f>IF($B$14="age",IF(Data!C281&lt;=$C$14,$F$14,$G$14),IF(Data!B281&lt;=$C$14,$F$14,$G$14))</f>
        <v>1</v>
      </c>
      <c r="X71">
        <f>IF($B$15="age",IF(Data!C281&lt;=$C$15,$F$15,$G$15),IF(Data!B281&lt;=$C$15,$F$15,$G$15))</f>
        <v>1</v>
      </c>
      <c r="Y71">
        <f>IF($B$16="age",IF(Data!C281&lt;=$C$16,$F$16,$G$16),IF(Data!B281&lt;=$C$16,$F$16,$G$16))</f>
        <v>1</v>
      </c>
      <c r="Z71">
        <f>IF($B$17="age",IF(Data!C281&lt;=$C$17,$F$17,$G$17),IF(Data!B281&lt;=$C$17,$F$17,$G$17))</f>
        <v>0</v>
      </c>
      <c r="AA71">
        <f>IF($B$18="age",IF(Data!C281&lt;=$C$18,$F$18,$G$18),IF(Data!B281&lt;=$C$18,$F$18,$G$18))</f>
        <v>1</v>
      </c>
      <c r="AB71">
        <f>IF($B$19="age",IF(Data!C281&lt;=$C$19,$F$19,$G$19),IF(Data!B281&lt;=$C$19,$F$19,$G$19))</f>
        <v>1</v>
      </c>
      <c r="AC71">
        <f>IF($B$20="age",IF(Data!C281&lt;=$C$20,$F$20,$G$20),IF(Data!B281&lt;=$C$20,$F$20,$G$20))</f>
        <v>1</v>
      </c>
      <c r="AD71">
        <f>IF($B$21="age",IF(Data!C281&lt;=$C$21,$F$21,$G$21),IF(Data!B281&lt;=$C$21,$F$21,$G$21))</f>
        <v>0</v>
      </c>
      <c r="AE71">
        <f>IF($B$22="age",IF(Data!C281&lt;=$C$22,$F$22,$G$22),IF(Data!B281&lt;=$C$22,$F$22,$G$22))</f>
        <v>1</v>
      </c>
      <c r="AF71">
        <f>IF($B$23="age",IF(Data!C281&lt;=$C$23,$F$23,$G$23),IF(Data!B281&lt;=$C$23,$F$23,$G$23))</f>
        <v>1</v>
      </c>
      <c r="AG71">
        <f>IF($B$24="age",IF(Data!C281&lt;=$C$24,$F$24,$G$24),IF(Data!B281&lt;=$C$24,$F$24,$G$24))</f>
        <v>1</v>
      </c>
      <c r="AH71">
        <f>IF($B$25="age",IF(Data!C281&lt;=$C$25,$F$25,$G$25),IF(Data!B281&lt;=$C$25,$F$25,$G$25))</f>
        <v>1</v>
      </c>
      <c r="AI71">
        <f>IF($B$26="age",IF(Data!C281&lt;=$C$26,$F$26,$G$26),IF(Data!B281&lt;=$C$26,$F$26,$G$26))</f>
        <v>1</v>
      </c>
      <c r="AJ71">
        <f t="shared" si="4"/>
        <v>0.88</v>
      </c>
      <c r="AK71">
        <f>IF(AJ71&gt;=Controls!$B$2,1,0)</f>
        <v>1</v>
      </c>
      <c r="AL71">
        <f t="shared" si="5"/>
        <v>0</v>
      </c>
    </row>
    <row r="72" spans="9:38" x14ac:dyDescent="0.2">
      <c r="I72">
        <f>Data!A282</f>
        <v>281</v>
      </c>
      <c r="J72">
        <f>Data!L282</f>
        <v>0</v>
      </c>
      <c r="K72">
        <f>IF($B$2="age",IF(Data!C282&lt;=$C$2,$F$2,$G$2),IF(Data!B282&lt;=$C$2,$F$2,$G$2))</f>
        <v>0</v>
      </c>
      <c r="L72">
        <f>IF($B$3="age",IF(Data!C282&lt;=$C$3,$F$3,$G$3),IF(Data!B282&lt;=$C$3,$F$3,$G$3))</f>
        <v>0</v>
      </c>
      <c r="M72">
        <f>IF($B$4="age",IF(Data!C282&lt;=$C$4,$F$4,$G$4),IF(Data!B282&lt;=$C$4,$F$4,$G$4))</f>
        <v>1</v>
      </c>
      <c r="N72">
        <f>IF($B$5="age",IF(Data!C282&lt;=$C$5,$F$5,$G$5),IF(Data!B282&lt;=$C$5,$F$5,$G$5))</f>
        <v>0</v>
      </c>
      <c r="O72">
        <f>IF($B$6="age",IF(Data!C282&lt;=$C$6,$F$6,$G$6),IF(Data!B282&lt;=$C$6,$F$6,$G$6))</f>
        <v>0</v>
      </c>
      <c r="P72">
        <f>IF($B$7="age",IF(Data!C282&lt;=$C$7,$F$7,$G$7),IF(Data!B282&lt;=$C$7,$F$7,$G$7))</f>
        <v>1</v>
      </c>
      <c r="Q72">
        <f>IF($B$8="age",IF(Data!C282&lt;=$C$8,$F$8,$G$8),IF(Data!B282&lt;=$C$8,$F$8,$G$8))</f>
        <v>1</v>
      </c>
      <c r="R72">
        <f>IF($B$9="age",IF(Data!C282&lt;=$C$9,$F$9,$G$9),IF(Data!B282&lt;=$C$9,$F$9,$G$9))</f>
        <v>0</v>
      </c>
      <c r="S72">
        <f>IF($B$10="age",IF(Data!C282&lt;=$C$10,$F$10,$G$10),IF(Data!B282&lt;=$C$10,$F$10,$G$10))</f>
        <v>0</v>
      </c>
      <c r="T72">
        <f>IF($B$11="age",IF(Data!C282&lt;=$C$11,$F$11,$G$11),IF(Data!B282&lt;=$C$11,$F$11,$G$11))</f>
        <v>0</v>
      </c>
      <c r="U72">
        <f>IF($B$12="age",IF(Data!C282&lt;=$C$12,$F$12,$G$12),IF(Data!B282&lt;=$C$12,$F$12,$G$12))</f>
        <v>1</v>
      </c>
      <c r="V72">
        <f>IF($B$13="age",IF(Data!C282&lt;=$C$13,$F$13,$G$13),IF(Data!B282&lt;=$C$13,$F$13,$G$13))</f>
        <v>0</v>
      </c>
      <c r="W72">
        <f>IF($B$14="age",IF(Data!C282&lt;=$C$14,$F$14,$G$14),IF(Data!B282&lt;=$C$14,$F$14,$G$14))</f>
        <v>0</v>
      </c>
      <c r="X72">
        <f>IF($B$15="age",IF(Data!C282&lt;=$C$15,$F$15,$G$15),IF(Data!B282&lt;=$C$15,$F$15,$G$15))</f>
        <v>1</v>
      </c>
      <c r="Y72">
        <f>IF($B$16="age",IF(Data!C282&lt;=$C$16,$F$16,$G$16),IF(Data!B282&lt;=$C$16,$F$16,$G$16))</f>
        <v>1</v>
      </c>
      <c r="Z72">
        <f>IF($B$17="age",IF(Data!C282&lt;=$C$17,$F$17,$G$17),IF(Data!B282&lt;=$C$17,$F$17,$G$17))</f>
        <v>0</v>
      </c>
      <c r="AA72">
        <f>IF($B$18="age",IF(Data!C282&lt;=$C$18,$F$18,$G$18),IF(Data!B282&lt;=$C$18,$F$18,$G$18))</f>
        <v>1</v>
      </c>
      <c r="AB72">
        <f>IF($B$19="age",IF(Data!C282&lt;=$C$19,$F$19,$G$19),IF(Data!B282&lt;=$C$19,$F$19,$G$19))</f>
        <v>0</v>
      </c>
      <c r="AC72">
        <f>IF($B$20="age",IF(Data!C282&lt;=$C$20,$F$20,$G$20),IF(Data!B282&lt;=$C$20,$F$20,$G$20))</f>
        <v>1</v>
      </c>
      <c r="AD72">
        <f>IF($B$21="age",IF(Data!C282&lt;=$C$21,$F$21,$G$21),IF(Data!B282&lt;=$C$21,$F$21,$G$21))</f>
        <v>0</v>
      </c>
      <c r="AE72">
        <f>IF($B$22="age",IF(Data!C282&lt;=$C$22,$F$22,$G$22),IF(Data!B282&lt;=$C$22,$F$22,$G$22))</f>
        <v>0</v>
      </c>
      <c r="AF72">
        <f>IF($B$23="age",IF(Data!C282&lt;=$C$23,$F$23,$G$23),IF(Data!B282&lt;=$C$23,$F$23,$G$23))</f>
        <v>0</v>
      </c>
      <c r="AG72">
        <f>IF($B$24="age",IF(Data!C282&lt;=$C$24,$F$24,$G$24),IF(Data!B282&lt;=$C$24,$F$24,$G$24))</f>
        <v>0</v>
      </c>
      <c r="AH72">
        <f>IF($B$25="age",IF(Data!C282&lt;=$C$25,$F$25,$G$25),IF(Data!B282&lt;=$C$25,$F$25,$G$25))</f>
        <v>1</v>
      </c>
      <c r="AI72">
        <f>IF($B$26="age",IF(Data!C282&lt;=$C$26,$F$26,$G$26),IF(Data!B282&lt;=$C$26,$F$26,$G$26))</f>
        <v>1</v>
      </c>
      <c r="AJ72">
        <f t="shared" si="4"/>
        <v>0.4</v>
      </c>
      <c r="AK72">
        <f>IF(AJ72&gt;=Controls!$B$2,1,0)</f>
        <v>0</v>
      </c>
      <c r="AL72">
        <f t="shared" si="5"/>
        <v>1</v>
      </c>
    </row>
    <row r="73" spans="9:38" x14ac:dyDescent="0.2">
      <c r="I73">
        <f>Data!A283</f>
        <v>282</v>
      </c>
      <c r="J73">
        <f>Data!L283</f>
        <v>1</v>
      </c>
      <c r="K73">
        <f>IF($B$2="age",IF(Data!C283&lt;=$C$2,$F$2,$G$2),IF(Data!B283&lt;=$C$2,$F$2,$G$2))</f>
        <v>1</v>
      </c>
      <c r="L73">
        <f>IF($B$3="age",IF(Data!C283&lt;=$C$3,$F$3,$G$3),IF(Data!B283&lt;=$C$3,$F$3,$G$3))</f>
        <v>1</v>
      </c>
      <c r="M73">
        <f>IF($B$4="age",IF(Data!C283&lt;=$C$4,$F$4,$G$4),IF(Data!B283&lt;=$C$4,$F$4,$G$4))</f>
        <v>1</v>
      </c>
      <c r="N73">
        <f>IF($B$5="age",IF(Data!C283&lt;=$C$5,$F$5,$G$5),IF(Data!B283&lt;=$C$5,$F$5,$G$5))</f>
        <v>0</v>
      </c>
      <c r="O73">
        <f>IF($B$6="age",IF(Data!C283&lt;=$C$6,$F$6,$G$6),IF(Data!B283&lt;=$C$6,$F$6,$G$6))</f>
        <v>1</v>
      </c>
      <c r="P73">
        <f>IF($B$7="age",IF(Data!C283&lt;=$C$7,$F$7,$G$7),IF(Data!B283&lt;=$C$7,$F$7,$G$7))</f>
        <v>1</v>
      </c>
      <c r="Q73">
        <f>IF($B$8="age",IF(Data!C283&lt;=$C$8,$F$8,$G$8),IF(Data!B283&lt;=$C$8,$F$8,$G$8))</f>
        <v>1</v>
      </c>
      <c r="R73">
        <f>IF($B$9="age",IF(Data!C283&lt;=$C$9,$F$9,$G$9),IF(Data!B283&lt;=$C$9,$F$9,$G$9))</f>
        <v>0</v>
      </c>
      <c r="S73">
        <f>IF($B$10="age",IF(Data!C283&lt;=$C$10,$F$10,$G$10),IF(Data!B283&lt;=$C$10,$F$10,$G$10))</f>
        <v>1</v>
      </c>
      <c r="T73">
        <f>IF($B$11="age",IF(Data!C283&lt;=$C$11,$F$11,$G$11),IF(Data!B283&lt;=$C$11,$F$11,$G$11))</f>
        <v>0</v>
      </c>
      <c r="U73">
        <f>IF($B$12="age",IF(Data!C283&lt;=$C$12,$F$12,$G$12),IF(Data!B283&lt;=$C$12,$F$12,$G$12))</f>
        <v>1</v>
      </c>
      <c r="V73">
        <f>IF($B$13="age",IF(Data!C283&lt;=$C$13,$F$13,$G$13),IF(Data!B283&lt;=$C$13,$F$13,$G$13))</f>
        <v>0</v>
      </c>
      <c r="W73">
        <f>IF($B$14="age",IF(Data!C283&lt;=$C$14,$F$14,$G$14),IF(Data!B283&lt;=$C$14,$F$14,$G$14))</f>
        <v>1</v>
      </c>
      <c r="X73">
        <f>IF($B$15="age",IF(Data!C283&lt;=$C$15,$F$15,$G$15),IF(Data!B283&lt;=$C$15,$F$15,$G$15))</f>
        <v>1</v>
      </c>
      <c r="Y73">
        <f>IF($B$16="age",IF(Data!C283&lt;=$C$16,$F$16,$G$16),IF(Data!B283&lt;=$C$16,$F$16,$G$16))</f>
        <v>1</v>
      </c>
      <c r="Z73">
        <f>IF($B$17="age",IF(Data!C283&lt;=$C$17,$F$17,$G$17),IF(Data!B283&lt;=$C$17,$F$17,$G$17))</f>
        <v>0</v>
      </c>
      <c r="AA73">
        <f>IF($B$18="age",IF(Data!C283&lt;=$C$18,$F$18,$G$18),IF(Data!B283&lt;=$C$18,$F$18,$G$18))</f>
        <v>1</v>
      </c>
      <c r="AB73">
        <f>IF($B$19="age",IF(Data!C283&lt;=$C$19,$F$19,$G$19),IF(Data!B283&lt;=$C$19,$F$19,$G$19))</f>
        <v>0</v>
      </c>
      <c r="AC73">
        <f>IF($B$20="age",IF(Data!C283&lt;=$C$20,$F$20,$G$20),IF(Data!B283&lt;=$C$20,$F$20,$G$20))</f>
        <v>1</v>
      </c>
      <c r="AD73">
        <f>IF($B$21="age",IF(Data!C283&lt;=$C$21,$F$21,$G$21),IF(Data!B283&lt;=$C$21,$F$21,$G$21))</f>
        <v>0</v>
      </c>
      <c r="AE73">
        <f>IF($B$22="age",IF(Data!C283&lt;=$C$22,$F$22,$G$22),IF(Data!B283&lt;=$C$22,$F$22,$G$22))</f>
        <v>1</v>
      </c>
      <c r="AF73">
        <f>IF($B$23="age",IF(Data!C283&lt;=$C$23,$F$23,$G$23),IF(Data!B283&lt;=$C$23,$F$23,$G$23))</f>
        <v>0</v>
      </c>
      <c r="AG73">
        <f>IF($B$24="age",IF(Data!C283&lt;=$C$24,$F$24,$G$24),IF(Data!B283&lt;=$C$24,$F$24,$G$24))</f>
        <v>1</v>
      </c>
      <c r="AH73">
        <f>IF($B$25="age",IF(Data!C283&lt;=$C$25,$F$25,$G$25),IF(Data!B283&lt;=$C$25,$F$25,$G$25))</f>
        <v>1</v>
      </c>
      <c r="AI73">
        <f>IF($B$26="age",IF(Data!C283&lt;=$C$26,$F$26,$G$26),IF(Data!B283&lt;=$C$26,$F$26,$G$26))</f>
        <v>1</v>
      </c>
      <c r="AJ73">
        <f t="shared" si="4"/>
        <v>0.68</v>
      </c>
      <c r="AK73">
        <f>IF(AJ73&gt;=Controls!$B$2,1,0)</f>
        <v>1</v>
      </c>
      <c r="AL73">
        <f t="shared" si="5"/>
        <v>1</v>
      </c>
    </row>
    <row r="74" spans="9:38" x14ac:dyDescent="0.2">
      <c r="I74">
        <f>Data!A284</f>
        <v>283</v>
      </c>
      <c r="J74">
        <f>Data!L284</f>
        <v>1</v>
      </c>
      <c r="K74">
        <f>IF($B$2="age",IF(Data!C284&lt;=$C$2,$F$2,$G$2),IF(Data!B284&lt;=$C$2,$F$2,$G$2))</f>
        <v>0</v>
      </c>
      <c r="L74">
        <f>IF($B$3="age",IF(Data!C284&lt;=$C$3,$F$3,$G$3),IF(Data!B284&lt;=$C$3,$F$3,$G$3))</f>
        <v>1</v>
      </c>
      <c r="M74">
        <f>IF($B$4="age",IF(Data!C284&lt;=$C$4,$F$4,$G$4),IF(Data!B284&lt;=$C$4,$F$4,$G$4))</f>
        <v>1</v>
      </c>
      <c r="N74">
        <f>IF($B$5="age",IF(Data!C284&lt;=$C$5,$F$5,$G$5),IF(Data!B284&lt;=$C$5,$F$5,$G$5))</f>
        <v>1</v>
      </c>
      <c r="O74">
        <f>IF($B$6="age",IF(Data!C284&lt;=$C$6,$F$6,$G$6),IF(Data!B284&lt;=$C$6,$F$6,$G$6))</f>
        <v>0</v>
      </c>
      <c r="P74">
        <f>IF($B$7="age",IF(Data!C284&lt;=$C$7,$F$7,$G$7),IF(Data!B284&lt;=$C$7,$F$7,$G$7))</f>
        <v>1</v>
      </c>
      <c r="Q74">
        <f>IF($B$8="age",IF(Data!C284&lt;=$C$8,$F$8,$G$8),IF(Data!B284&lt;=$C$8,$F$8,$G$8))</f>
        <v>1</v>
      </c>
      <c r="R74">
        <f>IF($B$9="age",IF(Data!C284&lt;=$C$9,$F$9,$G$9),IF(Data!B284&lt;=$C$9,$F$9,$G$9))</f>
        <v>1</v>
      </c>
      <c r="S74">
        <f>IF($B$10="age",IF(Data!C284&lt;=$C$10,$F$10,$G$10),IF(Data!B284&lt;=$C$10,$F$10,$G$10))</f>
        <v>0</v>
      </c>
      <c r="T74">
        <f>IF($B$11="age",IF(Data!C284&lt;=$C$11,$F$11,$G$11),IF(Data!B284&lt;=$C$11,$F$11,$G$11))</f>
        <v>1</v>
      </c>
      <c r="U74">
        <f>IF($B$12="age",IF(Data!C284&lt;=$C$12,$F$12,$G$12),IF(Data!B284&lt;=$C$12,$F$12,$G$12))</f>
        <v>1</v>
      </c>
      <c r="V74">
        <f>IF($B$13="age",IF(Data!C284&lt;=$C$13,$F$13,$G$13),IF(Data!B284&lt;=$C$13,$F$13,$G$13))</f>
        <v>1</v>
      </c>
      <c r="W74">
        <f>IF($B$14="age",IF(Data!C284&lt;=$C$14,$F$14,$G$14),IF(Data!B284&lt;=$C$14,$F$14,$G$14))</f>
        <v>0</v>
      </c>
      <c r="X74">
        <f>IF($B$15="age",IF(Data!C284&lt;=$C$15,$F$15,$G$15),IF(Data!B284&lt;=$C$15,$F$15,$G$15))</f>
        <v>1</v>
      </c>
      <c r="Y74">
        <f>IF($B$16="age",IF(Data!C284&lt;=$C$16,$F$16,$G$16),IF(Data!B284&lt;=$C$16,$F$16,$G$16))</f>
        <v>1</v>
      </c>
      <c r="Z74">
        <f>IF($B$17="age",IF(Data!C284&lt;=$C$17,$F$17,$G$17),IF(Data!B284&lt;=$C$17,$F$17,$G$17))</f>
        <v>1</v>
      </c>
      <c r="AA74">
        <f>IF($B$18="age",IF(Data!C284&lt;=$C$18,$F$18,$G$18),IF(Data!B284&lt;=$C$18,$F$18,$G$18))</f>
        <v>1</v>
      </c>
      <c r="AB74">
        <f>IF($B$19="age",IF(Data!C284&lt;=$C$19,$F$19,$G$19),IF(Data!B284&lt;=$C$19,$F$19,$G$19))</f>
        <v>1</v>
      </c>
      <c r="AC74">
        <f>IF($B$20="age",IF(Data!C284&lt;=$C$20,$F$20,$G$20),IF(Data!B284&lt;=$C$20,$F$20,$G$20))</f>
        <v>1</v>
      </c>
      <c r="AD74">
        <f>IF($B$21="age",IF(Data!C284&lt;=$C$21,$F$21,$G$21),IF(Data!B284&lt;=$C$21,$F$21,$G$21))</f>
        <v>1</v>
      </c>
      <c r="AE74">
        <f>IF($B$22="age",IF(Data!C284&lt;=$C$22,$F$22,$G$22),IF(Data!B284&lt;=$C$22,$F$22,$G$22))</f>
        <v>0</v>
      </c>
      <c r="AF74">
        <f>IF($B$23="age",IF(Data!C284&lt;=$C$23,$F$23,$G$23),IF(Data!B284&lt;=$C$23,$F$23,$G$23))</f>
        <v>1</v>
      </c>
      <c r="AG74">
        <f>IF($B$24="age",IF(Data!C284&lt;=$C$24,$F$24,$G$24),IF(Data!B284&lt;=$C$24,$F$24,$G$24))</f>
        <v>1</v>
      </c>
      <c r="AH74">
        <f>IF($B$25="age",IF(Data!C284&lt;=$C$25,$F$25,$G$25),IF(Data!B284&lt;=$C$25,$F$25,$G$25))</f>
        <v>1</v>
      </c>
      <c r="AI74">
        <f>IF($B$26="age",IF(Data!C284&lt;=$C$26,$F$26,$G$26),IF(Data!B284&lt;=$C$26,$F$26,$G$26))</f>
        <v>1</v>
      </c>
      <c r="AJ74">
        <f t="shared" si="4"/>
        <v>0.8</v>
      </c>
      <c r="AK74">
        <f>IF(AJ74&gt;=Controls!$B$2,1,0)</f>
        <v>1</v>
      </c>
      <c r="AL74">
        <f t="shared" si="5"/>
        <v>1</v>
      </c>
    </row>
    <row r="75" spans="9:38" x14ac:dyDescent="0.2">
      <c r="I75">
        <f>Data!A285</f>
        <v>284</v>
      </c>
      <c r="J75">
        <f>Data!L285</f>
        <v>1</v>
      </c>
      <c r="K75">
        <f>IF($B$2="age",IF(Data!C285&lt;=$C$2,$F$2,$G$2),IF(Data!B285&lt;=$C$2,$F$2,$G$2))</f>
        <v>0</v>
      </c>
      <c r="L75">
        <f>IF($B$3="age",IF(Data!C285&lt;=$C$3,$F$3,$G$3),IF(Data!B285&lt;=$C$3,$F$3,$G$3))</f>
        <v>1</v>
      </c>
      <c r="M75">
        <f>IF($B$4="age",IF(Data!C285&lt;=$C$4,$F$4,$G$4),IF(Data!B285&lt;=$C$4,$F$4,$G$4))</f>
        <v>1</v>
      </c>
      <c r="N75">
        <f>IF($B$5="age",IF(Data!C285&lt;=$C$5,$F$5,$G$5),IF(Data!B285&lt;=$C$5,$F$5,$G$5))</f>
        <v>1</v>
      </c>
      <c r="O75">
        <f>IF($B$6="age",IF(Data!C285&lt;=$C$6,$F$6,$G$6),IF(Data!B285&lt;=$C$6,$F$6,$G$6))</f>
        <v>0</v>
      </c>
      <c r="P75">
        <f>IF($B$7="age",IF(Data!C285&lt;=$C$7,$F$7,$G$7),IF(Data!B285&lt;=$C$7,$F$7,$G$7))</f>
        <v>1</v>
      </c>
      <c r="Q75">
        <f>IF($B$8="age",IF(Data!C285&lt;=$C$8,$F$8,$G$8),IF(Data!B285&lt;=$C$8,$F$8,$G$8))</f>
        <v>1</v>
      </c>
      <c r="R75">
        <f>IF($B$9="age",IF(Data!C285&lt;=$C$9,$F$9,$G$9),IF(Data!B285&lt;=$C$9,$F$9,$G$9))</f>
        <v>1</v>
      </c>
      <c r="S75">
        <f>IF($B$10="age",IF(Data!C285&lt;=$C$10,$F$10,$G$10),IF(Data!B285&lt;=$C$10,$F$10,$G$10))</f>
        <v>0</v>
      </c>
      <c r="T75">
        <f>IF($B$11="age",IF(Data!C285&lt;=$C$11,$F$11,$G$11),IF(Data!B285&lt;=$C$11,$F$11,$G$11))</f>
        <v>1</v>
      </c>
      <c r="U75">
        <f>IF($B$12="age",IF(Data!C285&lt;=$C$12,$F$12,$G$12),IF(Data!B285&lt;=$C$12,$F$12,$G$12))</f>
        <v>1</v>
      </c>
      <c r="V75">
        <f>IF($B$13="age",IF(Data!C285&lt;=$C$13,$F$13,$G$13),IF(Data!B285&lt;=$C$13,$F$13,$G$13))</f>
        <v>1</v>
      </c>
      <c r="W75">
        <f>IF($B$14="age",IF(Data!C285&lt;=$C$14,$F$14,$G$14),IF(Data!B285&lt;=$C$14,$F$14,$G$14))</f>
        <v>0</v>
      </c>
      <c r="X75">
        <f>IF($B$15="age",IF(Data!C285&lt;=$C$15,$F$15,$G$15),IF(Data!B285&lt;=$C$15,$F$15,$G$15))</f>
        <v>1</v>
      </c>
      <c r="Y75">
        <f>IF($B$16="age",IF(Data!C285&lt;=$C$16,$F$16,$G$16),IF(Data!B285&lt;=$C$16,$F$16,$G$16))</f>
        <v>1</v>
      </c>
      <c r="Z75">
        <f>IF($B$17="age",IF(Data!C285&lt;=$C$17,$F$17,$G$17),IF(Data!B285&lt;=$C$17,$F$17,$G$17))</f>
        <v>1</v>
      </c>
      <c r="AA75">
        <f>IF($B$18="age",IF(Data!C285&lt;=$C$18,$F$18,$G$18),IF(Data!B285&lt;=$C$18,$F$18,$G$18))</f>
        <v>1</v>
      </c>
      <c r="AB75">
        <f>IF($B$19="age",IF(Data!C285&lt;=$C$19,$F$19,$G$19),IF(Data!B285&lt;=$C$19,$F$19,$G$19))</f>
        <v>1</v>
      </c>
      <c r="AC75">
        <f>IF($B$20="age",IF(Data!C285&lt;=$C$20,$F$20,$G$20),IF(Data!B285&lt;=$C$20,$F$20,$G$20))</f>
        <v>1</v>
      </c>
      <c r="AD75">
        <f>IF($B$21="age",IF(Data!C285&lt;=$C$21,$F$21,$G$21),IF(Data!B285&lt;=$C$21,$F$21,$G$21))</f>
        <v>1</v>
      </c>
      <c r="AE75">
        <f>IF($B$22="age",IF(Data!C285&lt;=$C$22,$F$22,$G$22),IF(Data!B285&lt;=$C$22,$F$22,$G$22))</f>
        <v>0</v>
      </c>
      <c r="AF75">
        <f>IF($B$23="age",IF(Data!C285&lt;=$C$23,$F$23,$G$23),IF(Data!B285&lt;=$C$23,$F$23,$G$23))</f>
        <v>1</v>
      </c>
      <c r="AG75">
        <f>IF($B$24="age",IF(Data!C285&lt;=$C$24,$F$24,$G$24),IF(Data!B285&lt;=$C$24,$F$24,$G$24))</f>
        <v>1</v>
      </c>
      <c r="AH75">
        <f>IF($B$25="age",IF(Data!C285&lt;=$C$25,$F$25,$G$25),IF(Data!B285&lt;=$C$25,$F$25,$G$25))</f>
        <v>1</v>
      </c>
      <c r="AI75">
        <f>IF($B$26="age",IF(Data!C285&lt;=$C$26,$F$26,$G$26),IF(Data!B285&lt;=$C$26,$F$26,$G$26))</f>
        <v>1</v>
      </c>
      <c r="AJ75">
        <f t="shared" si="4"/>
        <v>0.8</v>
      </c>
      <c r="AK75">
        <f>IF(AJ75&gt;=Controls!$B$2,1,0)</f>
        <v>1</v>
      </c>
      <c r="AL75">
        <f t="shared" si="5"/>
        <v>1</v>
      </c>
    </row>
    <row r="76" spans="9:38" x14ac:dyDescent="0.2">
      <c r="I76">
        <f>Data!A286</f>
        <v>285</v>
      </c>
      <c r="J76">
        <f>Data!L286</f>
        <v>1</v>
      </c>
      <c r="K76">
        <f>IF($B$2="age",IF(Data!C286&lt;=$C$2,$F$2,$G$2),IF(Data!B286&lt;=$C$2,$F$2,$G$2))</f>
        <v>0</v>
      </c>
      <c r="L76">
        <f>IF($B$3="age",IF(Data!C286&lt;=$C$3,$F$3,$G$3),IF(Data!B286&lt;=$C$3,$F$3,$G$3))</f>
        <v>1</v>
      </c>
      <c r="M76">
        <f>IF($B$4="age",IF(Data!C286&lt;=$C$4,$F$4,$G$4),IF(Data!B286&lt;=$C$4,$F$4,$G$4))</f>
        <v>1</v>
      </c>
      <c r="N76">
        <f>IF($B$5="age",IF(Data!C286&lt;=$C$5,$F$5,$G$5),IF(Data!B286&lt;=$C$5,$F$5,$G$5))</f>
        <v>1</v>
      </c>
      <c r="O76">
        <f>IF($B$6="age",IF(Data!C286&lt;=$C$6,$F$6,$G$6),IF(Data!B286&lt;=$C$6,$F$6,$G$6))</f>
        <v>1</v>
      </c>
      <c r="P76">
        <f>IF($B$7="age",IF(Data!C286&lt;=$C$7,$F$7,$G$7),IF(Data!B286&lt;=$C$7,$F$7,$G$7))</f>
        <v>1</v>
      </c>
      <c r="Q76">
        <f>IF($B$8="age",IF(Data!C286&lt;=$C$8,$F$8,$G$8),IF(Data!B286&lt;=$C$8,$F$8,$G$8))</f>
        <v>1</v>
      </c>
      <c r="R76">
        <f>IF($B$9="age",IF(Data!C286&lt;=$C$9,$F$9,$G$9),IF(Data!B286&lt;=$C$9,$F$9,$G$9))</f>
        <v>1</v>
      </c>
      <c r="S76">
        <f>IF($B$10="age",IF(Data!C286&lt;=$C$10,$F$10,$G$10),IF(Data!B286&lt;=$C$10,$F$10,$G$10))</f>
        <v>0</v>
      </c>
      <c r="T76">
        <f>IF($B$11="age",IF(Data!C286&lt;=$C$11,$F$11,$G$11),IF(Data!B286&lt;=$C$11,$F$11,$G$11))</f>
        <v>1</v>
      </c>
      <c r="U76">
        <f>IF($B$12="age",IF(Data!C286&lt;=$C$12,$F$12,$G$12),IF(Data!B286&lt;=$C$12,$F$12,$G$12))</f>
        <v>1</v>
      </c>
      <c r="V76">
        <f>IF($B$13="age",IF(Data!C286&lt;=$C$13,$F$13,$G$13),IF(Data!B286&lt;=$C$13,$F$13,$G$13))</f>
        <v>1</v>
      </c>
      <c r="W76">
        <f>IF($B$14="age",IF(Data!C286&lt;=$C$14,$F$14,$G$14),IF(Data!B286&lt;=$C$14,$F$14,$G$14))</f>
        <v>0</v>
      </c>
      <c r="X76">
        <f>IF($B$15="age",IF(Data!C286&lt;=$C$15,$F$15,$G$15),IF(Data!B286&lt;=$C$15,$F$15,$G$15))</f>
        <v>1</v>
      </c>
      <c r="Y76">
        <f>IF($B$16="age",IF(Data!C286&lt;=$C$16,$F$16,$G$16),IF(Data!B286&lt;=$C$16,$F$16,$G$16))</f>
        <v>1</v>
      </c>
      <c r="Z76">
        <f>IF($B$17="age",IF(Data!C286&lt;=$C$17,$F$17,$G$17),IF(Data!B286&lt;=$C$17,$F$17,$G$17))</f>
        <v>1</v>
      </c>
      <c r="AA76">
        <f>IF($B$18="age",IF(Data!C286&lt;=$C$18,$F$18,$G$18),IF(Data!B286&lt;=$C$18,$F$18,$G$18))</f>
        <v>1</v>
      </c>
      <c r="AB76">
        <f>IF($B$19="age",IF(Data!C286&lt;=$C$19,$F$19,$G$19),IF(Data!B286&lt;=$C$19,$F$19,$G$19))</f>
        <v>1</v>
      </c>
      <c r="AC76">
        <f>IF($B$20="age",IF(Data!C286&lt;=$C$20,$F$20,$G$20),IF(Data!B286&lt;=$C$20,$F$20,$G$20))</f>
        <v>1</v>
      </c>
      <c r="AD76">
        <f>IF($B$21="age",IF(Data!C286&lt;=$C$21,$F$21,$G$21),IF(Data!B286&lt;=$C$21,$F$21,$G$21))</f>
        <v>1</v>
      </c>
      <c r="AE76">
        <f>IF($B$22="age",IF(Data!C286&lt;=$C$22,$F$22,$G$22),IF(Data!B286&lt;=$C$22,$F$22,$G$22))</f>
        <v>0</v>
      </c>
      <c r="AF76">
        <f>IF($B$23="age",IF(Data!C286&lt;=$C$23,$F$23,$G$23),IF(Data!B286&lt;=$C$23,$F$23,$G$23))</f>
        <v>1</v>
      </c>
      <c r="AG76">
        <f>IF($B$24="age",IF(Data!C286&lt;=$C$24,$F$24,$G$24),IF(Data!B286&lt;=$C$24,$F$24,$G$24))</f>
        <v>1</v>
      </c>
      <c r="AH76">
        <f>IF($B$25="age",IF(Data!C286&lt;=$C$25,$F$25,$G$25),IF(Data!B286&lt;=$C$25,$F$25,$G$25))</f>
        <v>1</v>
      </c>
      <c r="AI76">
        <f>IF($B$26="age",IF(Data!C286&lt;=$C$26,$F$26,$G$26),IF(Data!B286&lt;=$C$26,$F$26,$G$26))</f>
        <v>1</v>
      </c>
      <c r="AJ76">
        <f t="shared" si="4"/>
        <v>0.84</v>
      </c>
      <c r="AK76">
        <f>IF(AJ76&gt;=Controls!$B$2,1,0)</f>
        <v>1</v>
      </c>
      <c r="AL76">
        <f t="shared" si="5"/>
        <v>1</v>
      </c>
    </row>
    <row r="77" spans="9:38" x14ac:dyDescent="0.2">
      <c r="I77">
        <f>Data!A287</f>
        <v>286</v>
      </c>
      <c r="J77">
        <f>Data!L287</f>
        <v>0</v>
      </c>
      <c r="K77">
        <f>IF($B$2="age",IF(Data!C287&lt;=$C$2,$F$2,$G$2),IF(Data!B287&lt;=$C$2,$F$2,$G$2))</f>
        <v>0</v>
      </c>
      <c r="L77">
        <f>IF($B$3="age",IF(Data!C287&lt;=$C$3,$F$3,$G$3),IF(Data!B287&lt;=$C$3,$F$3,$G$3))</f>
        <v>1</v>
      </c>
      <c r="M77">
        <f>IF($B$4="age",IF(Data!C287&lt;=$C$4,$F$4,$G$4),IF(Data!B287&lt;=$C$4,$F$4,$G$4))</f>
        <v>1</v>
      </c>
      <c r="N77">
        <f>IF($B$5="age",IF(Data!C287&lt;=$C$5,$F$5,$G$5),IF(Data!B287&lt;=$C$5,$F$5,$G$5))</f>
        <v>1</v>
      </c>
      <c r="O77">
        <f>IF($B$6="age",IF(Data!C287&lt;=$C$6,$F$6,$G$6),IF(Data!B287&lt;=$C$6,$F$6,$G$6))</f>
        <v>0</v>
      </c>
      <c r="P77">
        <f>IF($B$7="age",IF(Data!C287&lt;=$C$7,$F$7,$G$7),IF(Data!B287&lt;=$C$7,$F$7,$G$7))</f>
        <v>1</v>
      </c>
      <c r="Q77">
        <f>IF($B$8="age",IF(Data!C287&lt;=$C$8,$F$8,$G$8),IF(Data!B287&lt;=$C$8,$F$8,$G$8))</f>
        <v>1</v>
      </c>
      <c r="R77">
        <f>IF($B$9="age",IF(Data!C287&lt;=$C$9,$F$9,$G$9),IF(Data!B287&lt;=$C$9,$F$9,$G$9))</f>
        <v>1</v>
      </c>
      <c r="S77">
        <f>IF($B$10="age",IF(Data!C287&lt;=$C$10,$F$10,$G$10),IF(Data!B287&lt;=$C$10,$F$10,$G$10))</f>
        <v>0</v>
      </c>
      <c r="T77">
        <f>IF($B$11="age",IF(Data!C287&lt;=$C$11,$F$11,$G$11),IF(Data!B287&lt;=$C$11,$F$11,$G$11))</f>
        <v>0</v>
      </c>
      <c r="U77">
        <f>IF($B$12="age",IF(Data!C287&lt;=$C$12,$F$12,$G$12),IF(Data!B287&lt;=$C$12,$F$12,$G$12))</f>
        <v>1</v>
      </c>
      <c r="V77">
        <f>IF($B$13="age",IF(Data!C287&lt;=$C$13,$F$13,$G$13),IF(Data!B287&lt;=$C$13,$F$13,$G$13))</f>
        <v>1</v>
      </c>
      <c r="W77">
        <f>IF($B$14="age",IF(Data!C287&lt;=$C$14,$F$14,$G$14),IF(Data!B287&lt;=$C$14,$F$14,$G$14))</f>
        <v>0</v>
      </c>
      <c r="X77">
        <f>IF($B$15="age",IF(Data!C287&lt;=$C$15,$F$15,$G$15),IF(Data!B287&lt;=$C$15,$F$15,$G$15))</f>
        <v>1</v>
      </c>
      <c r="Y77">
        <f>IF($B$16="age",IF(Data!C287&lt;=$C$16,$F$16,$G$16),IF(Data!B287&lt;=$C$16,$F$16,$G$16))</f>
        <v>1</v>
      </c>
      <c r="Z77">
        <f>IF($B$17="age",IF(Data!C287&lt;=$C$17,$F$17,$G$17),IF(Data!B287&lt;=$C$17,$F$17,$G$17))</f>
        <v>0</v>
      </c>
      <c r="AA77">
        <f>IF($B$18="age",IF(Data!C287&lt;=$C$18,$F$18,$G$18),IF(Data!B287&lt;=$C$18,$F$18,$G$18))</f>
        <v>1</v>
      </c>
      <c r="AB77">
        <f>IF($B$19="age",IF(Data!C287&lt;=$C$19,$F$19,$G$19),IF(Data!B287&lt;=$C$19,$F$19,$G$19))</f>
        <v>1</v>
      </c>
      <c r="AC77">
        <f>IF($B$20="age",IF(Data!C287&lt;=$C$20,$F$20,$G$20),IF(Data!B287&lt;=$C$20,$F$20,$G$20))</f>
        <v>1</v>
      </c>
      <c r="AD77">
        <f>IF($B$21="age",IF(Data!C287&lt;=$C$21,$F$21,$G$21),IF(Data!B287&lt;=$C$21,$F$21,$G$21))</f>
        <v>0</v>
      </c>
      <c r="AE77">
        <f>IF($B$22="age",IF(Data!C287&lt;=$C$22,$F$22,$G$22),IF(Data!B287&lt;=$C$22,$F$22,$G$22))</f>
        <v>0</v>
      </c>
      <c r="AF77">
        <f>IF($B$23="age",IF(Data!C287&lt;=$C$23,$F$23,$G$23),IF(Data!B287&lt;=$C$23,$F$23,$G$23))</f>
        <v>1</v>
      </c>
      <c r="AG77">
        <f>IF($B$24="age",IF(Data!C287&lt;=$C$24,$F$24,$G$24),IF(Data!B287&lt;=$C$24,$F$24,$G$24))</f>
        <v>0</v>
      </c>
      <c r="AH77">
        <f>IF($B$25="age",IF(Data!C287&lt;=$C$25,$F$25,$G$25),IF(Data!B287&lt;=$C$25,$F$25,$G$25))</f>
        <v>1</v>
      </c>
      <c r="AI77">
        <f>IF($B$26="age",IF(Data!C287&lt;=$C$26,$F$26,$G$26),IF(Data!B287&lt;=$C$26,$F$26,$G$26))</f>
        <v>1</v>
      </c>
      <c r="AJ77">
        <f t="shared" si="4"/>
        <v>0.64</v>
      </c>
      <c r="AK77">
        <f>IF(AJ77&gt;=Controls!$B$2,1,0)</f>
        <v>1</v>
      </c>
      <c r="AL77">
        <f t="shared" si="5"/>
        <v>0</v>
      </c>
    </row>
    <row r="78" spans="9:38" x14ac:dyDescent="0.2">
      <c r="I78">
        <f>Data!A288</f>
        <v>287</v>
      </c>
      <c r="J78">
        <f>Data!L288</f>
        <v>0</v>
      </c>
      <c r="K78">
        <f>IF($B$2="age",IF(Data!C288&lt;=$C$2,$F$2,$G$2),IF(Data!B288&lt;=$C$2,$F$2,$G$2))</f>
        <v>0</v>
      </c>
      <c r="L78">
        <f>IF($B$3="age",IF(Data!C288&lt;=$C$3,$F$3,$G$3),IF(Data!B288&lt;=$C$3,$F$3,$G$3))</f>
        <v>1</v>
      </c>
      <c r="M78">
        <f>IF($B$4="age",IF(Data!C288&lt;=$C$4,$F$4,$G$4),IF(Data!B288&lt;=$C$4,$F$4,$G$4))</f>
        <v>1</v>
      </c>
      <c r="N78">
        <f>IF($B$5="age",IF(Data!C288&lt;=$C$5,$F$5,$G$5),IF(Data!B288&lt;=$C$5,$F$5,$G$5))</f>
        <v>0</v>
      </c>
      <c r="O78">
        <f>IF($B$6="age",IF(Data!C288&lt;=$C$6,$F$6,$G$6),IF(Data!B288&lt;=$C$6,$F$6,$G$6))</f>
        <v>0</v>
      </c>
      <c r="P78">
        <f>IF($B$7="age",IF(Data!C288&lt;=$C$7,$F$7,$G$7),IF(Data!B288&lt;=$C$7,$F$7,$G$7))</f>
        <v>1</v>
      </c>
      <c r="Q78">
        <f>IF($B$8="age",IF(Data!C288&lt;=$C$8,$F$8,$G$8),IF(Data!B288&lt;=$C$8,$F$8,$G$8))</f>
        <v>1</v>
      </c>
      <c r="R78">
        <f>IF($B$9="age",IF(Data!C288&lt;=$C$9,$F$9,$G$9),IF(Data!B288&lt;=$C$9,$F$9,$G$9))</f>
        <v>0</v>
      </c>
      <c r="S78">
        <f>IF($B$10="age",IF(Data!C288&lt;=$C$10,$F$10,$G$10),IF(Data!B288&lt;=$C$10,$F$10,$G$10))</f>
        <v>0</v>
      </c>
      <c r="T78">
        <f>IF($B$11="age",IF(Data!C288&lt;=$C$11,$F$11,$G$11),IF(Data!B288&lt;=$C$11,$F$11,$G$11))</f>
        <v>0</v>
      </c>
      <c r="U78">
        <f>IF($B$12="age",IF(Data!C288&lt;=$C$12,$F$12,$G$12),IF(Data!B288&lt;=$C$12,$F$12,$G$12))</f>
        <v>1</v>
      </c>
      <c r="V78">
        <f>IF($B$13="age",IF(Data!C288&lt;=$C$13,$F$13,$G$13),IF(Data!B288&lt;=$C$13,$F$13,$G$13))</f>
        <v>0</v>
      </c>
      <c r="W78">
        <f>IF($B$14="age",IF(Data!C288&lt;=$C$14,$F$14,$G$14),IF(Data!B288&lt;=$C$14,$F$14,$G$14))</f>
        <v>0</v>
      </c>
      <c r="X78">
        <f>IF($B$15="age",IF(Data!C288&lt;=$C$15,$F$15,$G$15),IF(Data!B288&lt;=$C$15,$F$15,$G$15))</f>
        <v>1</v>
      </c>
      <c r="Y78">
        <f>IF($B$16="age",IF(Data!C288&lt;=$C$16,$F$16,$G$16),IF(Data!B288&lt;=$C$16,$F$16,$G$16))</f>
        <v>1</v>
      </c>
      <c r="Z78">
        <f>IF($B$17="age",IF(Data!C288&lt;=$C$17,$F$17,$G$17),IF(Data!B288&lt;=$C$17,$F$17,$G$17))</f>
        <v>0</v>
      </c>
      <c r="AA78">
        <f>IF($B$18="age",IF(Data!C288&lt;=$C$18,$F$18,$G$18),IF(Data!B288&lt;=$C$18,$F$18,$G$18))</f>
        <v>1</v>
      </c>
      <c r="AB78">
        <f>IF($B$19="age",IF(Data!C288&lt;=$C$19,$F$19,$G$19),IF(Data!B288&lt;=$C$19,$F$19,$G$19))</f>
        <v>0</v>
      </c>
      <c r="AC78">
        <f>IF($B$20="age",IF(Data!C288&lt;=$C$20,$F$20,$G$20),IF(Data!B288&lt;=$C$20,$F$20,$G$20))</f>
        <v>1</v>
      </c>
      <c r="AD78">
        <f>IF($B$21="age",IF(Data!C288&lt;=$C$21,$F$21,$G$21),IF(Data!B288&lt;=$C$21,$F$21,$G$21))</f>
        <v>0</v>
      </c>
      <c r="AE78">
        <f>IF($B$22="age",IF(Data!C288&lt;=$C$22,$F$22,$G$22),IF(Data!B288&lt;=$C$22,$F$22,$G$22))</f>
        <v>0</v>
      </c>
      <c r="AF78">
        <f>IF($B$23="age",IF(Data!C288&lt;=$C$23,$F$23,$G$23),IF(Data!B288&lt;=$C$23,$F$23,$G$23))</f>
        <v>0</v>
      </c>
      <c r="AG78">
        <f>IF($B$24="age",IF(Data!C288&lt;=$C$24,$F$24,$G$24),IF(Data!B288&lt;=$C$24,$F$24,$G$24))</f>
        <v>0</v>
      </c>
      <c r="AH78">
        <f>IF($B$25="age",IF(Data!C288&lt;=$C$25,$F$25,$G$25),IF(Data!B288&lt;=$C$25,$F$25,$G$25))</f>
        <v>1</v>
      </c>
      <c r="AI78">
        <f>IF($B$26="age",IF(Data!C288&lt;=$C$26,$F$26,$G$26),IF(Data!B288&lt;=$C$26,$F$26,$G$26))</f>
        <v>1</v>
      </c>
      <c r="AJ78">
        <f t="shared" si="4"/>
        <v>0.44</v>
      </c>
      <c r="AK78">
        <f>IF(AJ78&gt;=Controls!$B$2,1,0)</f>
        <v>0</v>
      </c>
      <c r="AL78">
        <f t="shared" si="5"/>
        <v>1</v>
      </c>
    </row>
    <row r="79" spans="9:38" x14ac:dyDescent="0.2">
      <c r="I79">
        <f>Data!A289</f>
        <v>288</v>
      </c>
      <c r="J79">
        <f>Data!L289</f>
        <v>1</v>
      </c>
      <c r="K79">
        <f>IF($B$2="age",IF(Data!C289&lt;=$C$2,$F$2,$G$2),IF(Data!B289&lt;=$C$2,$F$2,$G$2))</f>
        <v>0</v>
      </c>
      <c r="L79">
        <f>IF($B$3="age",IF(Data!C289&lt;=$C$3,$F$3,$G$3),IF(Data!B289&lt;=$C$3,$F$3,$G$3))</f>
        <v>1</v>
      </c>
      <c r="M79">
        <f>IF($B$4="age",IF(Data!C289&lt;=$C$4,$F$4,$G$4),IF(Data!B289&lt;=$C$4,$F$4,$G$4))</f>
        <v>1</v>
      </c>
      <c r="N79">
        <f>IF($B$5="age",IF(Data!C289&lt;=$C$5,$F$5,$G$5),IF(Data!B289&lt;=$C$5,$F$5,$G$5))</f>
        <v>1</v>
      </c>
      <c r="O79">
        <f>IF($B$6="age",IF(Data!C289&lt;=$C$6,$F$6,$G$6),IF(Data!B289&lt;=$C$6,$F$6,$G$6))</f>
        <v>0</v>
      </c>
      <c r="P79">
        <f>IF($B$7="age",IF(Data!C289&lt;=$C$7,$F$7,$G$7),IF(Data!B289&lt;=$C$7,$F$7,$G$7))</f>
        <v>1</v>
      </c>
      <c r="Q79">
        <f>IF($B$8="age",IF(Data!C289&lt;=$C$8,$F$8,$G$8),IF(Data!B289&lt;=$C$8,$F$8,$G$8))</f>
        <v>1</v>
      </c>
      <c r="R79">
        <f>IF($B$9="age",IF(Data!C289&lt;=$C$9,$F$9,$G$9),IF(Data!B289&lt;=$C$9,$F$9,$G$9))</f>
        <v>1</v>
      </c>
      <c r="S79">
        <f>IF($B$10="age",IF(Data!C289&lt;=$C$10,$F$10,$G$10),IF(Data!B289&lt;=$C$10,$F$10,$G$10))</f>
        <v>0</v>
      </c>
      <c r="T79">
        <f>IF($B$11="age",IF(Data!C289&lt;=$C$11,$F$11,$G$11),IF(Data!B289&lt;=$C$11,$F$11,$G$11))</f>
        <v>0</v>
      </c>
      <c r="U79">
        <f>IF($B$12="age",IF(Data!C289&lt;=$C$12,$F$12,$G$12),IF(Data!B289&lt;=$C$12,$F$12,$G$12))</f>
        <v>1</v>
      </c>
      <c r="V79">
        <f>IF($B$13="age",IF(Data!C289&lt;=$C$13,$F$13,$G$13),IF(Data!B289&lt;=$C$13,$F$13,$G$13))</f>
        <v>1</v>
      </c>
      <c r="W79">
        <f>IF($B$14="age",IF(Data!C289&lt;=$C$14,$F$14,$G$14),IF(Data!B289&lt;=$C$14,$F$14,$G$14))</f>
        <v>0</v>
      </c>
      <c r="X79">
        <f>IF($B$15="age",IF(Data!C289&lt;=$C$15,$F$15,$G$15),IF(Data!B289&lt;=$C$15,$F$15,$G$15))</f>
        <v>1</v>
      </c>
      <c r="Y79">
        <f>IF($B$16="age",IF(Data!C289&lt;=$C$16,$F$16,$G$16),IF(Data!B289&lt;=$C$16,$F$16,$G$16))</f>
        <v>1</v>
      </c>
      <c r="Z79">
        <f>IF($B$17="age",IF(Data!C289&lt;=$C$17,$F$17,$G$17),IF(Data!B289&lt;=$C$17,$F$17,$G$17))</f>
        <v>0</v>
      </c>
      <c r="AA79">
        <f>IF($B$18="age",IF(Data!C289&lt;=$C$18,$F$18,$G$18),IF(Data!B289&lt;=$C$18,$F$18,$G$18))</f>
        <v>1</v>
      </c>
      <c r="AB79">
        <f>IF($B$19="age",IF(Data!C289&lt;=$C$19,$F$19,$G$19),IF(Data!B289&lt;=$C$19,$F$19,$G$19))</f>
        <v>1</v>
      </c>
      <c r="AC79">
        <f>IF($B$20="age",IF(Data!C289&lt;=$C$20,$F$20,$G$20),IF(Data!B289&lt;=$C$20,$F$20,$G$20))</f>
        <v>1</v>
      </c>
      <c r="AD79">
        <f>IF($B$21="age",IF(Data!C289&lt;=$C$21,$F$21,$G$21),IF(Data!B289&lt;=$C$21,$F$21,$G$21))</f>
        <v>0</v>
      </c>
      <c r="AE79">
        <f>IF($B$22="age",IF(Data!C289&lt;=$C$22,$F$22,$G$22),IF(Data!B289&lt;=$C$22,$F$22,$G$22))</f>
        <v>0</v>
      </c>
      <c r="AF79">
        <f>IF($B$23="age",IF(Data!C289&lt;=$C$23,$F$23,$G$23),IF(Data!B289&lt;=$C$23,$F$23,$G$23))</f>
        <v>1</v>
      </c>
      <c r="AG79">
        <f>IF($B$24="age",IF(Data!C289&lt;=$C$24,$F$24,$G$24),IF(Data!B289&lt;=$C$24,$F$24,$G$24))</f>
        <v>0</v>
      </c>
      <c r="AH79">
        <f>IF($B$25="age",IF(Data!C289&lt;=$C$25,$F$25,$G$25),IF(Data!B289&lt;=$C$25,$F$25,$G$25))</f>
        <v>1</v>
      </c>
      <c r="AI79">
        <f>IF($B$26="age",IF(Data!C289&lt;=$C$26,$F$26,$G$26),IF(Data!B289&lt;=$C$26,$F$26,$G$26))</f>
        <v>1</v>
      </c>
      <c r="AJ79">
        <f t="shared" si="4"/>
        <v>0.64</v>
      </c>
      <c r="AK79">
        <f>IF(AJ79&gt;=Controls!$B$2,1,0)</f>
        <v>1</v>
      </c>
      <c r="AL79">
        <f t="shared" si="5"/>
        <v>1</v>
      </c>
    </row>
    <row r="80" spans="9:38" x14ac:dyDescent="0.2">
      <c r="I80">
        <f>Data!A290</f>
        <v>289</v>
      </c>
      <c r="J80">
        <f>Data!L290</f>
        <v>0</v>
      </c>
      <c r="K80">
        <f>IF($B$2="age",IF(Data!C290&lt;=$C$2,$F$2,$G$2),IF(Data!B290&lt;=$C$2,$F$2,$G$2))</f>
        <v>0</v>
      </c>
      <c r="L80">
        <f>IF($B$3="age",IF(Data!C290&lt;=$C$3,$F$3,$G$3),IF(Data!B290&lt;=$C$3,$F$3,$G$3))</f>
        <v>1</v>
      </c>
      <c r="M80">
        <f>IF($B$4="age",IF(Data!C290&lt;=$C$4,$F$4,$G$4),IF(Data!B290&lt;=$C$4,$F$4,$G$4))</f>
        <v>1</v>
      </c>
      <c r="N80">
        <f>IF($B$5="age",IF(Data!C290&lt;=$C$5,$F$5,$G$5),IF(Data!B290&lt;=$C$5,$F$5,$G$5))</f>
        <v>1</v>
      </c>
      <c r="O80">
        <f>IF($B$6="age",IF(Data!C290&lt;=$C$6,$F$6,$G$6),IF(Data!B290&lt;=$C$6,$F$6,$G$6))</f>
        <v>1</v>
      </c>
      <c r="P80">
        <f>IF($B$7="age",IF(Data!C290&lt;=$C$7,$F$7,$G$7),IF(Data!B290&lt;=$C$7,$F$7,$G$7))</f>
        <v>1</v>
      </c>
      <c r="Q80">
        <f>IF($B$8="age",IF(Data!C290&lt;=$C$8,$F$8,$G$8),IF(Data!B290&lt;=$C$8,$F$8,$G$8))</f>
        <v>1</v>
      </c>
      <c r="R80">
        <f>IF($B$9="age",IF(Data!C290&lt;=$C$9,$F$9,$G$9),IF(Data!B290&lt;=$C$9,$F$9,$G$9))</f>
        <v>1</v>
      </c>
      <c r="S80">
        <f>IF($B$10="age",IF(Data!C290&lt;=$C$10,$F$10,$G$10),IF(Data!B290&lt;=$C$10,$F$10,$G$10))</f>
        <v>0</v>
      </c>
      <c r="T80">
        <f>IF($B$11="age",IF(Data!C290&lt;=$C$11,$F$11,$G$11),IF(Data!B290&lt;=$C$11,$F$11,$G$11))</f>
        <v>0</v>
      </c>
      <c r="U80">
        <f>IF($B$12="age",IF(Data!C290&lt;=$C$12,$F$12,$G$12),IF(Data!B290&lt;=$C$12,$F$12,$G$12))</f>
        <v>1</v>
      </c>
      <c r="V80">
        <f>IF($B$13="age",IF(Data!C290&lt;=$C$13,$F$13,$G$13),IF(Data!B290&lt;=$C$13,$F$13,$G$13))</f>
        <v>1</v>
      </c>
      <c r="W80">
        <f>IF($B$14="age",IF(Data!C290&lt;=$C$14,$F$14,$G$14),IF(Data!B290&lt;=$C$14,$F$14,$G$14))</f>
        <v>1</v>
      </c>
      <c r="X80">
        <f>IF($B$15="age",IF(Data!C290&lt;=$C$15,$F$15,$G$15),IF(Data!B290&lt;=$C$15,$F$15,$G$15))</f>
        <v>1</v>
      </c>
      <c r="Y80">
        <f>IF($B$16="age",IF(Data!C290&lt;=$C$16,$F$16,$G$16),IF(Data!B290&lt;=$C$16,$F$16,$G$16))</f>
        <v>1</v>
      </c>
      <c r="Z80">
        <f>IF($B$17="age",IF(Data!C290&lt;=$C$17,$F$17,$G$17),IF(Data!B290&lt;=$C$17,$F$17,$G$17))</f>
        <v>0</v>
      </c>
      <c r="AA80">
        <f>IF($B$18="age",IF(Data!C290&lt;=$C$18,$F$18,$G$18),IF(Data!B290&lt;=$C$18,$F$18,$G$18))</f>
        <v>1</v>
      </c>
      <c r="AB80">
        <f>IF($B$19="age",IF(Data!C290&lt;=$C$19,$F$19,$G$19),IF(Data!B290&lt;=$C$19,$F$19,$G$19))</f>
        <v>1</v>
      </c>
      <c r="AC80">
        <f>IF($B$20="age",IF(Data!C290&lt;=$C$20,$F$20,$G$20),IF(Data!B290&lt;=$C$20,$F$20,$G$20))</f>
        <v>1</v>
      </c>
      <c r="AD80">
        <f>IF($B$21="age",IF(Data!C290&lt;=$C$21,$F$21,$G$21),IF(Data!B290&lt;=$C$21,$F$21,$G$21))</f>
        <v>0</v>
      </c>
      <c r="AE80">
        <f>IF($B$22="age",IF(Data!C290&lt;=$C$22,$F$22,$G$22),IF(Data!B290&lt;=$C$22,$F$22,$G$22))</f>
        <v>1</v>
      </c>
      <c r="AF80">
        <f>IF($B$23="age",IF(Data!C290&lt;=$C$23,$F$23,$G$23),IF(Data!B290&lt;=$C$23,$F$23,$G$23))</f>
        <v>1</v>
      </c>
      <c r="AG80">
        <f>IF($B$24="age",IF(Data!C290&lt;=$C$24,$F$24,$G$24),IF(Data!B290&lt;=$C$24,$F$24,$G$24))</f>
        <v>1</v>
      </c>
      <c r="AH80">
        <f>IF($B$25="age",IF(Data!C290&lt;=$C$25,$F$25,$G$25),IF(Data!B290&lt;=$C$25,$F$25,$G$25))</f>
        <v>1</v>
      </c>
      <c r="AI80">
        <f>IF($B$26="age",IF(Data!C290&lt;=$C$26,$F$26,$G$26),IF(Data!B290&lt;=$C$26,$F$26,$G$26))</f>
        <v>1</v>
      </c>
      <c r="AJ80">
        <f t="shared" si="4"/>
        <v>0.8</v>
      </c>
      <c r="AK80">
        <f>IF(AJ80&gt;=Controls!$B$2,1,0)</f>
        <v>1</v>
      </c>
      <c r="AL80">
        <f t="shared" si="5"/>
        <v>0</v>
      </c>
    </row>
    <row r="81" spans="9:38" x14ac:dyDescent="0.2">
      <c r="I81">
        <f>Data!A291</f>
        <v>290</v>
      </c>
      <c r="J81">
        <f>Data!L291</f>
        <v>1</v>
      </c>
      <c r="K81">
        <f>IF($B$2="age",IF(Data!C291&lt;=$C$2,$F$2,$G$2),IF(Data!B291&lt;=$C$2,$F$2,$G$2))</f>
        <v>1</v>
      </c>
      <c r="L81">
        <f>IF($B$3="age",IF(Data!C291&lt;=$C$3,$F$3,$G$3),IF(Data!B291&lt;=$C$3,$F$3,$G$3))</f>
        <v>1</v>
      </c>
      <c r="M81">
        <f>IF($B$4="age",IF(Data!C291&lt;=$C$4,$F$4,$G$4),IF(Data!B291&lt;=$C$4,$F$4,$G$4))</f>
        <v>1</v>
      </c>
      <c r="N81">
        <f>IF($B$5="age",IF(Data!C291&lt;=$C$5,$F$5,$G$5),IF(Data!B291&lt;=$C$5,$F$5,$G$5))</f>
        <v>1</v>
      </c>
      <c r="O81">
        <f>IF($B$6="age",IF(Data!C291&lt;=$C$6,$F$6,$G$6),IF(Data!B291&lt;=$C$6,$F$6,$G$6))</f>
        <v>1</v>
      </c>
      <c r="P81">
        <f>IF($B$7="age",IF(Data!C291&lt;=$C$7,$F$7,$G$7),IF(Data!B291&lt;=$C$7,$F$7,$G$7))</f>
        <v>1</v>
      </c>
      <c r="Q81">
        <f>IF($B$8="age",IF(Data!C291&lt;=$C$8,$F$8,$G$8),IF(Data!B291&lt;=$C$8,$F$8,$G$8))</f>
        <v>1</v>
      </c>
      <c r="R81">
        <f>IF($B$9="age",IF(Data!C291&lt;=$C$9,$F$9,$G$9),IF(Data!B291&lt;=$C$9,$F$9,$G$9))</f>
        <v>1</v>
      </c>
      <c r="S81">
        <f>IF($B$10="age",IF(Data!C291&lt;=$C$10,$F$10,$G$10),IF(Data!B291&lt;=$C$10,$F$10,$G$10))</f>
        <v>1</v>
      </c>
      <c r="T81">
        <f>IF($B$11="age",IF(Data!C291&lt;=$C$11,$F$11,$G$11),IF(Data!B291&lt;=$C$11,$F$11,$G$11))</f>
        <v>1</v>
      </c>
      <c r="U81">
        <f>IF($B$12="age",IF(Data!C291&lt;=$C$12,$F$12,$G$12),IF(Data!B291&lt;=$C$12,$F$12,$G$12))</f>
        <v>1</v>
      </c>
      <c r="V81">
        <f>IF($B$13="age",IF(Data!C291&lt;=$C$13,$F$13,$G$13),IF(Data!B291&lt;=$C$13,$F$13,$G$13))</f>
        <v>1</v>
      </c>
      <c r="W81">
        <f>IF($B$14="age",IF(Data!C291&lt;=$C$14,$F$14,$G$14),IF(Data!B291&lt;=$C$14,$F$14,$G$14))</f>
        <v>1</v>
      </c>
      <c r="X81">
        <f>IF($B$15="age",IF(Data!C291&lt;=$C$15,$F$15,$G$15),IF(Data!B291&lt;=$C$15,$F$15,$G$15))</f>
        <v>1</v>
      </c>
      <c r="Y81">
        <f>IF($B$16="age",IF(Data!C291&lt;=$C$16,$F$16,$G$16),IF(Data!B291&lt;=$C$16,$F$16,$G$16))</f>
        <v>1</v>
      </c>
      <c r="Z81">
        <f>IF($B$17="age",IF(Data!C291&lt;=$C$17,$F$17,$G$17),IF(Data!B291&lt;=$C$17,$F$17,$G$17))</f>
        <v>0</v>
      </c>
      <c r="AA81">
        <f>IF($B$18="age",IF(Data!C291&lt;=$C$18,$F$18,$G$18),IF(Data!B291&lt;=$C$18,$F$18,$G$18))</f>
        <v>1</v>
      </c>
      <c r="AB81">
        <f>IF($B$19="age",IF(Data!C291&lt;=$C$19,$F$19,$G$19),IF(Data!B291&lt;=$C$19,$F$19,$G$19))</f>
        <v>1</v>
      </c>
      <c r="AC81">
        <f>IF($B$20="age",IF(Data!C291&lt;=$C$20,$F$20,$G$20),IF(Data!B291&lt;=$C$20,$F$20,$G$20))</f>
        <v>1</v>
      </c>
      <c r="AD81">
        <f>IF($B$21="age",IF(Data!C291&lt;=$C$21,$F$21,$G$21),IF(Data!B291&lt;=$C$21,$F$21,$G$21))</f>
        <v>0</v>
      </c>
      <c r="AE81">
        <f>IF($B$22="age",IF(Data!C291&lt;=$C$22,$F$22,$G$22),IF(Data!B291&lt;=$C$22,$F$22,$G$22))</f>
        <v>1</v>
      </c>
      <c r="AF81">
        <f>IF($B$23="age",IF(Data!C291&lt;=$C$23,$F$23,$G$23),IF(Data!B291&lt;=$C$23,$F$23,$G$23))</f>
        <v>1</v>
      </c>
      <c r="AG81">
        <f>IF($B$24="age",IF(Data!C291&lt;=$C$24,$F$24,$G$24),IF(Data!B291&lt;=$C$24,$F$24,$G$24))</f>
        <v>1</v>
      </c>
      <c r="AH81">
        <f>IF($B$25="age",IF(Data!C291&lt;=$C$25,$F$25,$G$25),IF(Data!B291&lt;=$C$25,$F$25,$G$25))</f>
        <v>1</v>
      </c>
      <c r="AI81">
        <f>IF($B$26="age",IF(Data!C291&lt;=$C$26,$F$26,$G$26),IF(Data!B291&lt;=$C$26,$F$26,$G$26))</f>
        <v>1</v>
      </c>
      <c r="AJ81">
        <f t="shared" si="4"/>
        <v>0.92</v>
      </c>
      <c r="AK81">
        <f>IF(AJ81&gt;=Controls!$B$2,1,0)</f>
        <v>1</v>
      </c>
      <c r="AL81">
        <f t="shared" si="5"/>
        <v>1</v>
      </c>
    </row>
    <row r="82" spans="9:38" x14ac:dyDescent="0.2">
      <c r="I82">
        <f>Data!A292</f>
        <v>291</v>
      </c>
      <c r="J82">
        <f>Data!L292</f>
        <v>1</v>
      </c>
      <c r="K82">
        <f>IF($B$2="age",IF(Data!C292&lt;=$C$2,$F$2,$G$2),IF(Data!B292&lt;=$C$2,$F$2,$G$2))</f>
        <v>1</v>
      </c>
      <c r="L82">
        <f>IF($B$3="age",IF(Data!C292&lt;=$C$3,$F$3,$G$3),IF(Data!B292&lt;=$C$3,$F$3,$G$3))</f>
        <v>1</v>
      </c>
      <c r="M82">
        <f>IF($B$4="age",IF(Data!C292&lt;=$C$4,$F$4,$G$4),IF(Data!B292&lt;=$C$4,$F$4,$G$4))</f>
        <v>1</v>
      </c>
      <c r="N82">
        <f>IF($B$5="age",IF(Data!C292&lt;=$C$5,$F$5,$G$5),IF(Data!B292&lt;=$C$5,$F$5,$G$5))</f>
        <v>0</v>
      </c>
      <c r="O82">
        <f>IF($B$6="age",IF(Data!C292&lt;=$C$6,$F$6,$G$6),IF(Data!B292&lt;=$C$6,$F$6,$G$6))</f>
        <v>1</v>
      </c>
      <c r="P82">
        <f>IF($B$7="age",IF(Data!C292&lt;=$C$7,$F$7,$G$7),IF(Data!B292&lt;=$C$7,$F$7,$G$7))</f>
        <v>1</v>
      </c>
      <c r="Q82">
        <f>IF($B$8="age",IF(Data!C292&lt;=$C$8,$F$8,$G$8),IF(Data!B292&lt;=$C$8,$F$8,$G$8))</f>
        <v>1</v>
      </c>
      <c r="R82">
        <f>IF($B$9="age",IF(Data!C292&lt;=$C$9,$F$9,$G$9),IF(Data!B292&lt;=$C$9,$F$9,$G$9))</f>
        <v>0</v>
      </c>
      <c r="S82">
        <f>IF($B$10="age",IF(Data!C292&lt;=$C$10,$F$10,$G$10),IF(Data!B292&lt;=$C$10,$F$10,$G$10))</f>
        <v>1</v>
      </c>
      <c r="T82">
        <f>IF($B$11="age",IF(Data!C292&lt;=$C$11,$F$11,$G$11),IF(Data!B292&lt;=$C$11,$F$11,$G$11))</f>
        <v>0</v>
      </c>
      <c r="U82">
        <f>IF($B$12="age",IF(Data!C292&lt;=$C$12,$F$12,$G$12),IF(Data!B292&lt;=$C$12,$F$12,$G$12))</f>
        <v>1</v>
      </c>
      <c r="V82">
        <f>IF($B$13="age",IF(Data!C292&lt;=$C$13,$F$13,$G$13),IF(Data!B292&lt;=$C$13,$F$13,$G$13))</f>
        <v>0</v>
      </c>
      <c r="W82">
        <f>IF($B$14="age",IF(Data!C292&lt;=$C$14,$F$14,$G$14),IF(Data!B292&lt;=$C$14,$F$14,$G$14))</f>
        <v>1</v>
      </c>
      <c r="X82">
        <f>IF($B$15="age",IF(Data!C292&lt;=$C$15,$F$15,$G$15),IF(Data!B292&lt;=$C$15,$F$15,$G$15))</f>
        <v>1</v>
      </c>
      <c r="Y82">
        <f>IF($B$16="age",IF(Data!C292&lt;=$C$16,$F$16,$G$16),IF(Data!B292&lt;=$C$16,$F$16,$G$16))</f>
        <v>1</v>
      </c>
      <c r="Z82">
        <f>IF($B$17="age",IF(Data!C292&lt;=$C$17,$F$17,$G$17),IF(Data!B292&lt;=$C$17,$F$17,$G$17))</f>
        <v>0</v>
      </c>
      <c r="AA82">
        <f>IF($B$18="age",IF(Data!C292&lt;=$C$18,$F$18,$G$18),IF(Data!B292&lt;=$C$18,$F$18,$G$18))</f>
        <v>1</v>
      </c>
      <c r="AB82">
        <f>IF($B$19="age",IF(Data!C292&lt;=$C$19,$F$19,$G$19),IF(Data!B292&lt;=$C$19,$F$19,$G$19))</f>
        <v>0</v>
      </c>
      <c r="AC82">
        <f>IF($B$20="age",IF(Data!C292&lt;=$C$20,$F$20,$G$20),IF(Data!B292&lt;=$C$20,$F$20,$G$20))</f>
        <v>1</v>
      </c>
      <c r="AD82">
        <f>IF($B$21="age",IF(Data!C292&lt;=$C$21,$F$21,$G$21),IF(Data!B292&lt;=$C$21,$F$21,$G$21))</f>
        <v>0</v>
      </c>
      <c r="AE82">
        <f>IF($B$22="age",IF(Data!C292&lt;=$C$22,$F$22,$G$22),IF(Data!B292&lt;=$C$22,$F$22,$G$22))</f>
        <v>1</v>
      </c>
      <c r="AF82">
        <f>IF($B$23="age",IF(Data!C292&lt;=$C$23,$F$23,$G$23),IF(Data!B292&lt;=$C$23,$F$23,$G$23))</f>
        <v>0</v>
      </c>
      <c r="AG82">
        <f>IF($B$24="age",IF(Data!C292&lt;=$C$24,$F$24,$G$24),IF(Data!B292&lt;=$C$24,$F$24,$G$24))</f>
        <v>1</v>
      </c>
      <c r="AH82">
        <f>IF($B$25="age",IF(Data!C292&lt;=$C$25,$F$25,$G$25),IF(Data!B292&lt;=$C$25,$F$25,$G$25))</f>
        <v>1</v>
      </c>
      <c r="AI82">
        <f>IF($B$26="age",IF(Data!C292&lt;=$C$26,$F$26,$G$26),IF(Data!B292&lt;=$C$26,$F$26,$G$26))</f>
        <v>1</v>
      </c>
      <c r="AJ82">
        <f t="shared" si="4"/>
        <v>0.68</v>
      </c>
      <c r="AK82">
        <f>IF(AJ82&gt;=Controls!$B$2,1,0)</f>
        <v>1</v>
      </c>
      <c r="AL82">
        <f t="shared" si="5"/>
        <v>1</v>
      </c>
    </row>
    <row r="83" spans="9:38" x14ac:dyDescent="0.2">
      <c r="I83">
        <f>Data!A293</f>
        <v>292</v>
      </c>
      <c r="J83">
        <f>Data!L293</f>
        <v>1</v>
      </c>
      <c r="K83">
        <f>IF($B$2="age",IF(Data!C293&lt;=$C$2,$F$2,$G$2),IF(Data!B293&lt;=$C$2,$F$2,$G$2))</f>
        <v>0</v>
      </c>
      <c r="L83">
        <f>IF($B$3="age",IF(Data!C293&lt;=$C$3,$F$3,$G$3),IF(Data!B293&lt;=$C$3,$F$3,$G$3))</f>
        <v>1</v>
      </c>
      <c r="M83">
        <f>IF($B$4="age",IF(Data!C293&lt;=$C$4,$F$4,$G$4),IF(Data!B293&lt;=$C$4,$F$4,$G$4))</f>
        <v>1</v>
      </c>
      <c r="N83">
        <f>IF($B$5="age",IF(Data!C293&lt;=$C$5,$F$5,$G$5),IF(Data!B293&lt;=$C$5,$F$5,$G$5))</f>
        <v>1</v>
      </c>
      <c r="O83">
        <f>IF($B$6="age",IF(Data!C293&lt;=$C$6,$F$6,$G$6),IF(Data!B293&lt;=$C$6,$F$6,$G$6))</f>
        <v>0</v>
      </c>
      <c r="P83">
        <f>IF($B$7="age",IF(Data!C293&lt;=$C$7,$F$7,$G$7),IF(Data!B293&lt;=$C$7,$F$7,$G$7))</f>
        <v>1</v>
      </c>
      <c r="Q83">
        <f>IF($B$8="age",IF(Data!C293&lt;=$C$8,$F$8,$G$8),IF(Data!B293&lt;=$C$8,$F$8,$G$8))</f>
        <v>1</v>
      </c>
      <c r="R83">
        <f>IF($B$9="age",IF(Data!C293&lt;=$C$9,$F$9,$G$9),IF(Data!B293&lt;=$C$9,$F$9,$G$9))</f>
        <v>1</v>
      </c>
      <c r="S83">
        <f>IF($B$10="age",IF(Data!C293&lt;=$C$10,$F$10,$G$10),IF(Data!B293&lt;=$C$10,$F$10,$G$10))</f>
        <v>0</v>
      </c>
      <c r="T83">
        <f>IF($B$11="age",IF(Data!C293&lt;=$C$11,$F$11,$G$11),IF(Data!B293&lt;=$C$11,$F$11,$G$11))</f>
        <v>0</v>
      </c>
      <c r="U83">
        <f>IF($B$12="age",IF(Data!C293&lt;=$C$12,$F$12,$G$12),IF(Data!B293&lt;=$C$12,$F$12,$G$12))</f>
        <v>1</v>
      </c>
      <c r="V83">
        <f>IF($B$13="age",IF(Data!C293&lt;=$C$13,$F$13,$G$13),IF(Data!B293&lt;=$C$13,$F$13,$G$13))</f>
        <v>1</v>
      </c>
      <c r="W83">
        <f>IF($B$14="age",IF(Data!C293&lt;=$C$14,$F$14,$G$14),IF(Data!B293&lt;=$C$14,$F$14,$G$14))</f>
        <v>0</v>
      </c>
      <c r="X83">
        <f>IF($B$15="age",IF(Data!C293&lt;=$C$15,$F$15,$G$15),IF(Data!B293&lt;=$C$15,$F$15,$G$15))</f>
        <v>1</v>
      </c>
      <c r="Y83">
        <f>IF($B$16="age",IF(Data!C293&lt;=$C$16,$F$16,$G$16),IF(Data!B293&lt;=$C$16,$F$16,$G$16))</f>
        <v>1</v>
      </c>
      <c r="Z83">
        <f>IF($B$17="age",IF(Data!C293&lt;=$C$17,$F$17,$G$17),IF(Data!B293&lt;=$C$17,$F$17,$G$17))</f>
        <v>0</v>
      </c>
      <c r="AA83">
        <f>IF($B$18="age",IF(Data!C293&lt;=$C$18,$F$18,$G$18),IF(Data!B293&lt;=$C$18,$F$18,$G$18))</f>
        <v>1</v>
      </c>
      <c r="AB83">
        <f>IF($B$19="age",IF(Data!C293&lt;=$C$19,$F$19,$G$19),IF(Data!B293&lt;=$C$19,$F$19,$G$19))</f>
        <v>1</v>
      </c>
      <c r="AC83">
        <f>IF($B$20="age",IF(Data!C293&lt;=$C$20,$F$20,$G$20),IF(Data!B293&lt;=$C$20,$F$20,$G$20))</f>
        <v>1</v>
      </c>
      <c r="AD83">
        <f>IF($B$21="age",IF(Data!C293&lt;=$C$21,$F$21,$G$21),IF(Data!B293&lt;=$C$21,$F$21,$G$21))</f>
        <v>0</v>
      </c>
      <c r="AE83">
        <f>IF($B$22="age",IF(Data!C293&lt;=$C$22,$F$22,$G$22),IF(Data!B293&lt;=$C$22,$F$22,$G$22))</f>
        <v>0</v>
      </c>
      <c r="AF83">
        <f>IF($B$23="age",IF(Data!C293&lt;=$C$23,$F$23,$G$23),IF(Data!B293&lt;=$C$23,$F$23,$G$23))</f>
        <v>1</v>
      </c>
      <c r="AG83">
        <f>IF($B$24="age",IF(Data!C293&lt;=$C$24,$F$24,$G$24),IF(Data!B293&lt;=$C$24,$F$24,$G$24))</f>
        <v>1</v>
      </c>
      <c r="AH83">
        <f>IF($B$25="age",IF(Data!C293&lt;=$C$25,$F$25,$G$25),IF(Data!B293&lt;=$C$25,$F$25,$G$25))</f>
        <v>1</v>
      </c>
      <c r="AI83">
        <f>IF($B$26="age",IF(Data!C293&lt;=$C$26,$F$26,$G$26),IF(Data!B293&lt;=$C$26,$F$26,$G$26))</f>
        <v>1</v>
      </c>
      <c r="AJ83">
        <f t="shared" si="4"/>
        <v>0.68</v>
      </c>
      <c r="AK83">
        <f>IF(AJ83&gt;=Controls!$B$2,1,0)</f>
        <v>1</v>
      </c>
      <c r="AL83">
        <f t="shared" si="5"/>
        <v>1</v>
      </c>
    </row>
    <row r="84" spans="9:38" x14ac:dyDescent="0.2">
      <c r="I84">
        <f>Data!A294</f>
        <v>293</v>
      </c>
      <c r="J84">
        <f>Data!L294</f>
        <v>1</v>
      </c>
      <c r="K84">
        <f>IF($B$2="age",IF(Data!C294&lt;=$C$2,$F$2,$G$2),IF(Data!B294&lt;=$C$2,$F$2,$G$2))</f>
        <v>1</v>
      </c>
      <c r="L84">
        <f>IF($B$3="age",IF(Data!C294&lt;=$C$3,$F$3,$G$3),IF(Data!B294&lt;=$C$3,$F$3,$G$3))</f>
        <v>1</v>
      </c>
      <c r="M84">
        <f>IF($B$4="age",IF(Data!C294&lt;=$C$4,$F$4,$G$4),IF(Data!B294&lt;=$C$4,$F$4,$G$4))</f>
        <v>1</v>
      </c>
      <c r="N84">
        <f>IF($B$5="age",IF(Data!C294&lt;=$C$5,$F$5,$G$5),IF(Data!B294&lt;=$C$5,$F$5,$G$5))</f>
        <v>1</v>
      </c>
      <c r="O84">
        <f>IF($B$6="age",IF(Data!C294&lt;=$C$6,$F$6,$G$6),IF(Data!B294&lt;=$C$6,$F$6,$G$6))</f>
        <v>1</v>
      </c>
      <c r="P84">
        <f>IF($B$7="age",IF(Data!C294&lt;=$C$7,$F$7,$G$7),IF(Data!B294&lt;=$C$7,$F$7,$G$7))</f>
        <v>1</v>
      </c>
      <c r="Q84">
        <f>IF($B$8="age",IF(Data!C294&lt;=$C$8,$F$8,$G$8),IF(Data!B294&lt;=$C$8,$F$8,$G$8))</f>
        <v>1</v>
      </c>
      <c r="R84">
        <f>IF($B$9="age",IF(Data!C294&lt;=$C$9,$F$9,$G$9),IF(Data!B294&lt;=$C$9,$F$9,$G$9))</f>
        <v>1</v>
      </c>
      <c r="S84">
        <f>IF($B$10="age",IF(Data!C294&lt;=$C$10,$F$10,$G$10),IF(Data!B294&lt;=$C$10,$F$10,$G$10))</f>
        <v>1</v>
      </c>
      <c r="T84">
        <f>IF($B$11="age",IF(Data!C294&lt;=$C$11,$F$11,$G$11),IF(Data!B294&lt;=$C$11,$F$11,$G$11))</f>
        <v>1</v>
      </c>
      <c r="U84">
        <f>IF($B$12="age",IF(Data!C294&lt;=$C$12,$F$12,$G$12),IF(Data!B294&lt;=$C$12,$F$12,$G$12))</f>
        <v>1</v>
      </c>
      <c r="V84">
        <f>IF($B$13="age",IF(Data!C294&lt;=$C$13,$F$13,$G$13),IF(Data!B294&lt;=$C$13,$F$13,$G$13))</f>
        <v>1</v>
      </c>
      <c r="W84">
        <f>IF($B$14="age",IF(Data!C294&lt;=$C$14,$F$14,$G$14),IF(Data!B294&lt;=$C$14,$F$14,$G$14))</f>
        <v>1</v>
      </c>
      <c r="X84">
        <f>IF($B$15="age",IF(Data!C294&lt;=$C$15,$F$15,$G$15),IF(Data!B294&lt;=$C$15,$F$15,$G$15))</f>
        <v>1</v>
      </c>
      <c r="Y84">
        <f>IF($B$16="age",IF(Data!C294&lt;=$C$16,$F$16,$G$16),IF(Data!B294&lt;=$C$16,$F$16,$G$16))</f>
        <v>1</v>
      </c>
      <c r="Z84">
        <f>IF($B$17="age",IF(Data!C294&lt;=$C$17,$F$17,$G$17),IF(Data!B294&lt;=$C$17,$F$17,$G$17))</f>
        <v>1</v>
      </c>
      <c r="AA84">
        <f>IF($B$18="age",IF(Data!C294&lt;=$C$18,$F$18,$G$18),IF(Data!B294&lt;=$C$18,$F$18,$G$18))</f>
        <v>1</v>
      </c>
      <c r="AB84">
        <f>IF($B$19="age",IF(Data!C294&lt;=$C$19,$F$19,$G$19),IF(Data!B294&lt;=$C$19,$F$19,$G$19))</f>
        <v>1</v>
      </c>
      <c r="AC84">
        <f>IF($B$20="age",IF(Data!C294&lt;=$C$20,$F$20,$G$20),IF(Data!B294&lt;=$C$20,$F$20,$G$20))</f>
        <v>1</v>
      </c>
      <c r="AD84">
        <f>IF($B$21="age",IF(Data!C294&lt;=$C$21,$F$21,$G$21),IF(Data!B294&lt;=$C$21,$F$21,$G$21))</f>
        <v>1</v>
      </c>
      <c r="AE84">
        <f>IF($B$22="age",IF(Data!C294&lt;=$C$22,$F$22,$G$22),IF(Data!B294&lt;=$C$22,$F$22,$G$22))</f>
        <v>1</v>
      </c>
      <c r="AF84">
        <f>IF($B$23="age",IF(Data!C294&lt;=$C$23,$F$23,$G$23),IF(Data!B294&lt;=$C$23,$F$23,$G$23))</f>
        <v>1</v>
      </c>
      <c r="AG84">
        <f>IF($B$24="age",IF(Data!C294&lt;=$C$24,$F$24,$G$24),IF(Data!B294&lt;=$C$24,$F$24,$G$24))</f>
        <v>1</v>
      </c>
      <c r="AH84">
        <f>IF($B$25="age",IF(Data!C294&lt;=$C$25,$F$25,$G$25),IF(Data!B294&lt;=$C$25,$F$25,$G$25))</f>
        <v>1</v>
      </c>
      <c r="AI84">
        <f>IF($B$26="age",IF(Data!C294&lt;=$C$26,$F$26,$G$26),IF(Data!B294&lt;=$C$26,$F$26,$G$26))</f>
        <v>1</v>
      </c>
      <c r="AJ84">
        <f t="shared" si="4"/>
        <v>1</v>
      </c>
      <c r="AK84">
        <f>IF(AJ84&gt;=Controls!$B$2,1,0)</f>
        <v>1</v>
      </c>
      <c r="AL84">
        <f t="shared" si="5"/>
        <v>1</v>
      </c>
    </row>
    <row r="85" spans="9:38" x14ac:dyDescent="0.2">
      <c r="I85">
        <f>Data!A295</f>
        <v>294</v>
      </c>
      <c r="J85">
        <f>Data!L295</f>
        <v>0</v>
      </c>
      <c r="K85">
        <f>IF($B$2="age",IF(Data!C295&lt;=$C$2,$F$2,$G$2),IF(Data!B295&lt;=$C$2,$F$2,$G$2))</f>
        <v>0</v>
      </c>
      <c r="L85">
        <f>IF($B$3="age",IF(Data!C295&lt;=$C$3,$F$3,$G$3),IF(Data!B295&lt;=$C$3,$F$3,$G$3))</f>
        <v>0</v>
      </c>
      <c r="M85">
        <f>IF($B$4="age",IF(Data!C295&lt;=$C$4,$F$4,$G$4),IF(Data!B295&lt;=$C$4,$F$4,$G$4))</f>
        <v>1</v>
      </c>
      <c r="N85">
        <f>IF($B$5="age",IF(Data!C295&lt;=$C$5,$F$5,$G$5),IF(Data!B295&lt;=$C$5,$F$5,$G$5))</f>
        <v>0</v>
      </c>
      <c r="O85">
        <f>IF($B$6="age",IF(Data!C295&lt;=$C$6,$F$6,$G$6),IF(Data!B295&lt;=$C$6,$F$6,$G$6))</f>
        <v>1</v>
      </c>
      <c r="P85">
        <f>IF($B$7="age",IF(Data!C295&lt;=$C$7,$F$7,$G$7),IF(Data!B295&lt;=$C$7,$F$7,$G$7))</f>
        <v>1</v>
      </c>
      <c r="Q85">
        <f>IF($B$8="age",IF(Data!C295&lt;=$C$8,$F$8,$G$8),IF(Data!B295&lt;=$C$8,$F$8,$G$8))</f>
        <v>1</v>
      </c>
      <c r="R85">
        <f>IF($B$9="age",IF(Data!C295&lt;=$C$9,$F$9,$G$9),IF(Data!B295&lt;=$C$9,$F$9,$G$9))</f>
        <v>0</v>
      </c>
      <c r="S85">
        <f>IF($B$10="age",IF(Data!C295&lt;=$C$10,$F$10,$G$10),IF(Data!B295&lt;=$C$10,$F$10,$G$10))</f>
        <v>0</v>
      </c>
      <c r="T85">
        <f>IF($B$11="age",IF(Data!C295&lt;=$C$11,$F$11,$G$11),IF(Data!B295&lt;=$C$11,$F$11,$G$11))</f>
        <v>0</v>
      </c>
      <c r="U85">
        <f>IF($B$12="age",IF(Data!C295&lt;=$C$12,$F$12,$G$12),IF(Data!B295&lt;=$C$12,$F$12,$G$12))</f>
        <v>1</v>
      </c>
      <c r="V85">
        <f>IF($B$13="age",IF(Data!C295&lt;=$C$13,$F$13,$G$13),IF(Data!B295&lt;=$C$13,$F$13,$G$13))</f>
        <v>0</v>
      </c>
      <c r="W85">
        <f>IF($B$14="age",IF(Data!C295&lt;=$C$14,$F$14,$G$14),IF(Data!B295&lt;=$C$14,$F$14,$G$14))</f>
        <v>1</v>
      </c>
      <c r="X85">
        <f>IF($B$15="age",IF(Data!C295&lt;=$C$15,$F$15,$G$15),IF(Data!B295&lt;=$C$15,$F$15,$G$15))</f>
        <v>1</v>
      </c>
      <c r="Y85">
        <f>IF($B$16="age",IF(Data!C295&lt;=$C$16,$F$16,$G$16),IF(Data!B295&lt;=$C$16,$F$16,$G$16))</f>
        <v>1</v>
      </c>
      <c r="Z85">
        <f>IF($B$17="age",IF(Data!C295&lt;=$C$17,$F$17,$G$17),IF(Data!B295&lt;=$C$17,$F$17,$G$17))</f>
        <v>0</v>
      </c>
      <c r="AA85">
        <f>IF($B$18="age",IF(Data!C295&lt;=$C$18,$F$18,$G$18),IF(Data!B295&lt;=$C$18,$F$18,$G$18))</f>
        <v>1</v>
      </c>
      <c r="AB85">
        <f>IF($B$19="age",IF(Data!C295&lt;=$C$19,$F$19,$G$19),IF(Data!B295&lt;=$C$19,$F$19,$G$19))</f>
        <v>0</v>
      </c>
      <c r="AC85">
        <f>IF($B$20="age",IF(Data!C295&lt;=$C$20,$F$20,$G$20),IF(Data!B295&lt;=$C$20,$F$20,$G$20))</f>
        <v>1</v>
      </c>
      <c r="AD85">
        <f>IF($B$21="age",IF(Data!C295&lt;=$C$21,$F$21,$G$21),IF(Data!B295&lt;=$C$21,$F$21,$G$21))</f>
        <v>0</v>
      </c>
      <c r="AE85">
        <f>IF($B$22="age",IF(Data!C295&lt;=$C$22,$F$22,$G$22),IF(Data!B295&lt;=$C$22,$F$22,$G$22))</f>
        <v>1</v>
      </c>
      <c r="AF85">
        <f>IF($B$23="age",IF(Data!C295&lt;=$C$23,$F$23,$G$23),IF(Data!B295&lt;=$C$23,$F$23,$G$23))</f>
        <v>0</v>
      </c>
      <c r="AG85">
        <f>IF($B$24="age",IF(Data!C295&lt;=$C$24,$F$24,$G$24),IF(Data!B295&lt;=$C$24,$F$24,$G$24))</f>
        <v>1</v>
      </c>
      <c r="AH85">
        <f>IF($B$25="age",IF(Data!C295&lt;=$C$25,$F$25,$G$25),IF(Data!B295&lt;=$C$25,$F$25,$G$25))</f>
        <v>1</v>
      </c>
      <c r="AI85">
        <f>IF($B$26="age",IF(Data!C295&lt;=$C$26,$F$26,$G$26),IF(Data!B295&lt;=$C$26,$F$26,$G$26))</f>
        <v>1</v>
      </c>
      <c r="AJ85">
        <f t="shared" si="4"/>
        <v>0.56000000000000005</v>
      </c>
      <c r="AK85">
        <f>IF(AJ85&gt;=Controls!$B$2,1,0)</f>
        <v>1</v>
      </c>
      <c r="AL85">
        <f t="shared" si="5"/>
        <v>0</v>
      </c>
    </row>
    <row r="86" spans="9:38" x14ac:dyDescent="0.2">
      <c r="I86">
        <f>Data!A296</f>
        <v>295</v>
      </c>
      <c r="J86">
        <f>Data!L296</f>
        <v>0</v>
      </c>
      <c r="K86">
        <f>IF($B$2="age",IF(Data!C296&lt;=$C$2,$F$2,$G$2),IF(Data!B296&lt;=$C$2,$F$2,$G$2))</f>
        <v>1</v>
      </c>
      <c r="L86">
        <f>IF($B$3="age",IF(Data!C296&lt;=$C$3,$F$3,$G$3),IF(Data!B296&lt;=$C$3,$F$3,$G$3))</f>
        <v>1</v>
      </c>
      <c r="M86">
        <f>IF($B$4="age",IF(Data!C296&lt;=$C$4,$F$4,$G$4),IF(Data!B296&lt;=$C$4,$F$4,$G$4))</f>
        <v>1</v>
      </c>
      <c r="N86">
        <f>IF($B$5="age",IF(Data!C296&lt;=$C$5,$F$5,$G$5),IF(Data!B296&lt;=$C$5,$F$5,$G$5))</f>
        <v>1</v>
      </c>
      <c r="O86">
        <f>IF($B$6="age",IF(Data!C296&lt;=$C$6,$F$6,$G$6),IF(Data!B296&lt;=$C$6,$F$6,$G$6))</f>
        <v>1</v>
      </c>
      <c r="P86">
        <f>IF($B$7="age",IF(Data!C296&lt;=$C$7,$F$7,$G$7),IF(Data!B296&lt;=$C$7,$F$7,$G$7))</f>
        <v>1</v>
      </c>
      <c r="Q86">
        <f>IF($B$8="age",IF(Data!C296&lt;=$C$8,$F$8,$G$8),IF(Data!B296&lt;=$C$8,$F$8,$G$8))</f>
        <v>1</v>
      </c>
      <c r="R86">
        <f>IF($B$9="age",IF(Data!C296&lt;=$C$9,$F$9,$G$9),IF(Data!B296&lt;=$C$9,$F$9,$G$9))</f>
        <v>1</v>
      </c>
      <c r="S86">
        <f>IF($B$10="age",IF(Data!C296&lt;=$C$10,$F$10,$G$10),IF(Data!B296&lt;=$C$10,$F$10,$G$10))</f>
        <v>1</v>
      </c>
      <c r="T86">
        <f>IF($B$11="age",IF(Data!C296&lt;=$C$11,$F$11,$G$11),IF(Data!B296&lt;=$C$11,$F$11,$G$11))</f>
        <v>0</v>
      </c>
      <c r="U86">
        <f>IF($B$12="age",IF(Data!C296&lt;=$C$12,$F$12,$G$12),IF(Data!B296&lt;=$C$12,$F$12,$G$12))</f>
        <v>1</v>
      </c>
      <c r="V86">
        <f>IF($B$13="age",IF(Data!C296&lt;=$C$13,$F$13,$G$13),IF(Data!B296&lt;=$C$13,$F$13,$G$13))</f>
        <v>1</v>
      </c>
      <c r="W86">
        <f>IF($B$14="age",IF(Data!C296&lt;=$C$14,$F$14,$G$14),IF(Data!B296&lt;=$C$14,$F$14,$G$14))</f>
        <v>1</v>
      </c>
      <c r="X86">
        <f>IF($B$15="age",IF(Data!C296&lt;=$C$15,$F$15,$G$15),IF(Data!B296&lt;=$C$15,$F$15,$G$15))</f>
        <v>1</v>
      </c>
      <c r="Y86">
        <f>IF($B$16="age",IF(Data!C296&lt;=$C$16,$F$16,$G$16),IF(Data!B296&lt;=$C$16,$F$16,$G$16))</f>
        <v>1</v>
      </c>
      <c r="Z86">
        <f>IF($B$17="age",IF(Data!C296&lt;=$C$17,$F$17,$G$17),IF(Data!B296&lt;=$C$17,$F$17,$G$17))</f>
        <v>0</v>
      </c>
      <c r="AA86">
        <f>IF($B$18="age",IF(Data!C296&lt;=$C$18,$F$18,$G$18),IF(Data!B296&lt;=$C$18,$F$18,$G$18))</f>
        <v>1</v>
      </c>
      <c r="AB86">
        <f>IF($B$19="age",IF(Data!C296&lt;=$C$19,$F$19,$G$19),IF(Data!B296&lt;=$C$19,$F$19,$G$19))</f>
        <v>1</v>
      </c>
      <c r="AC86">
        <f>IF($B$20="age",IF(Data!C296&lt;=$C$20,$F$20,$G$20),IF(Data!B296&lt;=$C$20,$F$20,$G$20))</f>
        <v>1</v>
      </c>
      <c r="AD86">
        <f>IF($B$21="age",IF(Data!C296&lt;=$C$21,$F$21,$G$21),IF(Data!B296&lt;=$C$21,$F$21,$G$21))</f>
        <v>0</v>
      </c>
      <c r="AE86">
        <f>IF($B$22="age",IF(Data!C296&lt;=$C$22,$F$22,$G$22),IF(Data!B296&lt;=$C$22,$F$22,$G$22))</f>
        <v>1</v>
      </c>
      <c r="AF86">
        <f>IF($B$23="age",IF(Data!C296&lt;=$C$23,$F$23,$G$23),IF(Data!B296&lt;=$C$23,$F$23,$G$23))</f>
        <v>1</v>
      </c>
      <c r="AG86">
        <f>IF($B$24="age",IF(Data!C296&lt;=$C$24,$F$24,$G$24),IF(Data!B296&lt;=$C$24,$F$24,$G$24))</f>
        <v>1</v>
      </c>
      <c r="AH86">
        <f>IF($B$25="age",IF(Data!C296&lt;=$C$25,$F$25,$G$25),IF(Data!B296&lt;=$C$25,$F$25,$G$25))</f>
        <v>1</v>
      </c>
      <c r="AI86">
        <f>IF($B$26="age",IF(Data!C296&lt;=$C$26,$F$26,$G$26),IF(Data!B296&lt;=$C$26,$F$26,$G$26))</f>
        <v>1</v>
      </c>
      <c r="AJ86">
        <f t="shared" si="4"/>
        <v>0.88</v>
      </c>
      <c r="AK86">
        <f>IF(AJ86&gt;=Controls!$B$2,1,0)</f>
        <v>1</v>
      </c>
      <c r="AL86">
        <f t="shared" si="5"/>
        <v>0</v>
      </c>
    </row>
    <row r="87" spans="9:38" x14ac:dyDescent="0.2">
      <c r="I87">
        <f>Data!A297</f>
        <v>296</v>
      </c>
      <c r="J87">
        <f>Data!L297</f>
        <v>0</v>
      </c>
      <c r="K87">
        <f>IF($B$2="age",IF(Data!C297&lt;=$C$2,$F$2,$G$2),IF(Data!B297&lt;=$C$2,$F$2,$G$2))</f>
        <v>0</v>
      </c>
      <c r="L87">
        <f>IF($B$3="age",IF(Data!C297&lt;=$C$3,$F$3,$G$3),IF(Data!B297&lt;=$C$3,$F$3,$G$3))</f>
        <v>1</v>
      </c>
      <c r="M87">
        <f>IF($B$4="age",IF(Data!C297&lt;=$C$4,$F$4,$G$4),IF(Data!B297&lt;=$C$4,$F$4,$G$4))</f>
        <v>1</v>
      </c>
      <c r="N87">
        <f>IF($B$5="age",IF(Data!C297&lt;=$C$5,$F$5,$G$5),IF(Data!B297&lt;=$C$5,$F$5,$G$5))</f>
        <v>0</v>
      </c>
      <c r="O87">
        <f>IF($B$6="age",IF(Data!C297&lt;=$C$6,$F$6,$G$6),IF(Data!B297&lt;=$C$6,$F$6,$G$6))</f>
        <v>0</v>
      </c>
      <c r="P87">
        <f>IF($B$7="age",IF(Data!C297&lt;=$C$7,$F$7,$G$7),IF(Data!B297&lt;=$C$7,$F$7,$G$7))</f>
        <v>1</v>
      </c>
      <c r="Q87">
        <f>IF($B$8="age",IF(Data!C297&lt;=$C$8,$F$8,$G$8),IF(Data!B297&lt;=$C$8,$F$8,$G$8))</f>
        <v>1</v>
      </c>
      <c r="R87">
        <f>IF($B$9="age",IF(Data!C297&lt;=$C$9,$F$9,$G$9),IF(Data!B297&lt;=$C$9,$F$9,$G$9))</f>
        <v>0</v>
      </c>
      <c r="S87">
        <f>IF($B$10="age",IF(Data!C297&lt;=$C$10,$F$10,$G$10),IF(Data!B297&lt;=$C$10,$F$10,$G$10))</f>
        <v>0</v>
      </c>
      <c r="T87">
        <f>IF($B$11="age",IF(Data!C297&lt;=$C$11,$F$11,$G$11),IF(Data!B297&lt;=$C$11,$F$11,$G$11))</f>
        <v>0</v>
      </c>
      <c r="U87">
        <f>IF($B$12="age",IF(Data!C297&lt;=$C$12,$F$12,$G$12),IF(Data!B297&lt;=$C$12,$F$12,$G$12))</f>
        <v>1</v>
      </c>
      <c r="V87">
        <f>IF($B$13="age",IF(Data!C297&lt;=$C$13,$F$13,$G$13),IF(Data!B297&lt;=$C$13,$F$13,$G$13))</f>
        <v>0</v>
      </c>
      <c r="W87">
        <f>IF($B$14="age",IF(Data!C297&lt;=$C$14,$F$14,$G$14),IF(Data!B297&lt;=$C$14,$F$14,$G$14))</f>
        <v>0</v>
      </c>
      <c r="X87">
        <f>IF($B$15="age",IF(Data!C297&lt;=$C$15,$F$15,$G$15),IF(Data!B297&lt;=$C$15,$F$15,$G$15))</f>
        <v>1</v>
      </c>
      <c r="Y87">
        <f>IF($B$16="age",IF(Data!C297&lt;=$C$16,$F$16,$G$16),IF(Data!B297&lt;=$C$16,$F$16,$G$16))</f>
        <v>1</v>
      </c>
      <c r="Z87">
        <f>IF($B$17="age",IF(Data!C297&lt;=$C$17,$F$17,$G$17),IF(Data!B297&lt;=$C$17,$F$17,$G$17))</f>
        <v>0</v>
      </c>
      <c r="AA87">
        <f>IF($B$18="age",IF(Data!C297&lt;=$C$18,$F$18,$G$18),IF(Data!B297&lt;=$C$18,$F$18,$G$18))</f>
        <v>1</v>
      </c>
      <c r="AB87">
        <f>IF($B$19="age",IF(Data!C297&lt;=$C$19,$F$19,$G$19),IF(Data!B297&lt;=$C$19,$F$19,$G$19))</f>
        <v>0</v>
      </c>
      <c r="AC87">
        <f>IF($B$20="age",IF(Data!C297&lt;=$C$20,$F$20,$G$20),IF(Data!B297&lt;=$C$20,$F$20,$G$20))</f>
        <v>1</v>
      </c>
      <c r="AD87">
        <f>IF($B$21="age",IF(Data!C297&lt;=$C$21,$F$21,$G$21),IF(Data!B297&lt;=$C$21,$F$21,$G$21))</f>
        <v>0</v>
      </c>
      <c r="AE87">
        <f>IF($B$22="age",IF(Data!C297&lt;=$C$22,$F$22,$G$22),IF(Data!B297&lt;=$C$22,$F$22,$G$22))</f>
        <v>0</v>
      </c>
      <c r="AF87">
        <f>IF($B$23="age",IF(Data!C297&lt;=$C$23,$F$23,$G$23),IF(Data!B297&lt;=$C$23,$F$23,$G$23))</f>
        <v>0</v>
      </c>
      <c r="AG87">
        <f>IF($B$24="age",IF(Data!C297&lt;=$C$24,$F$24,$G$24),IF(Data!B297&lt;=$C$24,$F$24,$G$24))</f>
        <v>0</v>
      </c>
      <c r="AH87">
        <f>IF($B$25="age",IF(Data!C297&lt;=$C$25,$F$25,$G$25),IF(Data!B297&lt;=$C$25,$F$25,$G$25))</f>
        <v>1</v>
      </c>
      <c r="AI87">
        <f>IF($B$26="age",IF(Data!C297&lt;=$C$26,$F$26,$G$26),IF(Data!B297&lt;=$C$26,$F$26,$G$26))</f>
        <v>1</v>
      </c>
      <c r="AJ87">
        <f t="shared" si="4"/>
        <v>0.44</v>
      </c>
      <c r="AK87">
        <f>IF(AJ87&gt;=Controls!$B$2,1,0)</f>
        <v>0</v>
      </c>
      <c r="AL87">
        <f t="shared" si="5"/>
        <v>1</v>
      </c>
    </row>
    <row r="88" spans="9:38" x14ac:dyDescent="0.2">
      <c r="I88">
        <f>Data!A298</f>
        <v>297</v>
      </c>
      <c r="J88">
        <f>Data!L298</f>
        <v>0</v>
      </c>
      <c r="K88">
        <f>IF($B$2="age",IF(Data!C298&lt;=$C$2,$F$2,$G$2),IF(Data!B298&lt;=$C$2,$F$2,$G$2))</f>
        <v>0</v>
      </c>
      <c r="L88">
        <f>IF($B$3="age",IF(Data!C298&lt;=$C$3,$F$3,$G$3),IF(Data!B298&lt;=$C$3,$F$3,$G$3))</f>
        <v>1</v>
      </c>
      <c r="M88">
        <f>IF($B$4="age",IF(Data!C298&lt;=$C$4,$F$4,$G$4),IF(Data!B298&lt;=$C$4,$F$4,$G$4))</f>
        <v>1</v>
      </c>
      <c r="N88">
        <f>IF($B$5="age",IF(Data!C298&lt;=$C$5,$F$5,$G$5),IF(Data!B298&lt;=$C$5,$F$5,$G$5))</f>
        <v>1</v>
      </c>
      <c r="O88">
        <f>IF($B$6="age",IF(Data!C298&lt;=$C$6,$F$6,$G$6),IF(Data!B298&lt;=$C$6,$F$6,$G$6))</f>
        <v>0</v>
      </c>
      <c r="P88">
        <f>IF($B$7="age",IF(Data!C298&lt;=$C$7,$F$7,$G$7),IF(Data!B298&lt;=$C$7,$F$7,$G$7))</f>
        <v>1</v>
      </c>
      <c r="Q88">
        <f>IF($B$8="age",IF(Data!C298&lt;=$C$8,$F$8,$G$8),IF(Data!B298&lt;=$C$8,$F$8,$G$8))</f>
        <v>1</v>
      </c>
      <c r="R88">
        <f>IF($B$9="age",IF(Data!C298&lt;=$C$9,$F$9,$G$9),IF(Data!B298&lt;=$C$9,$F$9,$G$9))</f>
        <v>1</v>
      </c>
      <c r="S88">
        <f>IF($B$10="age",IF(Data!C298&lt;=$C$10,$F$10,$G$10),IF(Data!B298&lt;=$C$10,$F$10,$G$10))</f>
        <v>0</v>
      </c>
      <c r="T88">
        <f>IF($B$11="age",IF(Data!C298&lt;=$C$11,$F$11,$G$11),IF(Data!B298&lt;=$C$11,$F$11,$G$11))</f>
        <v>1</v>
      </c>
      <c r="U88">
        <f>IF($B$12="age",IF(Data!C298&lt;=$C$12,$F$12,$G$12),IF(Data!B298&lt;=$C$12,$F$12,$G$12))</f>
        <v>1</v>
      </c>
      <c r="V88">
        <f>IF($B$13="age",IF(Data!C298&lt;=$C$13,$F$13,$G$13),IF(Data!B298&lt;=$C$13,$F$13,$G$13))</f>
        <v>1</v>
      </c>
      <c r="W88">
        <f>IF($B$14="age",IF(Data!C298&lt;=$C$14,$F$14,$G$14),IF(Data!B298&lt;=$C$14,$F$14,$G$14))</f>
        <v>0</v>
      </c>
      <c r="X88">
        <f>IF($B$15="age",IF(Data!C298&lt;=$C$15,$F$15,$G$15),IF(Data!B298&lt;=$C$15,$F$15,$G$15))</f>
        <v>1</v>
      </c>
      <c r="Y88">
        <f>IF($B$16="age",IF(Data!C298&lt;=$C$16,$F$16,$G$16),IF(Data!B298&lt;=$C$16,$F$16,$G$16))</f>
        <v>1</v>
      </c>
      <c r="Z88">
        <f>IF($B$17="age",IF(Data!C298&lt;=$C$17,$F$17,$G$17),IF(Data!B298&lt;=$C$17,$F$17,$G$17))</f>
        <v>0</v>
      </c>
      <c r="AA88">
        <f>IF($B$18="age",IF(Data!C298&lt;=$C$18,$F$18,$G$18),IF(Data!B298&lt;=$C$18,$F$18,$G$18))</f>
        <v>1</v>
      </c>
      <c r="AB88">
        <f>IF($B$19="age",IF(Data!C298&lt;=$C$19,$F$19,$G$19),IF(Data!B298&lt;=$C$19,$F$19,$G$19))</f>
        <v>1</v>
      </c>
      <c r="AC88">
        <f>IF($B$20="age",IF(Data!C298&lt;=$C$20,$F$20,$G$20),IF(Data!B298&lt;=$C$20,$F$20,$G$20))</f>
        <v>1</v>
      </c>
      <c r="AD88">
        <f>IF($B$21="age",IF(Data!C298&lt;=$C$21,$F$21,$G$21),IF(Data!B298&lt;=$C$21,$F$21,$G$21))</f>
        <v>0</v>
      </c>
      <c r="AE88">
        <f>IF($B$22="age",IF(Data!C298&lt;=$C$22,$F$22,$G$22),IF(Data!B298&lt;=$C$22,$F$22,$G$22))</f>
        <v>0</v>
      </c>
      <c r="AF88">
        <f>IF($B$23="age",IF(Data!C298&lt;=$C$23,$F$23,$G$23),IF(Data!B298&lt;=$C$23,$F$23,$G$23))</f>
        <v>1</v>
      </c>
      <c r="AG88">
        <f>IF($B$24="age",IF(Data!C298&lt;=$C$24,$F$24,$G$24),IF(Data!B298&lt;=$C$24,$F$24,$G$24))</f>
        <v>1</v>
      </c>
      <c r="AH88">
        <f>IF($B$25="age",IF(Data!C298&lt;=$C$25,$F$25,$G$25),IF(Data!B298&lt;=$C$25,$F$25,$G$25))</f>
        <v>1</v>
      </c>
      <c r="AI88">
        <f>IF($B$26="age",IF(Data!C298&lt;=$C$26,$F$26,$G$26),IF(Data!B298&lt;=$C$26,$F$26,$G$26))</f>
        <v>1</v>
      </c>
      <c r="AJ88">
        <f t="shared" si="4"/>
        <v>0.72</v>
      </c>
      <c r="AK88">
        <f>IF(AJ88&gt;=Controls!$B$2,1,0)</f>
        <v>1</v>
      </c>
      <c r="AL88">
        <f t="shared" si="5"/>
        <v>0</v>
      </c>
    </row>
    <row r="89" spans="9:38" x14ac:dyDescent="0.2">
      <c r="I89">
        <f>Data!A299</f>
        <v>298</v>
      </c>
      <c r="J89">
        <f>Data!L299</f>
        <v>0</v>
      </c>
      <c r="K89">
        <f>IF($B$2="age",IF(Data!C299&lt;=$C$2,$F$2,$G$2),IF(Data!B299&lt;=$C$2,$F$2,$G$2))</f>
        <v>1</v>
      </c>
      <c r="L89">
        <f>IF($B$3="age",IF(Data!C299&lt;=$C$3,$F$3,$G$3),IF(Data!B299&lt;=$C$3,$F$3,$G$3))</f>
        <v>0</v>
      </c>
      <c r="M89">
        <f>IF($B$4="age",IF(Data!C299&lt;=$C$4,$F$4,$G$4),IF(Data!B299&lt;=$C$4,$F$4,$G$4))</f>
        <v>1</v>
      </c>
      <c r="N89">
        <f>IF($B$5="age",IF(Data!C299&lt;=$C$5,$F$5,$G$5),IF(Data!B299&lt;=$C$5,$F$5,$G$5))</f>
        <v>0</v>
      </c>
      <c r="O89">
        <f>IF($B$6="age",IF(Data!C299&lt;=$C$6,$F$6,$G$6),IF(Data!B299&lt;=$C$6,$F$6,$G$6))</f>
        <v>1</v>
      </c>
      <c r="P89">
        <f>IF($B$7="age",IF(Data!C299&lt;=$C$7,$F$7,$G$7),IF(Data!B299&lt;=$C$7,$F$7,$G$7))</f>
        <v>1</v>
      </c>
      <c r="Q89">
        <f>IF($B$8="age",IF(Data!C299&lt;=$C$8,$F$8,$G$8),IF(Data!B299&lt;=$C$8,$F$8,$G$8))</f>
        <v>1</v>
      </c>
      <c r="R89">
        <f>IF($B$9="age",IF(Data!C299&lt;=$C$9,$F$9,$G$9),IF(Data!B299&lt;=$C$9,$F$9,$G$9))</f>
        <v>0</v>
      </c>
      <c r="S89">
        <f>IF($B$10="age",IF(Data!C299&lt;=$C$10,$F$10,$G$10),IF(Data!B299&lt;=$C$10,$F$10,$G$10))</f>
        <v>1</v>
      </c>
      <c r="T89">
        <f>IF($B$11="age",IF(Data!C299&lt;=$C$11,$F$11,$G$11),IF(Data!B299&lt;=$C$11,$F$11,$G$11))</f>
        <v>0</v>
      </c>
      <c r="U89">
        <f>IF($B$12="age",IF(Data!C299&lt;=$C$12,$F$12,$G$12),IF(Data!B299&lt;=$C$12,$F$12,$G$12))</f>
        <v>1</v>
      </c>
      <c r="V89">
        <f>IF($B$13="age",IF(Data!C299&lt;=$C$13,$F$13,$G$13),IF(Data!B299&lt;=$C$13,$F$13,$G$13))</f>
        <v>0</v>
      </c>
      <c r="W89">
        <f>IF($B$14="age",IF(Data!C299&lt;=$C$14,$F$14,$G$14),IF(Data!B299&lt;=$C$14,$F$14,$G$14))</f>
        <v>1</v>
      </c>
      <c r="X89">
        <f>IF($B$15="age",IF(Data!C299&lt;=$C$15,$F$15,$G$15),IF(Data!B299&lt;=$C$15,$F$15,$G$15))</f>
        <v>1</v>
      </c>
      <c r="Y89">
        <f>IF($B$16="age",IF(Data!C299&lt;=$C$16,$F$16,$G$16),IF(Data!B299&lt;=$C$16,$F$16,$G$16))</f>
        <v>1</v>
      </c>
      <c r="Z89">
        <f>IF($B$17="age",IF(Data!C299&lt;=$C$17,$F$17,$G$17),IF(Data!B299&lt;=$C$17,$F$17,$G$17))</f>
        <v>0</v>
      </c>
      <c r="AA89">
        <f>IF($B$18="age",IF(Data!C299&lt;=$C$18,$F$18,$G$18),IF(Data!B299&lt;=$C$18,$F$18,$G$18))</f>
        <v>1</v>
      </c>
      <c r="AB89">
        <f>IF($B$19="age",IF(Data!C299&lt;=$C$19,$F$19,$G$19),IF(Data!B299&lt;=$C$19,$F$19,$G$19))</f>
        <v>0</v>
      </c>
      <c r="AC89">
        <f>IF($B$20="age",IF(Data!C299&lt;=$C$20,$F$20,$G$20),IF(Data!B299&lt;=$C$20,$F$20,$G$20))</f>
        <v>1</v>
      </c>
      <c r="AD89">
        <f>IF($B$21="age",IF(Data!C299&lt;=$C$21,$F$21,$G$21),IF(Data!B299&lt;=$C$21,$F$21,$G$21))</f>
        <v>0</v>
      </c>
      <c r="AE89">
        <f>IF($B$22="age",IF(Data!C299&lt;=$C$22,$F$22,$G$22),IF(Data!B299&lt;=$C$22,$F$22,$G$22))</f>
        <v>1</v>
      </c>
      <c r="AF89">
        <f>IF($B$23="age",IF(Data!C299&lt;=$C$23,$F$23,$G$23),IF(Data!B299&lt;=$C$23,$F$23,$G$23))</f>
        <v>0</v>
      </c>
      <c r="AG89">
        <f>IF($B$24="age",IF(Data!C299&lt;=$C$24,$F$24,$G$24),IF(Data!B299&lt;=$C$24,$F$24,$G$24))</f>
        <v>1</v>
      </c>
      <c r="AH89">
        <f>IF($B$25="age",IF(Data!C299&lt;=$C$25,$F$25,$G$25),IF(Data!B299&lt;=$C$25,$F$25,$G$25))</f>
        <v>1</v>
      </c>
      <c r="AI89">
        <f>IF($B$26="age",IF(Data!C299&lt;=$C$26,$F$26,$G$26),IF(Data!B299&lt;=$C$26,$F$26,$G$26))</f>
        <v>1</v>
      </c>
      <c r="AJ89">
        <f t="shared" si="4"/>
        <v>0.64</v>
      </c>
      <c r="AK89">
        <f>IF(AJ89&gt;=Controls!$B$2,1,0)</f>
        <v>1</v>
      </c>
      <c r="AL89">
        <f t="shared" si="5"/>
        <v>0</v>
      </c>
    </row>
    <row r="90" spans="9:38" x14ac:dyDescent="0.2">
      <c r="I90">
        <f>Data!A300</f>
        <v>299</v>
      </c>
      <c r="J90">
        <f>Data!L300</f>
        <v>1</v>
      </c>
      <c r="K90">
        <f>IF($B$2="age",IF(Data!C300&lt;=$C$2,$F$2,$G$2),IF(Data!B300&lt;=$C$2,$F$2,$G$2))</f>
        <v>0</v>
      </c>
      <c r="L90">
        <f>IF($B$3="age",IF(Data!C300&lt;=$C$3,$F$3,$G$3),IF(Data!B300&lt;=$C$3,$F$3,$G$3))</f>
        <v>1</v>
      </c>
      <c r="M90">
        <f>IF($B$4="age",IF(Data!C300&lt;=$C$4,$F$4,$G$4),IF(Data!B300&lt;=$C$4,$F$4,$G$4))</f>
        <v>1</v>
      </c>
      <c r="N90">
        <f>IF($B$5="age",IF(Data!C300&lt;=$C$5,$F$5,$G$5),IF(Data!B300&lt;=$C$5,$F$5,$G$5))</f>
        <v>1</v>
      </c>
      <c r="O90">
        <f>IF($B$6="age",IF(Data!C300&lt;=$C$6,$F$6,$G$6),IF(Data!B300&lt;=$C$6,$F$6,$G$6))</f>
        <v>0</v>
      </c>
      <c r="P90">
        <f>IF($B$7="age",IF(Data!C300&lt;=$C$7,$F$7,$G$7),IF(Data!B300&lt;=$C$7,$F$7,$G$7))</f>
        <v>1</v>
      </c>
      <c r="Q90">
        <f>IF($B$8="age",IF(Data!C300&lt;=$C$8,$F$8,$G$8),IF(Data!B300&lt;=$C$8,$F$8,$G$8))</f>
        <v>1</v>
      </c>
      <c r="R90">
        <f>IF($B$9="age",IF(Data!C300&lt;=$C$9,$F$9,$G$9),IF(Data!B300&lt;=$C$9,$F$9,$G$9))</f>
        <v>1</v>
      </c>
      <c r="S90">
        <f>IF($B$10="age",IF(Data!C300&lt;=$C$10,$F$10,$G$10),IF(Data!B300&lt;=$C$10,$F$10,$G$10))</f>
        <v>0</v>
      </c>
      <c r="T90">
        <f>IF($B$11="age",IF(Data!C300&lt;=$C$11,$F$11,$G$11),IF(Data!B300&lt;=$C$11,$F$11,$G$11))</f>
        <v>0</v>
      </c>
      <c r="U90">
        <f>IF($B$12="age",IF(Data!C300&lt;=$C$12,$F$12,$G$12),IF(Data!B300&lt;=$C$12,$F$12,$G$12))</f>
        <v>1</v>
      </c>
      <c r="V90">
        <f>IF($B$13="age",IF(Data!C300&lt;=$C$13,$F$13,$G$13),IF(Data!B300&lt;=$C$13,$F$13,$G$13))</f>
        <v>1</v>
      </c>
      <c r="W90">
        <f>IF($B$14="age",IF(Data!C300&lt;=$C$14,$F$14,$G$14),IF(Data!B300&lt;=$C$14,$F$14,$G$14))</f>
        <v>0</v>
      </c>
      <c r="X90">
        <f>IF($B$15="age",IF(Data!C300&lt;=$C$15,$F$15,$G$15),IF(Data!B300&lt;=$C$15,$F$15,$G$15))</f>
        <v>1</v>
      </c>
      <c r="Y90">
        <f>IF($B$16="age",IF(Data!C300&lt;=$C$16,$F$16,$G$16),IF(Data!B300&lt;=$C$16,$F$16,$G$16))</f>
        <v>1</v>
      </c>
      <c r="Z90">
        <f>IF($B$17="age",IF(Data!C300&lt;=$C$17,$F$17,$G$17),IF(Data!B300&lt;=$C$17,$F$17,$G$17))</f>
        <v>0</v>
      </c>
      <c r="AA90">
        <f>IF($B$18="age",IF(Data!C300&lt;=$C$18,$F$18,$G$18),IF(Data!B300&lt;=$C$18,$F$18,$G$18))</f>
        <v>1</v>
      </c>
      <c r="AB90">
        <f>IF($B$19="age",IF(Data!C300&lt;=$C$19,$F$19,$G$19),IF(Data!B300&lt;=$C$19,$F$19,$G$19))</f>
        <v>1</v>
      </c>
      <c r="AC90">
        <f>IF($B$20="age",IF(Data!C300&lt;=$C$20,$F$20,$G$20),IF(Data!B300&lt;=$C$20,$F$20,$G$20))</f>
        <v>1</v>
      </c>
      <c r="AD90">
        <f>IF($B$21="age",IF(Data!C300&lt;=$C$21,$F$21,$G$21),IF(Data!B300&lt;=$C$21,$F$21,$G$21))</f>
        <v>0</v>
      </c>
      <c r="AE90">
        <f>IF($B$22="age",IF(Data!C300&lt;=$C$22,$F$22,$G$22),IF(Data!B300&lt;=$C$22,$F$22,$G$22))</f>
        <v>0</v>
      </c>
      <c r="AF90">
        <f>IF($B$23="age",IF(Data!C300&lt;=$C$23,$F$23,$G$23),IF(Data!B300&lt;=$C$23,$F$23,$G$23))</f>
        <v>1</v>
      </c>
      <c r="AG90">
        <f>IF($B$24="age",IF(Data!C300&lt;=$C$24,$F$24,$G$24),IF(Data!B300&lt;=$C$24,$F$24,$G$24))</f>
        <v>0</v>
      </c>
      <c r="AH90">
        <f>IF($B$25="age",IF(Data!C300&lt;=$C$25,$F$25,$G$25),IF(Data!B300&lt;=$C$25,$F$25,$G$25))</f>
        <v>1</v>
      </c>
      <c r="AI90">
        <f>IF($B$26="age",IF(Data!C300&lt;=$C$26,$F$26,$G$26),IF(Data!B300&lt;=$C$26,$F$26,$G$26))</f>
        <v>1</v>
      </c>
      <c r="AJ90">
        <f t="shared" si="4"/>
        <v>0.64</v>
      </c>
      <c r="AK90">
        <f>IF(AJ90&gt;=Controls!$B$2,1,0)</f>
        <v>1</v>
      </c>
      <c r="AL90">
        <f t="shared" si="5"/>
        <v>1</v>
      </c>
    </row>
    <row r="91" spans="9:38" x14ac:dyDescent="0.2">
      <c r="I91">
        <f>Data!A301</f>
        <v>300</v>
      </c>
      <c r="J91">
        <f>Data!L301</f>
        <v>0</v>
      </c>
      <c r="K91">
        <f>IF($B$2="age",IF(Data!C301&lt;=$C$2,$F$2,$G$2),IF(Data!B301&lt;=$C$2,$F$2,$G$2))</f>
        <v>1</v>
      </c>
      <c r="L91">
        <f>IF($B$3="age",IF(Data!C301&lt;=$C$3,$F$3,$G$3),IF(Data!B301&lt;=$C$3,$F$3,$G$3))</f>
        <v>1</v>
      </c>
      <c r="M91">
        <f>IF($B$4="age",IF(Data!C301&lt;=$C$4,$F$4,$G$4),IF(Data!B301&lt;=$C$4,$F$4,$G$4))</f>
        <v>1</v>
      </c>
      <c r="N91">
        <f>IF($B$5="age",IF(Data!C301&lt;=$C$5,$F$5,$G$5),IF(Data!B301&lt;=$C$5,$F$5,$G$5))</f>
        <v>1</v>
      </c>
      <c r="O91">
        <f>IF($B$6="age",IF(Data!C301&lt;=$C$6,$F$6,$G$6),IF(Data!B301&lt;=$C$6,$F$6,$G$6))</f>
        <v>1</v>
      </c>
      <c r="P91">
        <f>IF($B$7="age",IF(Data!C301&lt;=$C$7,$F$7,$G$7),IF(Data!B301&lt;=$C$7,$F$7,$G$7))</f>
        <v>1</v>
      </c>
      <c r="Q91">
        <f>IF($B$8="age",IF(Data!C301&lt;=$C$8,$F$8,$G$8),IF(Data!B301&lt;=$C$8,$F$8,$G$8))</f>
        <v>1</v>
      </c>
      <c r="R91">
        <f>IF($B$9="age",IF(Data!C301&lt;=$C$9,$F$9,$G$9),IF(Data!B301&lt;=$C$9,$F$9,$G$9))</f>
        <v>1</v>
      </c>
      <c r="S91">
        <f>IF($B$10="age",IF(Data!C301&lt;=$C$10,$F$10,$G$10),IF(Data!B301&lt;=$C$10,$F$10,$G$10))</f>
        <v>1</v>
      </c>
      <c r="T91">
        <f>IF($B$11="age",IF(Data!C301&lt;=$C$11,$F$11,$G$11),IF(Data!B301&lt;=$C$11,$F$11,$G$11))</f>
        <v>1</v>
      </c>
      <c r="U91">
        <f>IF($B$12="age",IF(Data!C301&lt;=$C$12,$F$12,$G$12),IF(Data!B301&lt;=$C$12,$F$12,$G$12))</f>
        <v>1</v>
      </c>
      <c r="V91">
        <f>IF($B$13="age",IF(Data!C301&lt;=$C$13,$F$13,$G$13),IF(Data!B301&lt;=$C$13,$F$13,$G$13))</f>
        <v>1</v>
      </c>
      <c r="W91">
        <f>IF($B$14="age",IF(Data!C301&lt;=$C$14,$F$14,$G$14),IF(Data!B301&lt;=$C$14,$F$14,$G$14))</f>
        <v>1</v>
      </c>
      <c r="X91">
        <f>IF($B$15="age",IF(Data!C301&lt;=$C$15,$F$15,$G$15),IF(Data!B301&lt;=$C$15,$F$15,$G$15))</f>
        <v>1</v>
      </c>
      <c r="Y91">
        <f>IF($B$16="age",IF(Data!C301&lt;=$C$16,$F$16,$G$16),IF(Data!B301&lt;=$C$16,$F$16,$G$16))</f>
        <v>1</v>
      </c>
      <c r="Z91">
        <f>IF($B$17="age",IF(Data!C301&lt;=$C$17,$F$17,$G$17),IF(Data!B301&lt;=$C$17,$F$17,$G$17))</f>
        <v>1</v>
      </c>
      <c r="AA91">
        <f>IF($B$18="age",IF(Data!C301&lt;=$C$18,$F$18,$G$18),IF(Data!B301&lt;=$C$18,$F$18,$G$18))</f>
        <v>1</v>
      </c>
      <c r="AB91">
        <f>IF($B$19="age",IF(Data!C301&lt;=$C$19,$F$19,$G$19),IF(Data!B301&lt;=$C$19,$F$19,$G$19))</f>
        <v>1</v>
      </c>
      <c r="AC91">
        <f>IF($B$20="age",IF(Data!C301&lt;=$C$20,$F$20,$G$20),IF(Data!B301&lt;=$C$20,$F$20,$G$20))</f>
        <v>1</v>
      </c>
      <c r="AD91">
        <f>IF($B$21="age",IF(Data!C301&lt;=$C$21,$F$21,$G$21),IF(Data!B301&lt;=$C$21,$F$21,$G$21))</f>
        <v>1</v>
      </c>
      <c r="AE91">
        <f>IF($B$22="age",IF(Data!C301&lt;=$C$22,$F$22,$G$22),IF(Data!B301&lt;=$C$22,$F$22,$G$22))</f>
        <v>1</v>
      </c>
      <c r="AF91">
        <f>IF($B$23="age",IF(Data!C301&lt;=$C$23,$F$23,$G$23),IF(Data!B301&lt;=$C$23,$F$23,$G$23))</f>
        <v>1</v>
      </c>
      <c r="AG91">
        <f>IF($B$24="age",IF(Data!C301&lt;=$C$24,$F$24,$G$24),IF(Data!B301&lt;=$C$24,$F$24,$G$24))</f>
        <v>1</v>
      </c>
      <c r="AH91">
        <f>IF($B$25="age",IF(Data!C301&lt;=$C$25,$F$25,$G$25),IF(Data!B301&lt;=$C$25,$F$25,$G$25))</f>
        <v>1</v>
      </c>
      <c r="AI91">
        <f>IF($B$26="age",IF(Data!C301&lt;=$C$26,$F$26,$G$26),IF(Data!B301&lt;=$C$26,$F$26,$G$26))</f>
        <v>1</v>
      </c>
      <c r="AJ91">
        <f t="shared" si="4"/>
        <v>1</v>
      </c>
      <c r="AK91">
        <f>IF(AJ91&gt;=Controls!$B$2,1,0)</f>
        <v>1</v>
      </c>
      <c r="AL91">
        <f t="shared" si="5"/>
        <v>0</v>
      </c>
    </row>
    <row r="94" spans="9:38" x14ac:dyDescent="0.2">
      <c r="I94" t="s">
        <v>142</v>
      </c>
      <c r="J94">
        <f>AVERAGE(AL2:AL91)</f>
        <v>0.5444444444444444</v>
      </c>
    </row>
    <row r="95" spans="9:38" x14ac:dyDescent="0.2">
      <c r="I95" t="s">
        <v>143</v>
      </c>
      <c r="J95">
        <f>COUNTIFS(J2:J91,1,AK2:AK91,1)</f>
        <v>41</v>
      </c>
    </row>
    <row r="96" spans="9:38" x14ac:dyDescent="0.2">
      <c r="I96" t="s">
        <v>144</v>
      </c>
      <c r="J96">
        <f>COUNTIFS(J2:J91,0,AK2:AK91,0)</f>
        <v>8</v>
      </c>
    </row>
    <row r="97" spans="9:10" x14ac:dyDescent="0.2">
      <c r="I97" t="s">
        <v>145</v>
      </c>
      <c r="J97">
        <f>COUNTIFS(J2:J91,0,AK2:AK91,1)</f>
        <v>35</v>
      </c>
    </row>
    <row r="98" spans="9:10" x14ac:dyDescent="0.2">
      <c r="I98" t="s">
        <v>146</v>
      </c>
      <c r="J98">
        <f>COUNTIFS(J2:J91,1,AK2:AK91,0)</f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4"/>
  <sheetViews>
    <sheetView workbookViewId="0"/>
  </sheetViews>
  <sheetFormatPr baseColWidth="10" defaultColWidth="8.83203125" defaultRowHeight="15" x14ac:dyDescent="0.2"/>
  <cols>
    <col min="1" max="1" width="13" customWidth="1"/>
    <col min="2" max="2" width="15" customWidth="1"/>
    <col min="3" max="3" width="20" customWidth="1"/>
    <col min="4" max="4" width="21" customWidth="1"/>
    <col min="5" max="6" width="13" customWidth="1"/>
    <col min="8" max="24" width="13" customWidth="1"/>
  </cols>
  <sheetData>
    <row r="1" spans="1:24" x14ac:dyDescent="0.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31</v>
      </c>
      <c r="H1" t="s">
        <v>94</v>
      </c>
      <c r="I1" t="s">
        <v>95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97</v>
      </c>
      <c r="X1" t="s">
        <v>98</v>
      </c>
    </row>
    <row r="2" spans="1:24" x14ac:dyDescent="0.2">
      <c r="A2">
        <v>1</v>
      </c>
      <c r="B2">
        <f>ClassTree!$L$2</f>
        <v>26</v>
      </c>
      <c r="C2">
        <f>AVERAGEIFS(Data!$L$2:$L$301,Data!$M$2:$M$301,"Train",Data!$C$2:$C$301,"&lt;="&amp;B2)-ClassTree!$L$4</f>
        <v>0</v>
      </c>
      <c r="D2">
        <f>AVERAGEIFS(Data!$L$2:$L$301,Data!$M$2:$M$301,"Train",Data!$C$2:$C$301,"&gt;"&amp;B2)-ClassTree!$L$6</f>
        <v>0</v>
      </c>
      <c r="E2">
        <f>Controls!$B$5</f>
        <v>0.2</v>
      </c>
      <c r="F2" t="s">
        <v>165</v>
      </c>
      <c r="H2">
        <f>Data!A206</f>
        <v>205</v>
      </c>
      <c r="I2">
        <f>Data!L206</f>
        <v>1</v>
      </c>
      <c r="J2">
        <f>IF(Data!C206&lt;=ClassTree!$L$2,ClassTree!$L$4,ClassTree!$L$6)</f>
        <v>0.57978723404255317</v>
      </c>
      <c r="K2">
        <f>MIN(0.999,MAX(0.001,J2+INDEX($E$2:$E$13,1)*IF(Data!C206&lt;=INDEX($B$2:$B$13,1),INDEX($C$2:$C$13,1),INDEX($D$2:$D$13,1))))</f>
        <v>0.57978723404255317</v>
      </c>
      <c r="L2">
        <f>MIN(0.999,MAX(0.001,K2+INDEX($E$2:$E$13,2)*IF(Data!C206&lt;=INDEX($B$2:$B$13,2),INDEX($C$2:$C$13,2),INDEX($D$2:$D$13,2))))</f>
        <v>0.57978723404255317</v>
      </c>
      <c r="M2">
        <f>MIN(0.999,MAX(0.001,L2+INDEX($E$2:$E$13,3)*IF(Data!C206&lt;=INDEX($B$2:$B$13,3),INDEX($C$2:$C$13,3),INDEX($D$2:$D$13,3))))</f>
        <v>0.57978723404255317</v>
      </c>
      <c r="N2">
        <f>MIN(0.999,MAX(0.001,M2+INDEX($E$2:$E$13,4)*IF(Data!C206&lt;=INDEX($B$2:$B$13,4),INDEX($C$2:$C$13,4),INDEX($D$2:$D$13,4))))</f>
        <v>0.57978723404255317</v>
      </c>
      <c r="O2">
        <f>MIN(0.999,MAX(0.001,N2+INDEX($E$2:$E$13,5)*IF(Data!C206&lt;=INDEX($B$2:$B$13,5),INDEX($C$2:$C$13,5),INDEX($D$2:$D$13,5))))</f>
        <v>0.57978723404255317</v>
      </c>
      <c r="P2">
        <f>MIN(0.999,MAX(0.001,O2+INDEX($E$2:$E$13,6)*IF(Data!C206&lt;=INDEX($B$2:$B$13,6),INDEX($C$2:$C$13,6),INDEX($D$2:$D$13,6))))</f>
        <v>0.57978723404255317</v>
      </c>
      <c r="Q2">
        <f>MIN(0.999,MAX(0.001,P2+INDEX($E$2:$E$13,7)*IF(Data!C206&lt;=INDEX($B$2:$B$13,7),INDEX($C$2:$C$13,7),INDEX($D$2:$D$13,7))))</f>
        <v>0.57978723404255317</v>
      </c>
      <c r="R2">
        <f>MIN(0.999,MAX(0.001,Q2+INDEX($E$2:$E$13,8)*IF(Data!C206&lt;=INDEX($B$2:$B$13,8),INDEX($C$2:$C$13,8),INDEX($D$2:$D$13,8))))</f>
        <v>0.57978723404255317</v>
      </c>
      <c r="S2">
        <f>MIN(0.999,MAX(0.001,R2+INDEX($E$2:$E$13,9)*IF(Data!C206&lt;=INDEX($B$2:$B$13,9),INDEX($C$2:$C$13,9),INDEX($D$2:$D$13,9))))</f>
        <v>0.57978723404255317</v>
      </c>
      <c r="T2">
        <f>MIN(0.999,MAX(0.001,S2+INDEX($E$2:$E$13,10)*IF(Data!C206&lt;=INDEX($B$2:$B$13,10),INDEX($C$2:$C$13,10),INDEX($D$2:$D$13,10))))</f>
        <v>0.57978723404255317</v>
      </c>
      <c r="U2">
        <f>MIN(0.999,MAX(0.001,T2+INDEX($E$2:$E$13,11)*IF(Data!C206&lt;=INDEX($B$2:$B$13,11),INDEX($C$2:$C$13,11),INDEX($D$2:$D$13,11))))</f>
        <v>0.57978723404255317</v>
      </c>
      <c r="V2">
        <f>MIN(0.999,MAX(0.001,U2+INDEX($E$2:$E$13,12)*IF(Data!C206&lt;=INDEX($B$2:$B$13,12),INDEX($C$2:$C$13,12),INDEX($D$2:$D$13,12))))</f>
        <v>0.57978723404255317</v>
      </c>
      <c r="W2">
        <f>IF(V2&gt;=Controls!$B$2,1,0)</f>
        <v>1</v>
      </c>
      <c r="X2">
        <f t="shared" ref="X2:X33" si="0">--(W2=I2)</f>
        <v>1</v>
      </c>
    </row>
    <row r="3" spans="1:24" x14ac:dyDescent="0.2">
      <c r="A3">
        <v>2</v>
      </c>
      <c r="B3">
        <f>INDEX(ClassTree!A2:A251,1+MOD(3*7,200))</f>
        <v>40</v>
      </c>
      <c r="C3">
        <f t="shared" ref="C3:C13" si="1">C2*0.85</f>
        <v>0</v>
      </c>
      <c r="D3">
        <f t="shared" ref="D3:D13" si="2">D2*0.85</f>
        <v>0</v>
      </c>
      <c r="E3">
        <f>Controls!$B$5</f>
        <v>0.2</v>
      </c>
      <c r="H3">
        <f>Data!A208</f>
        <v>207</v>
      </c>
      <c r="I3">
        <f>Data!L208</f>
        <v>1</v>
      </c>
      <c r="J3">
        <f>IF(Data!C208&lt;=ClassTree!$L$2,ClassTree!$L$4,ClassTree!$L$6)</f>
        <v>0.57978723404255317</v>
      </c>
      <c r="K3">
        <f>MIN(0.999,MAX(0.001,J3+INDEX($E$2:$E$13,1)*IF(Data!C208&lt;=INDEX($B$2:$B$13,1),INDEX($C$2:$C$13,1),INDEX($D$2:$D$13,1))))</f>
        <v>0.57978723404255317</v>
      </c>
      <c r="L3">
        <f>MIN(0.999,MAX(0.001,K3+INDEX($E$2:$E$13,2)*IF(Data!C208&lt;=INDEX($B$2:$B$13,2),INDEX($C$2:$C$13,2),INDEX($D$2:$D$13,2))))</f>
        <v>0.57978723404255317</v>
      </c>
      <c r="M3">
        <f>MIN(0.999,MAX(0.001,L3+INDEX($E$2:$E$13,3)*IF(Data!C208&lt;=INDEX($B$2:$B$13,3),INDEX($C$2:$C$13,3),INDEX($D$2:$D$13,3))))</f>
        <v>0.57978723404255317</v>
      </c>
      <c r="N3">
        <f>MIN(0.999,MAX(0.001,M3+INDEX($E$2:$E$13,4)*IF(Data!C208&lt;=INDEX($B$2:$B$13,4),INDEX($C$2:$C$13,4),INDEX($D$2:$D$13,4))))</f>
        <v>0.57978723404255317</v>
      </c>
      <c r="O3">
        <f>MIN(0.999,MAX(0.001,N3+INDEX($E$2:$E$13,5)*IF(Data!C208&lt;=INDEX($B$2:$B$13,5),INDEX($C$2:$C$13,5),INDEX($D$2:$D$13,5))))</f>
        <v>0.57978723404255317</v>
      </c>
      <c r="P3">
        <f>MIN(0.999,MAX(0.001,O3+INDEX($E$2:$E$13,6)*IF(Data!C208&lt;=INDEX($B$2:$B$13,6),INDEX($C$2:$C$13,6),INDEX($D$2:$D$13,6))))</f>
        <v>0.57978723404255317</v>
      </c>
      <c r="Q3">
        <f>MIN(0.999,MAX(0.001,P3+INDEX($E$2:$E$13,7)*IF(Data!C208&lt;=INDEX($B$2:$B$13,7),INDEX($C$2:$C$13,7),INDEX($D$2:$D$13,7))))</f>
        <v>0.57978723404255317</v>
      </c>
      <c r="R3">
        <f>MIN(0.999,MAX(0.001,Q3+INDEX($E$2:$E$13,8)*IF(Data!C208&lt;=INDEX($B$2:$B$13,8),INDEX($C$2:$C$13,8),INDEX($D$2:$D$13,8))))</f>
        <v>0.57978723404255317</v>
      </c>
      <c r="S3">
        <f>MIN(0.999,MAX(0.001,R3+INDEX($E$2:$E$13,9)*IF(Data!C208&lt;=INDEX($B$2:$B$13,9),INDEX($C$2:$C$13,9),INDEX($D$2:$D$13,9))))</f>
        <v>0.57978723404255317</v>
      </c>
      <c r="T3">
        <f>MIN(0.999,MAX(0.001,S3+INDEX($E$2:$E$13,10)*IF(Data!C208&lt;=INDEX($B$2:$B$13,10),INDEX($C$2:$C$13,10),INDEX($D$2:$D$13,10))))</f>
        <v>0.57978723404255317</v>
      </c>
      <c r="U3">
        <f>MIN(0.999,MAX(0.001,T3+INDEX($E$2:$E$13,11)*IF(Data!C208&lt;=INDEX($B$2:$B$13,11),INDEX($C$2:$C$13,11),INDEX($D$2:$D$13,11))))</f>
        <v>0.57978723404255317</v>
      </c>
      <c r="V3">
        <f>MIN(0.999,MAX(0.001,U3+INDEX($E$2:$E$13,12)*IF(Data!C208&lt;=INDEX($B$2:$B$13,12),INDEX($C$2:$C$13,12),INDEX($D$2:$D$13,12))))</f>
        <v>0.57978723404255317</v>
      </c>
      <c r="W3">
        <f>IF(V3&gt;=Controls!$B$2,1,0)</f>
        <v>1</v>
      </c>
      <c r="X3">
        <f t="shared" si="0"/>
        <v>1</v>
      </c>
    </row>
    <row r="4" spans="1:24" x14ac:dyDescent="0.2">
      <c r="A4">
        <v>3</v>
      </c>
      <c r="B4">
        <f>INDEX(ClassTree!A2:A251,1+MOD(4*7,200))</f>
        <v>57</v>
      </c>
      <c r="C4">
        <f t="shared" si="1"/>
        <v>0</v>
      </c>
      <c r="D4">
        <f t="shared" si="2"/>
        <v>0</v>
      </c>
      <c r="E4">
        <f>Controls!$B$5</f>
        <v>0.2</v>
      </c>
      <c r="H4">
        <f>Data!A209</f>
        <v>208</v>
      </c>
      <c r="I4">
        <f>Data!L209</f>
        <v>1</v>
      </c>
      <c r="J4">
        <f>IF(Data!C209&lt;=ClassTree!$L$2,ClassTree!$L$4,ClassTree!$L$6)</f>
        <v>0.57978723404255317</v>
      </c>
      <c r="K4">
        <f>MIN(0.999,MAX(0.001,J4+INDEX($E$2:$E$13,1)*IF(Data!C209&lt;=INDEX($B$2:$B$13,1),INDEX($C$2:$C$13,1),INDEX($D$2:$D$13,1))))</f>
        <v>0.57978723404255317</v>
      </c>
      <c r="L4">
        <f>MIN(0.999,MAX(0.001,K4+INDEX($E$2:$E$13,2)*IF(Data!C209&lt;=INDEX($B$2:$B$13,2),INDEX($C$2:$C$13,2),INDEX($D$2:$D$13,2))))</f>
        <v>0.57978723404255317</v>
      </c>
      <c r="M4">
        <f>MIN(0.999,MAX(0.001,L4+INDEX($E$2:$E$13,3)*IF(Data!C209&lt;=INDEX($B$2:$B$13,3),INDEX($C$2:$C$13,3),INDEX($D$2:$D$13,3))))</f>
        <v>0.57978723404255317</v>
      </c>
      <c r="N4">
        <f>MIN(0.999,MAX(0.001,M4+INDEX($E$2:$E$13,4)*IF(Data!C209&lt;=INDEX($B$2:$B$13,4),INDEX($C$2:$C$13,4),INDEX($D$2:$D$13,4))))</f>
        <v>0.57978723404255317</v>
      </c>
      <c r="O4">
        <f>MIN(0.999,MAX(0.001,N4+INDEX($E$2:$E$13,5)*IF(Data!C209&lt;=INDEX($B$2:$B$13,5),INDEX($C$2:$C$13,5),INDEX($D$2:$D$13,5))))</f>
        <v>0.57978723404255317</v>
      </c>
      <c r="P4">
        <f>MIN(0.999,MAX(0.001,O4+INDEX($E$2:$E$13,6)*IF(Data!C209&lt;=INDEX($B$2:$B$13,6),INDEX($C$2:$C$13,6),INDEX($D$2:$D$13,6))))</f>
        <v>0.57978723404255317</v>
      </c>
      <c r="Q4">
        <f>MIN(0.999,MAX(0.001,P4+INDEX($E$2:$E$13,7)*IF(Data!C209&lt;=INDEX($B$2:$B$13,7),INDEX($C$2:$C$13,7),INDEX($D$2:$D$13,7))))</f>
        <v>0.57978723404255317</v>
      </c>
      <c r="R4">
        <f>MIN(0.999,MAX(0.001,Q4+INDEX($E$2:$E$13,8)*IF(Data!C209&lt;=INDEX($B$2:$B$13,8),INDEX($C$2:$C$13,8),INDEX($D$2:$D$13,8))))</f>
        <v>0.57978723404255317</v>
      </c>
      <c r="S4">
        <f>MIN(0.999,MAX(0.001,R4+INDEX($E$2:$E$13,9)*IF(Data!C209&lt;=INDEX($B$2:$B$13,9),INDEX($C$2:$C$13,9),INDEX($D$2:$D$13,9))))</f>
        <v>0.57978723404255317</v>
      </c>
      <c r="T4">
        <f>MIN(0.999,MAX(0.001,S4+INDEX($E$2:$E$13,10)*IF(Data!C209&lt;=INDEX($B$2:$B$13,10),INDEX($C$2:$C$13,10),INDEX($D$2:$D$13,10))))</f>
        <v>0.57978723404255317</v>
      </c>
      <c r="U4">
        <f>MIN(0.999,MAX(0.001,T4+INDEX($E$2:$E$13,11)*IF(Data!C209&lt;=INDEX($B$2:$B$13,11),INDEX($C$2:$C$13,11),INDEX($D$2:$D$13,11))))</f>
        <v>0.57978723404255317</v>
      </c>
      <c r="V4">
        <f>MIN(0.999,MAX(0.001,U4+INDEX($E$2:$E$13,12)*IF(Data!C209&lt;=INDEX($B$2:$B$13,12),INDEX($C$2:$C$13,12),INDEX($D$2:$D$13,12))))</f>
        <v>0.57978723404255317</v>
      </c>
      <c r="W4">
        <f>IF(V4&gt;=Controls!$B$2,1,0)</f>
        <v>1</v>
      </c>
      <c r="X4">
        <f t="shared" si="0"/>
        <v>1</v>
      </c>
    </row>
    <row r="5" spans="1:24" x14ac:dyDescent="0.2">
      <c r="A5">
        <v>4</v>
      </c>
      <c r="B5">
        <f>INDEX(ClassTree!A2:A251,1+MOD(5*7,200))</f>
        <v>56</v>
      </c>
      <c r="C5">
        <f t="shared" si="1"/>
        <v>0</v>
      </c>
      <c r="D5">
        <f t="shared" si="2"/>
        <v>0</v>
      </c>
      <c r="E5">
        <f>Controls!$B$5</f>
        <v>0.2</v>
      </c>
      <c r="H5">
        <f>Data!A210</f>
        <v>209</v>
      </c>
      <c r="I5">
        <f>Data!L210</f>
        <v>1</v>
      </c>
      <c r="J5">
        <f>IF(Data!C210&lt;=ClassTree!$L$2,ClassTree!$L$4,ClassTree!$L$6)</f>
        <v>0.57978723404255317</v>
      </c>
      <c r="K5">
        <f>MIN(0.999,MAX(0.001,J5+INDEX($E$2:$E$13,1)*IF(Data!C210&lt;=INDEX($B$2:$B$13,1),INDEX($C$2:$C$13,1),INDEX($D$2:$D$13,1))))</f>
        <v>0.57978723404255317</v>
      </c>
      <c r="L5">
        <f>MIN(0.999,MAX(0.001,K5+INDEX($E$2:$E$13,2)*IF(Data!C210&lt;=INDEX($B$2:$B$13,2),INDEX($C$2:$C$13,2),INDEX($D$2:$D$13,2))))</f>
        <v>0.57978723404255317</v>
      </c>
      <c r="M5">
        <f>MIN(0.999,MAX(0.001,L5+INDEX($E$2:$E$13,3)*IF(Data!C210&lt;=INDEX($B$2:$B$13,3),INDEX($C$2:$C$13,3),INDEX($D$2:$D$13,3))))</f>
        <v>0.57978723404255317</v>
      </c>
      <c r="N5">
        <f>MIN(0.999,MAX(0.001,M5+INDEX($E$2:$E$13,4)*IF(Data!C210&lt;=INDEX($B$2:$B$13,4),INDEX($C$2:$C$13,4),INDEX($D$2:$D$13,4))))</f>
        <v>0.57978723404255317</v>
      </c>
      <c r="O5">
        <f>MIN(0.999,MAX(0.001,N5+INDEX($E$2:$E$13,5)*IF(Data!C210&lt;=INDEX($B$2:$B$13,5),INDEX($C$2:$C$13,5),INDEX($D$2:$D$13,5))))</f>
        <v>0.57978723404255317</v>
      </c>
      <c r="P5">
        <f>MIN(0.999,MAX(0.001,O5+INDEX($E$2:$E$13,6)*IF(Data!C210&lt;=INDEX($B$2:$B$13,6),INDEX($C$2:$C$13,6),INDEX($D$2:$D$13,6))))</f>
        <v>0.57978723404255317</v>
      </c>
      <c r="Q5">
        <f>MIN(0.999,MAX(0.001,P5+INDEX($E$2:$E$13,7)*IF(Data!C210&lt;=INDEX($B$2:$B$13,7),INDEX($C$2:$C$13,7),INDEX($D$2:$D$13,7))))</f>
        <v>0.57978723404255317</v>
      </c>
      <c r="R5">
        <f>MIN(0.999,MAX(0.001,Q5+INDEX($E$2:$E$13,8)*IF(Data!C210&lt;=INDEX($B$2:$B$13,8),INDEX($C$2:$C$13,8),INDEX($D$2:$D$13,8))))</f>
        <v>0.57978723404255317</v>
      </c>
      <c r="S5">
        <f>MIN(0.999,MAX(0.001,R5+INDEX($E$2:$E$13,9)*IF(Data!C210&lt;=INDEX($B$2:$B$13,9),INDEX($C$2:$C$13,9),INDEX($D$2:$D$13,9))))</f>
        <v>0.57978723404255317</v>
      </c>
      <c r="T5">
        <f>MIN(0.999,MAX(0.001,S5+INDEX($E$2:$E$13,10)*IF(Data!C210&lt;=INDEX($B$2:$B$13,10),INDEX($C$2:$C$13,10),INDEX($D$2:$D$13,10))))</f>
        <v>0.57978723404255317</v>
      </c>
      <c r="U5">
        <f>MIN(0.999,MAX(0.001,T5+INDEX($E$2:$E$13,11)*IF(Data!C210&lt;=INDEX($B$2:$B$13,11),INDEX($C$2:$C$13,11),INDEX($D$2:$D$13,11))))</f>
        <v>0.57978723404255317</v>
      </c>
      <c r="V5">
        <f>MIN(0.999,MAX(0.001,U5+INDEX($E$2:$E$13,12)*IF(Data!C210&lt;=INDEX($B$2:$B$13,12),INDEX($C$2:$C$13,12),INDEX($D$2:$D$13,12))))</f>
        <v>0.57978723404255317</v>
      </c>
      <c r="W5">
        <f>IF(V5&gt;=Controls!$B$2,1,0)</f>
        <v>1</v>
      </c>
      <c r="X5">
        <f t="shared" si="0"/>
        <v>1</v>
      </c>
    </row>
    <row r="6" spans="1:24" x14ac:dyDescent="0.2">
      <c r="A6">
        <v>5</v>
      </c>
      <c r="B6">
        <f>INDEX(ClassTree!A2:A251,1+MOD(6*7,200))</f>
        <v>43</v>
      </c>
      <c r="C6">
        <f t="shared" si="1"/>
        <v>0</v>
      </c>
      <c r="D6">
        <f t="shared" si="2"/>
        <v>0</v>
      </c>
      <c r="E6">
        <f>Controls!$B$5</f>
        <v>0.2</v>
      </c>
      <c r="H6">
        <f>Data!A212</f>
        <v>211</v>
      </c>
      <c r="I6">
        <f>Data!L212</f>
        <v>1</v>
      </c>
      <c r="J6">
        <f>IF(Data!C212&lt;=ClassTree!$L$2,ClassTree!$L$4,ClassTree!$L$6)</f>
        <v>0.57978723404255317</v>
      </c>
      <c r="K6">
        <f>MIN(0.999,MAX(0.001,J6+INDEX($E$2:$E$13,1)*IF(Data!C212&lt;=INDEX($B$2:$B$13,1),INDEX($C$2:$C$13,1),INDEX($D$2:$D$13,1))))</f>
        <v>0.57978723404255317</v>
      </c>
      <c r="L6">
        <f>MIN(0.999,MAX(0.001,K6+INDEX($E$2:$E$13,2)*IF(Data!C212&lt;=INDEX($B$2:$B$13,2),INDEX($C$2:$C$13,2),INDEX($D$2:$D$13,2))))</f>
        <v>0.57978723404255317</v>
      </c>
      <c r="M6">
        <f>MIN(0.999,MAX(0.001,L6+INDEX($E$2:$E$13,3)*IF(Data!C212&lt;=INDEX($B$2:$B$13,3),INDEX($C$2:$C$13,3),INDEX($D$2:$D$13,3))))</f>
        <v>0.57978723404255317</v>
      </c>
      <c r="N6">
        <f>MIN(0.999,MAX(0.001,M6+INDEX($E$2:$E$13,4)*IF(Data!C212&lt;=INDEX($B$2:$B$13,4),INDEX($C$2:$C$13,4),INDEX($D$2:$D$13,4))))</f>
        <v>0.57978723404255317</v>
      </c>
      <c r="O6">
        <f>MIN(0.999,MAX(0.001,N6+INDEX($E$2:$E$13,5)*IF(Data!C212&lt;=INDEX($B$2:$B$13,5),INDEX($C$2:$C$13,5),INDEX($D$2:$D$13,5))))</f>
        <v>0.57978723404255317</v>
      </c>
      <c r="P6">
        <f>MIN(0.999,MAX(0.001,O6+INDEX($E$2:$E$13,6)*IF(Data!C212&lt;=INDEX($B$2:$B$13,6),INDEX($C$2:$C$13,6),INDEX($D$2:$D$13,6))))</f>
        <v>0.57978723404255317</v>
      </c>
      <c r="Q6">
        <f>MIN(0.999,MAX(0.001,P6+INDEX($E$2:$E$13,7)*IF(Data!C212&lt;=INDEX($B$2:$B$13,7),INDEX($C$2:$C$13,7),INDEX($D$2:$D$13,7))))</f>
        <v>0.57978723404255317</v>
      </c>
      <c r="R6">
        <f>MIN(0.999,MAX(0.001,Q6+INDEX($E$2:$E$13,8)*IF(Data!C212&lt;=INDEX($B$2:$B$13,8),INDEX($C$2:$C$13,8),INDEX($D$2:$D$13,8))))</f>
        <v>0.57978723404255317</v>
      </c>
      <c r="S6">
        <f>MIN(0.999,MAX(0.001,R6+INDEX($E$2:$E$13,9)*IF(Data!C212&lt;=INDEX($B$2:$B$13,9),INDEX($C$2:$C$13,9),INDEX($D$2:$D$13,9))))</f>
        <v>0.57978723404255317</v>
      </c>
      <c r="T6">
        <f>MIN(0.999,MAX(0.001,S6+INDEX($E$2:$E$13,10)*IF(Data!C212&lt;=INDEX($B$2:$B$13,10),INDEX($C$2:$C$13,10),INDEX($D$2:$D$13,10))))</f>
        <v>0.57978723404255317</v>
      </c>
      <c r="U6">
        <f>MIN(0.999,MAX(0.001,T6+INDEX($E$2:$E$13,11)*IF(Data!C212&lt;=INDEX($B$2:$B$13,11),INDEX($C$2:$C$13,11),INDEX($D$2:$D$13,11))))</f>
        <v>0.57978723404255317</v>
      </c>
      <c r="V6">
        <f>MIN(0.999,MAX(0.001,U6+INDEX($E$2:$E$13,12)*IF(Data!C212&lt;=INDEX($B$2:$B$13,12),INDEX($C$2:$C$13,12),INDEX($D$2:$D$13,12))))</f>
        <v>0.57978723404255317</v>
      </c>
      <c r="W6">
        <f>IF(V6&gt;=Controls!$B$2,1,0)</f>
        <v>1</v>
      </c>
      <c r="X6">
        <f t="shared" si="0"/>
        <v>1</v>
      </c>
    </row>
    <row r="7" spans="1:24" x14ac:dyDescent="0.2">
      <c r="A7">
        <v>6</v>
      </c>
      <c r="B7">
        <f>INDEX(ClassTree!A2:A251,1+MOD(7*7,200))</f>
        <v>33</v>
      </c>
      <c r="C7">
        <f t="shared" si="1"/>
        <v>0</v>
      </c>
      <c r="D7">
        <f t="shared" si="2"/>
        <v>0</v>
      </c>
      <c r="E7">
        <f>Controls!$B$5</f>
        <v>0.2</v>
      </c>
      <c r="H7">
        <f>Data!A214</f>
        <v>213</v>
      </c>
      <c r="I7">
        <f>Data!L214</f>
        <v>1</v>
      </c>
      <c r="J7">
        <f>IF(Data!C214&lt;=ClassTree!$L$2,ClassTree!$L$4,ClassTree!$L$6)</f>
        <v>0.57978723404255317</v>
      </c>
      <c r="K7">
        <f>MIN(0.999,MAX(0.001,J7+INDEX($E$2:$E$13,1)*IF(Data!C214&lt;=INDEX($B$2:$B$13,1),INDEX($C$2:$C$13,1),INDEX($D$2:$D$13,1))))</f>
        <v>0.57978723404255317</v>
      </c>
      <c r="L7">
        <f>MIN(0.999,MAX(0.001,K7+INDEX($E$2:$E$13,2)*IF(Data!C214&lt;=INDEX($B$2:$B$13,2),INDEX($C$2:$C$13,2),INDEX($D$2:$D$13,2))))</f>
        <v>0.57978723404255317</v>
      </c>
      <c r="M7">
        <f>MIN(0.999,MAX(0.001,L7+INDEX($E$2:$E$13,3)*IF(Data!C214&lt;=INDEX($B$2:$B$13,3),INDEX($C$2:$C$13,3),INDEX($D$2:$D$13,3))))</f>
        <v>0.57978723404255317</v>
      </c>
      <c r="N7">
        <f>MIN(0.999,MAX(0.001,M7+INDEX($E$2:$E$13,4)*IF(Data!C214&lt;=INDEX($B$2:$B$13,4),INDEX($C$2:$C$13,4),INDEX($D$2:$D$13,4))))</f>
        <v>0.57978723404255317</v>
      </c>
      <c r="O7">
        <f>MIN(0.999,MAX(0.001,N7+INDEX($E$2:$E$13,5)*IF(Data!C214&lt;=INDEX($B$2:$B$13,5),INDEX($C$2:$C$13,5),INDEX($D$2:$D$13,5))))</f>
        <v>0.57978723404255317</v>
      </c>
      <c r="P7">
        <f>MIN(0.999,MAX(0.001,O7+INDEX($E$2:$E$13,6)*IF(Data!C214&lt;=INDEX($B$2:$B$13,6),INDEX($C$2:$C$13,6),INDEX($D$2:$D$13,6))))</f>
        <v>0.57978723404255317</v>
      </c>
      <c r="Q7">
        <f>MIN(0.999,MAX(0.001,P7+INDEX($E$2:$E$13,7)*IF(Data!C214&lt;=INDEX($B$2:$B$13,7),INDEX($C$2:$C$13,7),INDEX($D$2:$D$13,7))))</f>
        <v>0.57978723404255317</v>
      </c>
      <c r="R7">
        <f>MIN(0.999,MAX(0.001,Q7+INDEX($E$2:$E$13,8)*IF(Data!C214&lt;=INDEX($B$2:$B$13,8),INDEX($C$2:$C$13,8),INDEX($D$2:$D$13,8))))</f>
        <v>0.57978723404255317</v>
      </c>
      <c r="S7">
        <f>MIN(0.999,MAX(0.001,R7+INDEX($E$2:$E$13,9)*IF(Data!C214&lt;=INDEX($B$2:$B$13,9),INDEX($C$2:$C$13,9),INDEX($D$2:$D$13,9))))</f>
        <v>0.57978723404255317</v>
      </c>
      <c r="T7">
        <f>MIN(0.999,MAX(0.001,S7+INDEX($E$2:$E$13,10)*IF(Data!C214&lt;=INDEX($B$2:$B$13,10),INDEX($C$2:$C$13,10),INDEX($D$2:$D$13,10))))</f>
        <v>0.57978723404255317</v>
      </c>
      <c r="U7">
        <f>MIN(0.999,MAX(0.001,T7+INDEX($E$2:$E$13,11)*IF(Data!C214&lt;=INDEX($B$2:$B$13,11),INDEX($C$2:$C$13,11),INDEX($D$2:$D$13,11))))</f>
        <v>0.57978723404255317</v>
      </c>
      <c r="V7">
        <f>MIN(0.999,MAX(0.001,U7+INDEX($E$2:$E$13,12)*IF(Data!C214&lt;=INDEX($B$2:$B$13,12),INDEX($C$2:$C$13,12),INDEX($D$2:$D$13,12))))</f>
        <v>0.57978723404255317</v>
      </c>
      <c r="W7">
        <f>IF(V7&gt;=Controls!$B$2,1,0)</f>
        <v>1</v>
      </c>
      <c r="X7">
        <f t="shared" si="0"/>
        <v>1</v>
      </c>
    </row>
    <row r="8" spans="1:24" x14ac:dyDescent="0.2">
      <c r="A8">
        <v>7</v>
      </c>
      <c r="B8">
        <f>INDEX(ClassTree!A2:A251,1+MOD(8*7,200))</f>
        <v>59</v>
      </c>
      <c r="C8">
        <f t="shared" si="1"/>
        <v>0</v>
      </c>
      <c r="D8">
        <f t="shared" si="2"/>
        <v>0</v>
      </c>
      <c r="E8">
        <f>Controls!$B$5</f>
        <v>0.2</v>
      </c>
      <c r="H8">
        <f>Data!A215</f>
        <v>214</v>
      </c>
      <c r="I8">
        <f>Data!L215</f>
        <v>1</v>
      </c>
      <c r="J8">
        <f>IF(Data!C215&lt;=ClassTree!$L$2,ClassTree!$L$4,ClassTree!$L$6)</f>
        <v>0.57978723404255317</v>
      </c>
      <c r="K8">
        <f>MIN(0.999,MAX(0.001,J8+INDEX($E$2:$E$13,1)*IF(Data!C215&lt;=INDEX($B$2:$B$13,1),INDEX($C$2:$C$13,1),INDEX($D$2:$D$13,1))))</f>
        <v>0.57978723404255317</v>
      </c>
      <c r="L8">
        <f>MIN(0.999,MAX(0.001,K8+INDEX($E$2:$E$13,2)*IF(Data!C215&lt;=INDEX($B$2:$B$13,2),INDEX($C$2:$C$13,2),INDEX($D$2:$D$13,2))))</f>
        <v>0.57978723404255317</v>
      </c>
      <c r="M8">
        <f>MIN(0.999,MAX(0.001,L8+INDEX($E$2:$E$13,3)*IF(Data!C215&lt;=INDEX($B$2:$B$13,3),INDEX($C$2:$C$13,3),INDEX($D$2:$D$13,3))))</f>
        <v>0.57978723404255317</v>
      </c>
      <c r="N8">
        <f>MIN(0.999,MAX(0.001,M8+INDEX($E$2:$E$13,4)*IF(Data!C215&lt;=INDEX($B$2:$B$13,4),INDEX($C$2:$C$13,4),INDEX($D$2:$D$13,4))))</f>
        <v>0.57978723404255317</v>
      </c>
      <c r="O8">
        <f>MIN(0.999,MAX(0.001,N8+INDEX($E$2:$E$13,5)*IF(Data!C215&lt;=INDEX($B$2:$B$13,5),INDEX($C$2:$C$13,5),INDEX($D$2:$D$13,5))))</f>
        <v>0.57978723404255317</v>
      </c>
      <c r="P8">
        <f>MIN(0.999,MAX(0.001,O8+INDEX($E$2:$E$13,6)*IF(Data!C215&lt;=INDEX($B$2:$B$13,6),INDEX($C$2:$C$13,6),INDEX($D$2:$D$13,6))))</f>
        <v>0.57978723404255317</v>
      </c>
      <c r="Q8">
        <f>MIN(0.999,MAX(0.001,P8+INDEX($E$2:$E$13,7)*IF(Data!C215&lt;=INDEX($B$2:$B$13,7),INDEX($C$2:$C$13,7),INDEX($D$2:$D$13,7))))</f>
        <v>0.57978723404255317</v>
      </c>
      <c r="R8">
        <f>MIN(0.999,MAX(0.001,Q8+INDEX($E$2:$E$13,8)*IF(Data!C215&lt;=INDEX($B$2:$B$13,8),INDEX($C$2:$C$13,8),INDEX($D$2:$D$13,8))))</f>
        <v>0.57978723404255317</v>
      </c>
      <c r="S8">
        <f>MIN(0.999,MAX(0.001,R8+INDEX($E$2:$E$13,9)*IF(Data!C215&lt;=INDEX($B$2:$B$13,9),INDEX($C$2:$C$13,9),INDEX($D$2:$D$13,9))))</f>
        <v>0.57978723404255317</v>
      </c>
      <c r="T8">
        <f>MIN(0.999,MAX(0.001,S8+INDEX($E$2:$E$13,10)*IF(Data!C215&lt;=INDEX($B$2:$B$13,10),INDEX($C$2:$C$13,10),INDEX($D$2:$D$13,10))))</f>
        <v>0.57978723404255317</v>
      </c>
      <c r="U8">
        <f>MIN(0.999,MAX(0.001,T8+INDEX($E$2:$E$13,11)*IF(Data!C215&lt;=INDEX($B$2:$B$13,11),INDEX($C$2:$C$13,11),INDEX($D$2:$D$13,11))))</f>
        <v>0.57978723404255317</v>
      </c>
      <c r="V8">
        <f>MIN(0.999,MAX(0.001,U8+INDEX($E$2:$E$13,12)*IF(Data!C215&lt;=INDEX($B$2:$B$13,12),INDEX($C$2:$C$13,12),INDEX($D$2:$D$13,12))))</f>
        <v>0.57978723404255317</v>
      </c>
      <c r="W8">
        <f>IF(V8&gt;=Controls!$B$2,1,0)</f>
        <v>1</v>
      </c>
      <c r="X8">
        <f t="shared" si="0"/>
        <v>1</v>
      </c>
    </row>
    <row r="9" spans="1:24" x14ac:dyDescent="0.2">
      <c r="A9">
        <v>8</v>
      </c>
      <c r="B9">
        <f>INDEX(ClassTree!A2:A251,1+MOD(9*7,200))</f>
        <v>41</v>
      </c>
      <c r="C9">
        <f t="shared" si="1"/>
        <v>0</v>
      </c>
      <c r="D9">
        <f t="shared" si="2"/>
        <v>0</v>
      </c>
      <c r="E9">
        <f>Controls!$B$5</f>
        <v>0.2</v>
      </c>
      <c r="H9">
        <f>Data!A217</f>
        <v>216</v>
      </c>
      <c r="I9">
        <f>Data!L217</f>
        <v>1</v>
      </c>
      <c r="J9">
        <f>IF(Data!C217&lt;=ClassTree!$L$2,ClassTree!$L$4,ClassTree!$L$6)</f>
        <v>0.57978723404255317</v>
      </c>
      <c r="K9">
        <f>MIN(0.999,MAX(0.001,J9+INDEX($E$2:$E$13,1)*IF(Data!C217&lt;=INDEX($B$2:$B$13,1),INDEX($C$2:$C$13,1),INDEX($D$2:$D$13,1))))</f>
        <v>0.57978723404255317</v>
      </c>
      <c r="L9">
        <f>MIN(0.999,MAX(0.001,K9+INDEX($E$2:$E$13,2)*IF(Data!C217&lt;=INDEX($B$2:$B$13,2),INDEX($C$2:$C$13,2),INDEX($D$2:$D$13,2))))</f>
        <v>0.57978723404255317</v>
      </c>
      <c r="M9">
        <f>MIN(0.999,MAX(0.001,L9+INDEX($E$2:$E$13,3)*IF(Data!C217&lt;=INDEX($B$2:$B$13,3),INDEX($C$2:$C$13,3),INDEX($D$2:$D$13,3))))</f>
        <v>0.57978723404255317</v>
      </c>
      <c r="N9">
        <f>MIN(0.999,MAX(0.001,M9+INDEX($E$2:$E$13,4)*IF(Data!C217&lt;=INDEX($B$2:$B$13,4),INDEX($C$2:$C$13,4),INDEX($D$2:$D$13,4))))</f>
        <v>0.57978723404255317</v>
      </c>
      <c r="O9">
        <f>MIN(0.999,MAX(0.001,N9+INDEX($E$2:$E$13,5)*IF(Data!C217&lt;=INDEX($B$2:$B$13,5),INDEX($C$2:$C$13,5),INDEX($D$2:$D$13,5))))</f>
        <v>0.57978723404255317</v>
      </c>
      <c r="P9">
        <f>MIN(0.999,MAX(0.001,O9+INDEX($E$2:$E$13,6)*IF(Data!C217&lt;=INDEX($B$2:$B$13,6),INDEX($C$2:$C$13,6),INDEX($D$2:$D$13,6))))</f>
        <v>0.57978723404255317</v>
      </c>
      <c r="Q9">
        <f>MIN(0.999,MAX(0.001,P9+INDEX($E$2:$E$13,7)*IF(Data!C217&lt;=INDEX($B$2:$B$13,7),INDEX($C$2:$C$13,7),INDEX($D$2:$D$13,7))))</f>
        <v>0.57978723404255317</v>
      </c>
      <c r="R9">
        <f>MIN(0.999,MAX(0.001,Q9+INDEX($E$2:$E$13,8)*IF(Data!C217&lt;=INDEX($B$2:$B$13,8),INDEX($C$2:$C$13,8),INDEX($D$2:$D$13,8))))</f>
        <v>0.57978723404255317</v>
      </c>
      <c r="S9">
        <f>MIN(0.999,MAX(0.001,R9+INDEX($E$2:$E$13,9)*IF(Data!C217&lt;=INDEX($B$2:$B$13,9),INDEX($C$2:$C$13,9),INDEX($D$2:$D$13,9))))</f>
        <v>0.57978723404255317</v>
      </c>
      <c r="T9">
        <f>MIN(0.999,MAX(0.001,S9+INDEX($E$2:$E$13,10)*IF(Data!C217&lt;=INDEX($B$2:$B$13,10),INDEX($C$2:$C$13,10),INDEX($D$2:$D$13,10))))</f>
        <v>0.57978723404255317</v>
      </c>
      <c r="U9">
        <f>MIN(0.999,MAX(0.001,T9+INDEX($E$2:$E$13,11)*IF(Data!C217&lt;=INDEX($B$2:$B$13,11),INDEX($C$2:$C$13,11),INDEX($D$2:$D$13,11))))</f>
        <v>0.57978723404255317</v>
      </c>
      <c r="V9">
        <f>MIN(0.999,MAX(0.001,U9+INDEX($E$2:$E$13,12)*IF(Data!C217&lt;=INDEX($B$2:$B$13,12),INDEX($C$2:$C$13,12),INDEX($D$2:$D$13,12))))</f>
        <v>0.57978723404255317</v>
      </c>
      <c r="W9">
        <f>IF(V9&gt;=Controls!$B$2,1,0)</f>
        <v>1</v>
      </c>
      <c r="X9">
        <f t="shared" si="0"/>
        <v>1</v>
      </c>
    </row>
    <row r="10" spans="1:24" x14ac:dyDescent="0.2">
      <c r="A10">
        <v>9</v>
      </c>
      <c r="B10">
        <f>INDEX(ClassTree!A2:A251,1+MOD(10*7,200))</f>
        <v>58</v>
      </c>
      <c r="C10">
        <f t="shared" si="1"/>
        <v>0</v>
      </c>
      <c r="D10">
        <f t="shared" si="2"/>
        <v>0</v>
      </c>
      <c r="E10">
        <f>Controls!$B$5</f>
        <v>0.2</v>
      </c>
      <c r="H10">
        <f>Data!A218</f>
        <v>217</v>
      </c>
      <c r="I10">
        <f>Data!L218</f>
        <v>1</v>
      </c>
      <c r="J10">
        <f>IF(Data!C218&lt;=ClassTree!$L$2,ClassTree!$L$4,ClassTree!$L$6)</f>
        <v>0.57978723404255317</v>
      </c>
      <c r="K10">
        <f>MIN(0.999,MAX(0.001,J10+INDEX($E$2:$E$13,1)*IF(Data!C218&lt;=INDEX($B$2:$B$13,1),INDEX($C$2:$C$13,1),INDEX($D$2:$D$13,1))))</f>
        <v>0.57978723404255317</v>
      </c>
      <c r="L10">
        <f>MIN(0.999,MAX(0.001,K10+INDEX($E$2:$E$13,2)*IF(Data!C218&lt;=INDEX($B$2:$B$13,2),INDEX($C$2:$C$13,2),INDEX($D$2:$D$13,2))))</f>
        <v>0.57978723404255317</v>
      </c>
      <c r="M10">
        <f>MIN(0.999,MAX(0.001,L10+INDEX($E$2:$E$13,3)*IF(Data!C218&lt;=INDEX($B$2:$B$13,3),INDEX($C$2:$C$13,3),INDEX($D$2:$D$13,3))))</f>
        <v>0.57978723404255317</v>
      </c>
      <c r="N10">
        <f>MIN(0.999,MAX(0.001,M10+INDEX($E$2:$E$13,4)*IF(Data!C218&lt;=INDEX($B$2:$B$13,4),INDEX($C$2:$C$13,4),INDEX($D$2:$D$13,4))))</f>
        <v>0.57978723404255317</v>
      </c>
      <c r="O10">
        <f>MIN(0.999,MAX(0.001,N10+INDEX($E$2:$E$13,5)*IF(Data!C218&lt;=INDEX($B$2:$B$13,5),INDEX($C$2:$C$13,5),INDEX($D$2:$D$13,5))))</f>
        <v>0.57978723404255317</v>
      </c>
      <c r="P10">
        <f>MIN(0.999,MAX(0.001,O10+INDEX($E$2:$E$13,6)*IF(Data!C218&lt;=INDEX($B$2:$B$13,6),INDEX($C$2:$C$13,6),INDEX($D$2:$D$13,6))))</f>
        <v>0.57978723404255317</v>
      </c>
      <c r="Q10">
        <f>MIN(0.999,MAX(0.001,P10+INDEX($E$2:$E$13,7)*IF(Data!C218&lt;=INDEX($B$2:$B$13,7),INDEX($C$2:$C$13,7),INDEX($D$2:$D$13,7))))</f>
        <v>0.57978723404255317</v>
      </c>
      <c r="R10">
        <f>MIN(0.999,MAX(0.001,Q10+INDEX($E$2:$E$13,8)*IF(Data!C218&lt;=INDEX($B$2:$B$13,8),INDEX($C$2:$C$13,8),INDEX($D$2:$D$13,8))))</f>
        <v>0.57978723404255317</v>
      </c>
      <c r="S10">
        <f>MIN(0.999,MAX(0.001,R10+INDEX($E$2:$E$13,9)*IF(Data!C218&lt;=INDEX($B$2:$B$13,9),INDEX($C$2:$C$13,9),INDEX($D$2:$D$13,9))))</f>
        <v>0.57978723404255317</v>
      </c>
      <c r="T10">
        <f>MIN(0.999,MAX(0.001,S10+INDEX($E$2:$E$13,10)*IF(Data!C218&lt;=INDEX($B$2:$B$13,10),INDEX($C$2:$C$13,10),INDEX($D$2:$D$13,10))))</f>
        <v>0.57978723404255317</v>
      </c>
      <c r="U10">
        <f>MIN(0.999,MAX(0.001,T10+INDEX($E$2:$E$13,11)*IF(Data!C218&lt;=INDEX($B$2:$B$13,11),INDEX($C$2:$C$13,11),INDEX($D$2:$D$13,11))))</f>
        <v>0.57978723404255317</v>
      </c>
      <c r="V10">
        <f>MIN(0.999,MAX(0.001,U10+INDEX($E$2:$E$13,12)*IF(Data!C218&lt;=INDEX($B$2:$B$13,12),INDEX($C$2:$C$13,12),INDEX($D$2:$D$13,12))))</f>
        <v>0.57978723404255317</v>
      </c>
      <c r="W10">
        <f>IF(V10&gt;=Controls!$B$2,1,0)</f>
        <v>1</v>
      </c>
      <c r="X10">
        <f t="shared" si="0"/>
        <v>1</v>
      </c>
    </row>
    <row r="11" spans="1:24" x14ac:dyDescent="0.2">
      <c r="A11">
        <v>10</v>
      </c>
      <c r="B11">
        <f>INDEX(ClassTree!A2:A251,1+MOD(11*7,200))</f>
        <v>23</v>
      </c>
      <c r="C11">
        <f t="shared" si="1"/>
        <v>0</v>
      </c>
      <c r="D11">
        <f t="shared" si="2"/>
        <v>0</v>
      </c>
      <c r="E11">
        <f>Controls!$B$5</f>
        <v>0.2</v>
      </c>
      <c r="H11">
        <f>Data!A220</f>
        <v>219</v>
      </c>
      <c r="I11">
        <f>Data!L220</f>
        <v>1</v>
      </c>
      <c r="J11">
        <f>IF(Data!C220&lt;=ClassTree!$L$2,ClassTree!$L$4,ClassTree!$L$6)</f>
        <v>0.57978723404255317</v>
      </c>
      <c r="K11">
        <f>MIN(0.999,MAX(0.001,J11+INDEX($E$2:$E$13,1)*IF(Data!C220&lt;=INDEX($B$2:$B$13,1),INDEX($C$2:$C$13,1),INDEX($D$2:$D$13,1))))</f>
        <v>0.57978723404255317</v>
      </c>
      <c r="L11">
        <f>MIN(0.999,MAX(0.001,K11+INDEX($E$2:$E$13,2)*IF(Data!C220&lt;=INDEX($B$2:$B$13,2),INDEX($C$2:$C$13,2),INDEX($D$2:$D$13,2))))</f>
        <v>0.57978723404255317</v>
      </c>
      <c r="M11">
        <f>MIN(0.999,MAX(0.001,L11+INDEX($E$2:$E$13,3)*IF(Data!C220&lt;=INDEX($B$2:$B$13,3),INDEX($C$2:$C$13,3),INDEX($D$2:$D$13,3))))</f>
        <v>0.57978723404255317</v>
      </c>
      <c r="N11">
        <f>MIN(0.999,MAX(0.001,M11+INDEX($E$2:$E$13,4)*IF(Data!C220&lt;=INDEX($B$2:$B$13,4),INDEX($C$2:$C$13,4),INDEX($D$2:$D$13,4))))</f>
        <v>0.57978723404255317</v>
      </c>
      <c r="O11">
        <f>MIN(0.999,MAX(0.001,N11+INDEX($E$2:$E$13,5)*IF(Data!C220&lt;=INDEX($B$2:$B$13,5),INDEX($C$2:$C$13,5),INDEX($D$2:$D$13,5))))</f>
        <v>0.57978723404255317</v>
      </c>
      <c r="P11">
        <f>MIN(0.999,MAX(0.001,O11+INDEX($E$2:$E$13,6)*IF(Data!C220&lt;=INDEX($B$2:$B$13,6),INDEX($C$2:$C$13,6),INDEX($D$2:$D$13,6))))</f>
        <v>0.57978723404255317</v>
      </c>
      <c r="Q11">
        <f>MIN(0.999,MAX(0.001,P11+INDEX($E$2:$E$13,7)*IF(Data!C220&lt;=INDEX($B$2:$B$13,7),INDEX($C$2:$C$13,7),INDEX($D$2:$D$13,7))))</f>
        <v>0.57978723404255317</v>
      </c>
      <c r="R11">
        <f>MIN(0.999,MAX(0.001,Q11+INDEX($E$2:$E$13,8)*IF(Data!C220&lt;=INDEX($B$2:$B$13,8),INDEX($C$2:$C$13,8),INDEX($D$2:$D$13,8))))</f>
        <v>0.57978723404255317</v>
      </c>
      <c r="S11">
        <f>MIN(0.999,MAX(0.001,R11+INDEX($E$2:$E$13,9)*IF(Data!C220&lt;=INDEX($B$2:$B$13,9),INDEX($C$2:$C$13,9),INDEX($D$2:$D$13,9))))</f>
        <v>0.57978723404255317</v>
      </c>
      <c r="T11">
        <f>MIN(0.999,MAX(0.001,S11+INDEX($E$2:$E$13,10)*IF(Data!C220&lt;=INDEX($B$2:$B$13,10),INDEX($C$2:$C$13,10),INDEX($D$2:$D$13,10))))</f>
        <v>0.57978723404255317</v>
      </c>
      <c r="U11">
        <f>MIN(0.999,MAX(0.001,T11+INDEX($E$2:$E$13,11)*IF(Data!C220&lt;=INDEX($B$2:$B$13,11),INDEX($C$2:$C$13,11),INDEX($D$2:$D$13,11))))</f>
        <v>0.57978723404255317</v>
      </c>
      <c r="V11">
        <f>MIN(0.999,MAX(0.001,U11+INDEX($E$2:$E$13,12)*IF(Data!C220&lt;=INDEX($B$2:$B$13,12),INDEX($C$2:$C$13,12),INDEX($D$2:$D$13,12))))</f>
        <v>0.57978723404255317</v>
      </c>
      <c r="W11">
        <f>IF(V11&gt;=Controls!$B$2,1,0)</f>
        <v>1</v>
      </c>
      <c r="X11">
        <f t="shared" si="0"/>
        <v>1</v>
      </c>
    </row>
    <row r="12" spans="1:24" x14ac:dyDescent="0.2">
      <c r="A12">
        <v>11</v>
      </c>
      <c r="B12">
        <f>INDEX(ClassTree!A2:A251,1+MOD(12*7,200))</f>
        <v>42</v>
      </c>
      <c r="C12">
        <f t="shared" si="1"/>
        <v>0</v>
      </c>
      <c r="D12">
        <f t="shared" si="2"/>
        <v>0</v>
      </c>
      <c r="E12">
        <f>Controls!$B$5</f>
        <v>0.2</v>
      </c>
      <c r="H12">
        <f>Data!A222</f>
        <v>221</v>
      </c>
      <c r="I12">
        <f>Data!L222</f>
        <v>0</v>
      </c>
      <c r="J12">
        <f>IF(Data!C222&lt;=ClassTree!$L$2,ClassTree!$L$4,ClassTree!$L$6)</f>
        <v>0.57978723404255317</v>
      </c>
      <c r="K12">
        <f>MIN(0.999,MAX(0.001,J12+INDEX($E$2:$E$13,1)*IF(Data!C222&lt;=INDEX($B$2:$B$13,1),INDEX($C$2:$C$13,1),INDEX($D$2:$D$13,1))))</f>
        <v>0.57978723404255317</v>
      </c>
      <c r="L12">
        <f>MIN(0.999,MAX(0.001,K12+INDEX($E$2:$E$13,2)*IF(Data!C222&lt;=INDEX($B$2:$B$13,2),INDEX($C$2:$C$13,2),INDEX($D$2:$D$13,2))))</f>
        <v>0.57978723404255317</v>
      </c>
      <c r="M12">
        <f>MIN(0.999,MAX(0.001,L12+INDEX($E$2:$E$13,3)*IF(Data!C222&lt;=INDEX($B$2:$B$13,3),INDEX($C$2:$C$13,3),INDEX($D$2:$D$13,3))))</f>
        <v>0.57978723404255317</v>
      </c>
      <c r="N12">
        <f>MIN(0.999,MAX(0.001,M12+INDEX($E$2:$E$13,4)*IF(Data!C222&lt;=INDEX($B$2:$B$13,4),INDEX($C$2:$C$13,4),INDEX($D$2:$D$13,4))))</f>
        <v>0.57978723404255317</v>
      </c>
      <c r="O12">
        <f>MIN(0.999,MAX(0.001,N12+INDEX($E$2:$E$13,5)*IF(Data!C222&lt;=INDEX($B$2:$B$13,5),INDEX($C$2:$C$13,5),INDEX($D$2:$D$13,5))))</f>
        <v>0.57978723404255317</v>
      </c>
      <c r="P12">
        <f>MIN(0.999,MAX(0.001,O12+INDEX($E$2:$E$13,6)*IF(Data!C222&lt;=INDEX($B$2:$B$13,6),INDEX($C$2:$C$13,6),INDEX($D$2:$D$13,6))))</f>
        <v>0.57978723404255317</v>
      </c>
      <c r="Q12">
        <f>MIN(0.999,MAX(0.001,P12+INDEX($E$2:$E$13,7)*IF(Data!C222&lt;=INDEX($B$2:$B$13,7),INDEX($C$2:$C$13,7),INDEX($D$2:$D$13,7))))</f>
        <v>0.57978723404255317</v>
      </c>
      <c r="R12">
        <f>MIN(0.999,MAX(0.001,Q12+INDEX($E$2:$E$13,8)*IF(Data!C222&lt;=INDEX($B$2:$B$13,8),INDEX($C$2:$C$13,8),INDEX($D$2:$D$13,8))))</f>
        <v>0.57978723404255317</v>
      </c>
      <c r="S12">
        <f>MIN(0.999,MAX(0.001,R12+INDEX($E$2:$E$13,9)*IF(Data!C222&lt;=INDEX($B$2:$B$13,9),INDEX($C$2:$C$13,9),INDEX($D$2:$D$13,9))))</f>
        <v>0.57978723404255317</v>
      </c>
      <c r="T12">
        <f>MIN(0.999,MAX(0.001,S12+INDEX($E$2:$E$13,10)*IF(Data!C222&lt;=INDEX($B$2:$B$13,10),INDEX($C$2:$C$13,10),INDEX($D$2:$D$13,10))))</f>
        <v>0.57978723404255317</v>
      </c>
      <c r="U12">
        <f>MIN(0.999,MAX(0.001,T12+INDEX($E$2:$E$13,11)*IF(Data!C222&lt;=INDEX($B$2:$B$13,11),INDEX($C$2:$C$13,11),INDEX($D$2:$D$13,11))))</f>
        <v>0.57978723404255317</v>
      </c>
      <c r="V12">
        <f>MIN(0.999,MAX(0.001,U12+INDEX($E$2:$E$13,12)*IF(Data!C222&lt;=INDEX($B$2:$B$13,12),INDEX($C$2:$C$13,12),INDEX($D$2:$D$13,12))))</f>
        <v>0.57978723404255317</v>
      </c>
      <c r="W12">
        <f>IF(V12&gt;=Controls!$B$2,1,0)</f>
        <v>1</v>
      </c>
      <c r="X12">
        <f t="shared" si="0"/>
        <v>0</v>
      </c>
    </row>
    <row r="13" spans="1:24" x14ac:dyDescent="0.2">
      <c r="A13">
        <v>12</v>
      </c>
      <c r="B13">
        <f>INDEX(ClassTree!A2:A251,1+MOD(13*7,200))</f>
        <v>46</v>
      </c>
      <c r="C13">
        <f t="shared" si="1"/>
        <v>0</v>
      </c>
      <c r="D13">
        <f t="shared" si="2"/>
        <v>0</v>
      </c>
      <c r="E13">
        <f>Controls!$B$5</f>
        <v>0.2</v>
      </c>
      <c r="H13">
        <f>Data!A223</f>
        <v>222</v>
      </c>
      <c r="I13">
        <f>Data!L223</f>
        <v>0</v>
      </c>
      <c r="J13">
        <f>IF(Data!C223&lt;=ClassTree!$L$2,ClassTree!$L$4,ClassTree!$L$6)</f>
        <v>0.57978723404255317</v>
      </c>
      <c r="K13">
        <f>MIN(0.999,MAX(0.001,J13+INDEX($E$2:$E$13,1)*IF(Data!C223&lt;=INDEX($B$2:$B$13,1),INDEX($C$2:$C$13,1),INDEX($D$2:$D$13,1))))</f>
        <v>0.57978723404255317</v>
      </c>
      <c r="L13">
        <f>MIN(0.999,MAX(0.001,K13+INDEX($E$2:$E$13,2)*IF(Data!C223&lt;=INDEX($B$2:$B$13,2),INDEX($C$2:$C$13,2),INDEX($D$2:$D$13,2))))</f>
        <v>0.57978723404255317</v>
      </c>
      <c r="M13">
        <f>MIN(0.999,MAX(0.001,L13+INDEX($E$2:$E$13,3)*IF(Data!C223&lt;=INDEX($B$2:$B$13,3),INDEX($C$2:$C$13,3),INDEX($D$2:$D$13,3))))</f>
        <v>0.57978723404255317</v>
      </c>
      <c r="N13">
        <f>MIN(0.999,MAX(0.001,M13+INDEX($E$2:$E$13,4)*IF(Data!C223&lt;=INDEX($B$2:$B$13,4),INDEX($C$2:$C$13,4),INDEX($D$2:$D$13,4))))</f>
        <v>0.57978723404255317</v>
      </c>
      <c r="O13">
        <f>MIN(0.999,MAX(0.001,N13+INDEX($E$2:$E$13,5)*IF(Data!C223&lt;=INDEX($B$2:$B$13,5),INDEX($C$2:$C$13,5),INDEX($D$2:$D$13,5))))</f>
        <v>0.57978723404255317</v>
      </c>
      <c r="P13">
        <f>MIN(0.999,MAX(0.001,O13+INDEX($E$2:$E$13,6)*IF(Data!C223&lt;=INDEX($B$2:$B$13,6),INDEX($C$2:$C$13,6),INDEX($D$2:$D$13,6))))</f>
        <v>0.57978723404255317</v>
      </c>
      <c r="Q13">
        <f>MIN(0.999,MAX(0.001,P13+INDEX($E$2:$E$13,7)*IF(Data!C223&lt;=INDEX($B$2:$B$13,7),INDEX($C$2:$C$13,7),INDEX($D$2:$D$13,7))))</f>
        <v>0.57978723404255317</v>
      </c>
      <c r="R13">
        <f>MIN(0.999,MAX(0.001,Q13+INDEX($E$2:$E$13,8)*IF(Data!C223&lt;=INDEX($B$2:$B$13,8),INDEX($C$2:$C$13,8),INDEX($D$2:$D$13,8))))</f>
        <v>0.57978723404255317</v>
      </c>
      <c r="S13">
        <f>MIN(0.999,MAX(0.001,R13+INDEX($E$2:$E$13,9)*IF(Data!C223&lt;=INDEX($B$2:$B$13,9),INDEX($C$2:$C$13,9),INDEX($D$2:$D$13,9))))</f>
        <v>0.57978723404255317</v>
      </c>
      <c r="T13">
        <f>MIN(0.999,MAX(0.001,S13+INDEX($E$2:$E$13,10)*IF(Data!C223&lt;=INDEX($B$2:$B$13,10),INDEX($C$2:$C$13,10),INDEX($D$2:$D$13,10))))</f>
        <v>0.57978723404255317</v>
      </c>
      <c r="U13">
        <f>MIN(0.999,MAX(0.001,T13+INDEX($E$2:$E$13,11)*IF(Data!C223&lt;=INDEX($B$2:$B$13,11),INDEX($C$2:$C$13,11),INDEX($D$2:$D$13,11))))</f>
        <v>0.57978723404255317</v>
      </c>
      <c r="V13">
        <f>MIN(0.999,MAX(0.001,U13+INDEX($E$2:$E$13,12)*IF(Data!C223&lt;=INDEX($B$2:$B$13,12),INDEX($C$2:$C$13,12),INDEX($D$2:$D$13,12))))</f>
        <v>0.57978723404255317</v>
      </c>
      <c r="W13">
        <f>IF(V13&gt;=Controls!$B$2,1,0)</f>
        <v>1</v>
      </c>
      <c r="X13">
        <f t="shared" si="0"/>
        <v>0</v>
      </c>
    </row>
    <row r="14" spans="1:24" x14ac:dyDescent="0.2">
      <c r="H14">
        <f>Data!A224</f>
        <v>223</v>
      </c>
      <c r="I14">
        <f>Data!L224</f>
        <v>0</v>
      </c>
      <c r="J14">
        <f>IF(Data!C224&lt;=ClassTree!$L$2,ClassTree!$L$4,ClassTree!$L$6)</f>
        <v>0.57978723404255317</v>
      </c>
      <c r="K14">
        <f>MIN(0.999,MAX(0.001,J14+INDEX($E$2:$E$13,1)*IF(Data!C224&lt;=INDEX($B$2:$B$13,1),INDEX($C$2:$C$13,1),INDEX($D$2:$D$13,1))))</f>
        <v>0.57978723404255317</v>
      </c>
      <c r="L14">
        <f>MIN(0.999,MAX(0.001,K14+INDEX($E$2:$E$13,2)*IF(Data!C224&lt;=INDEX($B$2:$B$13,2),INDEX($C$2:$C$13,2),INDEX($D$2:$D$13,2))))</f>
        <v>0.57978723404255317</v>
      </c>
      <c r="M14">
        <f>MIN(0.999,MAX(0.001,L14+INDEX($E$2:$E$13,3)*IF(Data!C224&lt;=INDEX($B$2:$B$13,3),INDEX($C$2:$C$13,3),INDEX($D$2:$D$13,3))))</f>
        <v>0.57978723404255317</v>
      </c>
      <c r="N14">
        <f>MIN(0.999,MAX(0.001,M14+INDEX($E$2:$E$13,4)*IF(Data!C224&lt;=INDEX($B$2:$B$13,4),INDEX($C$2:$C$13,4),INDEX($D$2:$D$13,4))))</f>
        <v>0.57978723404255317</v>
      </c>
      <c r="O14">
        <f>MIN(0.999,MAX(0.001,N14+INDEX($E$2:$E$13,5)*IF(Data!C224&lt;=INDEX($B$2:$B$13,5),INDEX($C$2:$C$13,5),INDEX($D$2:$D$13,5))))</f>
        <v>0.57978723404255317</v>
      </c>
      <c r="P14">
        <f>MIN(0.999,MAX(0.001,O14+INDEX($E$2:$E$13,6)*IF(Data!C224&lt;=INDEX($B$2:$B$13,6),INDEX($C$2:$C$13,6),INDEX($D$2:$D$13,6))))</f>
        <v>0.57978723404255317</v>
      </c>
      <c r="Q14">
        <f>MIN(0.999,MAX(0.001,P14+INDEX($E$2:$E$13,7)*IF(Data!C224&lt;=INDEX($B$2:$B$13,7),INDEX($C$2:$C$13,7),INDEX($D$2:$D$13,7))))</f>
        <v>0.57978723404255317</v>
      </c>
      <c r="R14">
        <f>MIN(0.999,MAX(0.001,Q14+INDEX($E$2:$E$13,8)*IF(Data!C224&lt;=INDEX($B$2:$B$13,8),INDEX($C$2:$C$13,8),INDEX($D$2:$D$13,8))))</f>
        <v>0.57978723404255317</v>
      </c>
      <c r="S14">
        <f>MIN(0.999,MAX(0.001,R14+INDEX($E$2:$E$13,9)*IF(Data!C224&lt;=INDEX($B$2:$B$13,9),INDEX($C$2:$C$13,9),INDEX($D$2:$D$13,9))))</f>
        <v>0.57978723404255317</v>
      </c>
      <c r="T14">
        <f>MIN(0.999,MAX(0.001,S14+INDEX($E$2:$E$13,10)*IF(Data!C224&lt;=INDEX($B$2:$B$13,10),INDEX($C$2:$C$13,10),INDEX($D$2:$D$13,10))))</f>
        <v>0.57978723404255317</v>
      </c>
      <c r="U14">
        <f>MIN(0.999,MAX(0.001,T14+INDEX($E$2:$E$13,11)*IF(Data!C224&lt;=INDEX($B$2:$B$13,11),INDEX($C$2:$C$13,11),INDEX($D$2:$D$13,11))))</f>
        <v>0.57978723404255317</v>
      </c>
      <c r="V14">
        <f>MIN(0.999,MAX(0.001,U14+INDEX($E$2:$E$13,12)*IF(Data!C224&lt;=INDEX($B$2:$B$13,12),INDEX($C$2:$C$13,12),INDEX($D$2:$D$13,12))))</f>
        <v>0.57978723404255317</v>
      </c>
      <c r="W14">
        <f>IF(V14&gt;=Controls!$B$2,1,0)</f>
        <v>1</v>
      </c>
      <c r="X14">
        <f t="shared" si="0"/>
        <v>0</v>
      </c>
    </row>
    <row r="15" spans="1:24" x14ac:dyDescent="0.2">
      <c r="H15">
        <f>Data!A225</f>
        <v>224</v>
      </c>
      <c r="I15">
        <f>Data!L225</f>
        <v>1</v>
      </c>
      <c r="J15">
        <f>IF(Data!C225&lt;=ClassTree!$L$2,ClassTree!$L$4,ClassTree!$L$6)</f>
        <v>0.57978723404255317</v>
      </c>
      <c r="K15">
        <f>MIN(0.999,MAX(0.001,J15+INDEX($E$2:$E$13,1)*IF(Data!C225&lt;=INDEX($B$2:$B$13,1),INDEX($C$2:$C$13,1),INDEX($D$2:$D$13,1))))</f>
        <v>0.57978723404255317</v>
      </c>
      <c r="L15">
        <f>MIN(0.999,MAX(0.001,K15+INDEX($E$2:$E$13,2)*IF(Data!C225&lt;=INDEX($B$2:$B$13,2),INDEX($C$2:$C$13,2),INDEX($D$2:$D$13,2))))</f>
        <v>0.57978723404255317</v>
      </c>
      <c r="M15">
        <f>MIN(0.999,MAX(0.001,L15+INDEX($E$2:$E$13,3)*IF(Data!C225&lt;=INDEX($B$2:$B$13,3),INDEX($C$2:$C$13,3),INDEX($D$2:$D$13,3))))</f>
        <v>0.57978723404255317</v>
      </c>
      <c r="N15">
        <f>MIN(0.999,MAX(0.001,M15+INDEX($E$2:$E$13,4)*IF(Data!C225&lt;=INDEX($B$2:$B$13,4),INDEX($C$2:$C$13,4),INDEX($D$2:$D$13,4))))</f>
        <v>0.57978723404255317</v>
      </c>
      <c r="O15">
        <f>MIN(0.999,MAX(0.001,N15+INDEX($E$2:$E$13,5)*IF(Data!C225&lt;=INDEX($B$2:$B$13,5),INDEX($C$2:$C$13,5),INDEX($D$2:$D$13,5))))</f>
        <v>0.57978723404255317</v>
      </c>
      <c r="P15">
        <f>MIN(0.999,MAX(0.001,O15+INDEX($E$2:$E$13,6)*IF(Data!C225&lt;=INDEX($B$2:$B$13,6),INDEX($C$2:$C$13,6),INDEX($D$2:$D$13,6))))</f>
        <v>0.57978723404255317</v>
      </c>
      <c r="Q15">
        <f>MIN(0.999,MAX(0.001,P15+INDEX($E$2:$E$13,7)*IF(Data!C225&lt;=INDEX($B$2:$B$13,7),INDEX($C$2:$C$13,7),INDEX($D$2:$D$13,7))))</f>
        <v>0.57978723404255317</v>
      </c>
      <c r="R15">
        <f>MIN(0.999,MAX(0.001,Q15+INDEX($E$2:$E$13,8)*IF(Data!C225&lt;=INDEX($B$2:$B$13,8),INDEX($C$2:$C$13,8),INDEX($D$2:$D$13,8))))</f>
        <v>0.57978723404255317</v>
      </c>
      <c r="S15">
        <f>MIN(0.999,MAX(0.001,R15+INDEX($E$2:$E$13,9)*IF(Data!C225&lt;=INDEX($B$2:$B$13,9),INDEX($C$2:$C$13,9),INDEX($D$2:$D$13,9))))</f>
        <v>0.57978723404255317</v>
      </c>
      <c r="T15">
        <f>MIN(0.999,MAX(0.001,S15+INDEX($E$2:$E$13,10)*IF(Data!C225&lt;=INDEX($B$2:$B$13,10),INDEX($C$2:$C$13,10),INDEX($D$2:$D$13,10))))</f>
        <v>0.57978723404255317</v>
      </c>
      <c r="U15">
        <f>MIN(0.999,MAX(0.001,T15+INDEX($E$2:$E$13,11)*IF(Data!C225&lt;=INDEX($B$2:$B$13,11),INDEX($C$2:$C$13,11),INDEX($D$2:$D$13,11))))</f>
        <v>0.57978723404255317</v>
      </c>
      <c r="V15">
        <f>MIN(0.999,MAX(0.001,U15+INDEX($E$2:$E$13,12)*IF(Data!C225&lt;=INDEX($B$2:$B$13,12),INDEX($C$2:$C$13,12),INDEX($D$2:$D$13,12))))</f>
        <v>0.57978723404255317</v>
      </c>
      <c r="W15">
        <f>IF(V15&gt;=Controls!$B$2,1,0)</f>
        <v>1</v>
      </c>
      <c r="X15">
        <f t="shared" si="0"/>
        <v>1</v>
      </c>
    </row>
    <row r="16" spans="1:24" x14ac:dyDescent="0.2">
      <c r="H16">
        <f>Data!A226</f>
        <v>225</v>
      </c>
      <c r="I16">
        <f>Data!L226</f>
        <v>0</v>
      </c>
      <c r="J16">
        <f>IF(Data!C226&lt;=ClassTree!$L$2,ClassTree!$L$4,ClassTree!$L$6)</f>
        <v>4.5454545454545456E-2</v>
      </c>
      <c r="K16">
        <f>MIN(0.999,MAX(0.001,J16+INDEX($E$2:$E$13,1)*IF(Data!C226&lt;=INDEX($B$2:$B$13,1),INDEX($C$2:$C$13,1),INDEX($D$2:$D$13,1))))</f>
        <v>4.5454545454545456E-2</v>
      </c>
      <c r="L16">
        <f>MIN(0.999,MAX(0.001,K16+INDEX($E$2:$E$13,2)*IF(Data!C226&lt;=INDEX($B$2:$B$13,2),INDEX($C$2:$C$13,2),INDEX($D$2:$D$13,2))))</f>
        <v>4.5454545454545456E-2</v>
      </c>
      <c r="M16">
        <f>MIN(0.999,MAX(0.001,L16+INDEX($E$2:$E$13,3)*IF(Data!C226&lt;=INDEX($B$2:$B$13,3),INDEX($C$2:$C$13,3),INDEX($D$2:$D$13,3))))</f>
        <v>4.5454545454545456E-2</v>
      </c>
      <c r="N16">
        <f>MIN(0.999,MAX(0.001,M16+INDEX($E$2:$E$13,4)*IF(Data!C226&lt;=INDEX($B$2:$B$13,4),INDEX($C$2:$C$13,4),INDEX($D$2:$D$13,4))))</f>
        <v>4.5454545454545456E-2</v>
      </c>
      <c r="O16">
        <f>MIN(0.999,MAX(0.001,N16+INDEX($E$2:$E$13,5)*IF(Data!C226&lt;=INDEX($B$2:$B$13,5),INDEX($C$2:$C$13,5),INDEX($D$2:$D$13,5))))</f>
        <v>4.5454545454545456E-2</v>
      </c>
      <c r="P16">
        <f>MIN(0.999,MAX(0.001,O16+INDEX($E$2:$E$13,6)*IF(Data!C226&lt;=INDEX($B$2:$B$13,6),INDEX($C$2:$C$13,6),INDEX($D$2:$D$13,6))))</f>
        <v>4.5454545454545456E-2</v>
      </c>
      <c r="Q16">
        <f>MIN(0.999,MAX(0.001,P16+INDEX($E$2:$E$13,7)*IF(Data!C226&lt;=INDEX($B$2:$B$13,7),INDEX($C$2:$C$13,7),INDEX($D$2:$D$13,7))))</f>
        <v>4.5454545454545456E-2</v>
      </c>
      <c r="R16">
        <f>MIN(0.999,MAX(0.001,Q16+INDEX($E$2:$E$13,8)*IF(Data!C226&lt;=INDEX($B$2:$B$13,8),INDEX($C$2:$C$13,8),INDEX($D$2:$D$13,8))))</f>
        <v>4.5454545454545456E-2</v>
      </c>
      <c r="S16">
        <f>MIN(0.999,MAX(0.001,R16+INDEX($E$2:$E$13,9)*IF(Data!C226&lt;=INDEX($B$2:$B$13,9),INDEX($C$2:$C$13,9),INDEX($D$2:$D$13,9))))</f>
        <v>4.5454545454545456E-2</v>
      </c>
      <c r="T16">
        <f>MIN(0.999,MAX(0.001,S16+INDEX($E$2:$E$13,10)*IF(Data!C226&lt;=INDEX($B$2:$B$13,10),INDEX($C$2:$C$13,10),INDEX($D$2:$D$13,10))))</f>
        <v>4.5454545454545456E-2</v>
      </c>
      <c r="U16">
        <f>MIN(0.999,MAX(0.001,T16+INDEX($E$2:$E$13,11)*IF(Data!C226&lt;=INDEX($B$2:$B$13,11),INDEX($C$2:$C$13,11),INDEX($D$2:$D$13,11))))</f>
        <v>4.5454545454545456E-2</v>
      </c>
      <c r="V16">
        <f>MIN(0.999,MAX(0.001,U16+INDEX($E$2:$E$13,12)*IF(Data!C226&lt;=INDEX($B$2:$B$13,12),INDEX($C$2:$C$13,12),INDEX($D$2:$D$13,12))))</f>
        <v>4.5454545454545456E-2</v>
      </c>
      <c r="W16">
        <f>IF(V16&gt;=Controls!$B$2,1,0)</f>
        <v>0</v>
      </c>
      <c r="X16">
        <f t="shared" si="0"/>
        <v>1</v>
      </c>
    </row>
    <row r="17" spans="8:24" x14ac:dyDescent="0.2">
      <c r="H17">
        <f>Data!A227</f>
        <v>226</v>
      </c>
      <c r="I17">
        <f>Data!L227</f>
        <v>0</v>
      </c>
      <c r="J17">
        <f>IF(Data!C227&lt;=ClassTree!$L$2,ClassTree!$L$4,ClassTree!$L$6)</f>
        <v>0.57978723404255317</v>
      </c>
      <c r="K17">
        <f>MIN(0.999,MAX(0.001,J17+INDEX($E$2:$E$13,1)*IF(Data!C227&lt;=INDEX($B$2:$B$13,1),INDEX($C$2:$C$13,1),INDEX($D$2:$D$13,1))))</f>
        <v>0.57978723404255317</v>
      </c>
      <c r="L17">
        <f>MIN(0.999,MAX(0.001,K17+INDEX($E$2:$E$13,2)*IF(Data!C227&lt;=INDEX($B$2:$B$13,2),INDEX($C$2:$C$13,2),INDEX($D$2:$D$13,2))))</f>
        <v>0.57978723404255317</v>
      </c>
      <c r="M17">
        <f>MIN(0.999,MAX(0.001,L17+INDEX($E$2:$E$13,3)*IF(Data!C227&lt;=INDEX($B$2:$B$13,3),INDEX($C$2:$C$13,3),INDEX($D$2:$D$13,3))))</f>
        <v>0.57978723404255317</v>
      </c>
      <c r="N17">
        <f>MIN(0.999,MAX(0.001,M17+INDEX($E$2:$E$13,4)*IF(Data!C227&lt;=INDEX($B$2:$B$13,4),INDEX($C$2:$C$13,4),INDEX($D$2:$D$13,4))))</f>
        <v>0.57978723404255317</v>
      </c>
      <c r="O17">
        <f>MIN(0.999,MAX(0.001,N17+INDEX($E$2:$E$13,5)*IF(Data!C227&lt;=INDEX($B$2:$B$13,5),INDEX($C$2:$C$13,5),INDEX($D$2:$D$13,5))))</f>
        <v>0.57978723404255317</v>
      </c>
      <c r="P17">
        <f>MIN(0.999,MAX(0.001,O17+INDEX($E$2:$E$13,6)*IF(Data!C227&lt;=INDEX($B$2:$B$13,6),INDEX($C$2:$C$13,6),INDEX($D$2:$D$13,6))))</f>
        <v>0.57978723404255317</v>
      </c>
      <c r="Q17">
        <f>MIN(0.999,MAX(0.001,P17+INDEX($E$2:$E$13,7)*IF(Data!C227&lt;=INDEX($B$2:$B$13,7),INDEX($C$2:$C$13,7),INDEX($D$2:$D$13,7))))</f>
        <v>0.57978723404255317</v>
      </c>
      <c r="R17">
        <f>MIN(0.999,MAX(0.001,Q17+INDEX($E$2:$E$13,8)*IF(Data!C227&lt;=INDEX($B$2:$B$13,8),INDEX($C$2:$C$13,8),INDEX($D$2:$D$13,8))))</f>
        <v>0.57978723404255317</v>
      </c>
      <c r="S17">
        <f>MIN(0.999,MAX(0.001,R17+INDEX($E$2:$E$13,9)*IF(Data!C227&lt;=INDEX($B$2:$B$13,9),INDEX($C$2:$C$13,9),INDEX($D$2:$D$13,9))))</f>
        <v>0.57978723404255317</v>
      </c>
      <c r="T17">
        <f>MIN(0.999,MAX(0.001,S17+INDEX($E$2:$E$13,10)*IF(Data!C227&lt;=INDEX($B$2:$B$13,10),INDEX($C$2:$C$13,10),INDEX($D$2:$D$13,10))))</f>
        <v>0.57978723404255317</v>
      </c>
      <c r="U17">
        <f>MIN(0.999,MAX(0.001,T17+INDEX($E$2:$E$13,11)*IF(Data!C227&lt;=INDEX($B$2:$B$13,11),INDEX($C$2:$C$13,11),INDEX($D$2:$D$13,11))))</f>
        <v>0.57978723404255317</v>
      </c>
      <c r="V17">
        <f>MIN(0.999,MAX(0.001,U17+INDEX($E$2:$E$13,12)*IF(Data!C227&lt;=INDEX($B$2:$B$13,12),INDEX($C$2:$C$13,12),INDEX($D$2:$D$13,12))))</f>
        <v>0.57978723404255317</v>
      </c>
      <c r="W17">
        <f>IF(V17&gt;=Controls!$B$2,1,0)</f>
        <v>1</v>
      </c>
      <c r="X17">
        <f t="shared" si="0"/>
        <v>0</v>
      </c>
    </row>
    <row r="18" spans="8:24" x14ac:dyDescent="0.2">
      <c r="H18">
        <f>Data!A228</f>
        <v>227</v>
      </c>
      <c r="I18">
        <f>Data!L228</f>
        <v>0</v>
      </c>
      <c r="J18">
        <f>IF(Data!C228&lt;=ClassTree!$L$2,ClassTree!$L$4,ClassTree!$L$6)</f>
        <v>4.5454545454545456E-2</v>
      </c>
      <c r="K18">
        <f>MIN(0.999,MAX(0.001,J18+INDEX($E$2:$E$13,1)*IF(Data!C228&lt;=INDEX($B$2:$B$13,1),INDEX($C$2:$C$13,1),INDEX($D$2:$D$13,1))))</f>
        <v>4.5454545454545456E-2</v>
      </c>
      <c r="L18">
        <f>MIN(0.999,MAX(0.001,K18+INDEX($E$2:$E$13,2)*IF(Data!C228&lt;=INDEX($B$2:$B$13,2),INDEX($C$2:$C$13,2),INDEX($D$2:$D$13,2))))</f>
        <v>4.5454545454545456E-2</v>
      </c>
      <c r="M18">
        <f>MIN(0.999,MAX(0.001,L18+INDEX($E$2:$E$13,3)*IF(Data!C228&lt;=INDEX($B$2:$B$13,3),INDEX($C$2:$C$13,3),INDEX($D$2:$D$13,3))))</f>
        <v>4.5454545454545456E-2</v>
      </c>
      <c r="N18">
        <f>MIN(0.999,MAX(0.001,M18+INDEX($E$2:$E$13,4)*IF(Data!C228&lt;=INDEX($B$2:$B$13,4),INDEX($C$2:$C$13,4),INDEX($D$2:$D$13,4))))</f>
        <v>4.5454545454545456E-2</v>
      </c>
      <c r="O18">
        <f>MIN(0.999,MAX(0.001,N18+INDEX($E$2:$E$13,5)*IF(Data!C228&lt;=INDEX($B$2:$B$13,5),INDEX($C$2:$C$13,5),INDEX($D$2:$D$13,5))))</f>
        <v>4.5454545454545456E-2</v>
      </c>
      <c r="P18">
        <f>MIN(0.999,MAX(0.001,O18+INDEX($E$2:$E$13,6)*IF(Data!C228&lt;=INDEX($B$2:$B$13,6),INDEX($C$2:$C$13,6),INDEX($D$2:$D$13,6))))</f>
        <v>4.5454545454545456E-2</v>
      </c>
      <c r="Q18">
        <f>MIN(0.999,MAX(0.001,P18+INDEX($E$2:$E$13,7)*IF(Data!C228&lt;=INDEX($B$2:$B$13,7),INDEX($C$2:$C$13,7),INDEX($D$2:$D$13,7))))</f>
        <v>4.5454545454545456E-2</v>
      </c>
      <c r="R18">
        <f>MIN(0.999,MAX(0.001,Q18+INDEX($E$2:$E$13,8)*IF(Data!C228&lt;=INDEX($B$2:$B$13,8),INDEX($C$2:$C$13,8),INDEX($D$2:$D$13,8))))</f>
        <v>4.5454545454545456E-2</v>
      </c>
      <c r="S18">
        <f>MIN(0.999,MAX(0.001,R18+INDEX($E$2:$E$13,9)*IF(Data!C228&lt;=INDEX($B$2:$B$13,9),INDEX($C$2:$C$13,9),INDEX($D$2:$D$13,9))))</f>
        <v>4.5454545454545456E-2</v>
      </c>
      <c r="T18">
        <f>MIN(0.999,MAX(0.001,S18+INDEX($E$2:$E$13,10)*IF(Data!C228&lt;=INDEX($B$2:$B$13,10),INDEX($C$2:$C$13,10),INDEX($D$2:$D$13,10))))</f>
        <v>4.5454545454545456E-2</v>
      </c>
      <c r="U18">
        <f>MIN(0.999,MAX(0.001,T18+INDEX($E$2:$E$13,11)*IF(Data!C228&lt;=INDEX($B$2:$B$13,11),INDEX($C$2:$C$13,11),INDEX($D$2:$D$13,11))))</f>
        <v>4.5454545454545456E-2</v>
      </c>
      <c r="V18">
        <f>MIN(0.999,MAX(0.001,U18+INDEX($E$2:$E$13,12)*IF(Data!C228&lt;=INDEX($B$2:$B$13,12),INDEX($C$2:$C$13,12),INDEX($D$2:$D$13,12))))</f>
        <v>4.5454545454545456E-2</v>
      </c>
      <c r="W18">
        <f>IF(V18&gt;=Controls!$B$2,1,0)</f>
        <v>0</v>
      </c>
      <c r="X18">
        <f t="shared" si="0"/>
        <v>1</v>
      </c>
    </row>
    <row r="19" spans="8:24" x14ac:dyDescent="0.2">
      <c r="H19">
        <f>Data!A229</f>
        <v>228</v>
      </c>
      <c r="I19">
        <f>Data!L229</f>
        <v>0</v>
      </c>
      <c r="J19">
        <f>IF(Data!C229&lt;=ClassTree!$L$2,ClassTree!$L$4,ClassTree!$L$6)</f>
        <v>0.57978723404255317</v>
      </c>
      <c r="K19">
        <f>MIN(0.999,MAX(0.001,J19+INDEX($E$2:$E$13,1)*IF(Data!C229&lt;=INDEX($B$2:$B$13,1),INDEX($C$2:$C$13,1),INDEX($D$2:$D$13,1))))</f>
        <v>0.57978723404255317</v>
      </c>
      <c r="L19">
        <f>MIN(0.999,MAX(0.001,K19+INDEX($E$2:$E$13,2)*IF(Data!C229&lt;=INDEX($B$2:$B$13,2),INDEX($C$2:$C$13,2),INDEX($D$2:$D$13,2))))</f>
        <v>0.57978723404255317</v>
      </c>
      <c r="M19">
        <f>MIN(0.999,MAX(0.001,L19+INDEX($E$2:$E$13,3)*IF(Data!C229&lt;=INDEX($B$2:$B$13,3),INDEX($C$2:$C$13,3),INDEX($D$2:$D$13,3))))</f>
        <v>0.57978723404255317</v>
      </c>
      <c r="N19">
        <f>MIN(0.999,MAX(0.001,M19+INDEX($E$2:$E$13,4)*IF(Data!C229&lt;=INDEX($B$2:$B$13,4),INDEX($C$2:$C$13,4),INDEX($D$2:$D$13,4))))</f>
        <v>0.57978723404255317</v>
      </c>
      <c r="O19">
        <f>MIN(0.999,MAX(0.001,N19+INDEX($E$2:$E$13,5)*IF(Data!C229&lt;=INDEX($B$2:$B$13,5),INDEX($C$2:$C$13,5),INDEX($D$2:$D$13,5))))</f>
        <v>0.57978723404255317</v>
      </c>
      <c r="P19">
        <f>MIN(0.999,MAX(0.001,O19+INDEX($E$2:$E$13,6)*IF(Data!C229&lt;=INDEX($B$2:$B$13,6),INDEX($C$2:$C$13,6),INDEX($D$2:$D$13,6))))</f>
        <v>0.57978723404255317</v>
      </c>
      <c r="Q19">
        <f>MIN(0.999,MAX(0.001,P19+INDEX($E$2:$E$13,7)*IF(Data!C229&lt;=INDEX($B$2:$B$13,7),INDEX($C$2:$C$13,7),INDEX($D$2:$D$13,7))))</f>
        <v>0.57978723404255317</v>
      </c>
      <c r="R19">
        <f>MIN(0.999,MAX(0.001,Q19+INDEX($E$2:$E$13,8)*IF(Data!C229&lt;=INDEX($B$2:$B$13,8),INDEX($C$2:$C$13,8),INDEX($D$2:$D$13,8))))</f>
        <v>0.57978723404255317</v>
      </c>
      <c r="S19">
        <f>MIN(0.999,MAX(0.001,R19+INDEX($E$2:$E$13,9)*IF(Data!C229&lt;=INDEX($B$2:$B$13,9),INDEX($C$2:$C$13,9),INDEX($D$2:$D$13,9))))</f>
        <v>0.57978723404255317</v>
      </c>
      <c r="T19">
        <f>MIN(0.999,MAX(0.001,S19+INDEX($E$2:$E$13,10)*IF(Data!C229&lt;=INDEX($B$2:$B$13,10),INDEX($C$2:$C$13,10),INDEX($D$2:$D$13,10))))</f>
        <v>0.57978723404255317</v>
      </c>
      <c r="U19">
        <f>MIN(0.999,MAX(0.001,T19+INDEX($E$2:$E$13,11)*IF(Data!C229&lt;=INDEX($B$2:$B$13,11),INDEX($C$2:$C$13,11),INDEX($D$2:$D$13,11))))</f>
        <v>0.57978723404255317</v>
      </c>
      <c r="V19">
        <f>MIN(0.999,MAX(0.001,U19+INDEX($E$2:$E$13,12)*IF(Data!C229&lt;=INDEX($B$2:$B$13,12),INDEX($C$2:$C$13,12),INDEX($D$2:$D$13,12))))</f>
        <v>0.57978723404255317</v>
      </c>
      <c r="W19">
        <f>IF(V19&gt;=Controls!$B$2,1,0)</f>
        <v>1</v>
      </c>
      <c r="X19">
        <f t="shared" si="0"/>
        <v>0</v>
      </c>
    </row>
    <row r="20" spans="8:24" x14ac:dyDescent="0.2">
      <c r="H20">
        <f>Data!A230</f>
        <v>229</v>
      </c>
      <c r="I20">
        <f>Data!L230</f>
        <v>1</v>
      </c>
      <c r="J20">
        <f>IF(Data!C230&lt;=ClassTree!$L$2,ClassTree!$L$4,ClassTree!$L$6)</f>
        <v>0.57978723404255317</v>
      </c>
      <c r="K20">
        <f>MIN(0.999,MAX(0.001,J20+INDEX($E$2:$E$13,1)*IF(Data!C230&lt;=INDEX($B$2:$B$13,1),INDEX($C$2:$C$13,1),INDEX($D$2:$D$13,1))))</f>
        <v>0.57978723404255317</v>
      </c>
      <c r="L20">
        <f>MIN(0.999,MAX(0.001,K20+INDEX($E$2:$E$13,2)*IF(Data!C230&lt;=INDEX($B$2:$B$13,2),INDEX($C$2:$C$13,2),INDEX($D$2:$D$13,2))))</f>
        <v>0.57978723404255317</v>
      </c>
      <c r="M20">
        <f>MIN(0.999,MAX(0.001,L20+INDEX($E$2:$E$13,3)*IF(Data!C230&lt;=INDEX($B$2:$B$13,3),INDEX($C$2:$C$13,3),INDEX($D$2:$D$13,3))))</f>
        <v>0.57978723404255317</v>
      </c>
      <c r="N20">
        <f>MIN(0.999,MAX(0.001,M20+INDEX($E$2:$E$13,4)*IF(Data!C230&lt;=INDEX($B$2:$B$13,4),INDEX($C$2:$C$13,4),INDEX($D$2:$D$13,4))))</f>
        <v>0.57978723404255317</v>
      </c>
      <c r="O20">
        <f>MIN(0.999,MAX(0.001,N20+INDEX($E$2:$E$13,5)*IF(Data!C230&lt;=INDEX($B$2:$B$13,5),INDEX($C$2:$C$13,5),INDEX($D$2:$D$13,5))))</f>
        <v>0.57978723404255317</v>
      </c>
      <c r="P20">
        <f>MIN(0.999,MAX(0.001,O20+INDEX($E$2:$E$13,6)*IF(Data!C230&lt;=INDEX($B$2:$B$13,6),INDEX($C$2:$C$13,6),INDEX($D$2:$D$13,6))))</f>
        <v>0.57978723404255317</v>
      </c>
      <c r="Q20">
        <f>MIN(0.999,MAX(0.001,P20+INDEX($E$2:$E$13,7)*IF(Data!C230&lt;=INDEX($B$2:$B$13,7),INDEX($C$2:$C$13,7),INDEX($D$2:$D$13,7))))</f>
        <v>0.57978723404255317</v>
      </c>
      <c r="R20">
        <f>MIN(0.999,MAX(0.001,Q20+INDEX($E$2:$E$13,8)*IF(Data!C230&lt;=INDEX($B$2:$B$13,8),INDEX($C$2:$C$13,8),INDEX($D$2:$D$13,8))))</f>
        <v>0.57978723404255317</v>
      </c>
      <c r="S20">
        <f>MIN(0.999,MAX(0.001,R20+INDEX($E$2:$E$13,9)*IF(Data!C230&lt;=INDEX($B$2:$B$13,9),INDEX($C$2:$C$13,9),INDEX($D$2:$D$13,9))))</f>
        <v>0.57978723404255317</v>
      </c>
      <c r="T20">
        <f>MIN(0.999,MAX(0.001,S20+INDEX($E$2:$E$13,10)*IF(Data!C230&lt;=INDEX($B$2:$B$13,10),INDEX($C$2:$C$13,10),INDEX($D$2:$D$13,10))))</f>
        <v>0.57978723404255317</v>
      </c>
      <c r="U20">
        <f>MIN(0.999,MAX(0.001,T20+INDEX($E$2:$E$13,11)*IF(Data!C230&lt;=INDEX($B$2:$B$13,11),INDEX($C$2:$C$13,11),INDEX($D$2:$D$13,11))))</f>
        <v>0.57978723404255317</v>
      </c>
      <c r="V20">
        <f>MIN(0.999,MAX(0.001,U20+INDEX($E$2:$E$13,12)*IF(Data!C230&lt;=INDEX($B$2:$B$13,12),INDEX($C$2:$C$13,12),INDEX($D$2:$D$13,12))))</f>
        <v>0.57978723404255317</v>
      </c>
      <c r="W20">
        <f>IF(V20&gt;=Controls!$B$2,1,0)</f>
        <v>1</v>
      </c>
      <c r="X20">
        <f t="shared" si="0"/>
        <v>1</v>
      </c>
    </row>
    <row r="21" spans="8:24" x14ac:dyDescent="0.2">
      <c r="H21">
        <f>Data!A231</f>
        <v>230</v>
      </c>
      <c r="I21">
        <f>Data!L231</f>
        <v>0</v>
      </c>
      <c r="J21">
        <f>IF(Data!C231&lt;=ClassTree!$L$2,ClassTree!$L$4,ClassTree!$L$6)</f>
        <v>0.57978723404255317</v>
      </c>
      <c r="K21">
        <f>MIN(0.999,MAX(0.001,J21+INDEX($E$2:$E$13,1)*IF(Data!C231&lt;=INDEX($B$2:$B$13,1),INDEX($C$2:$C$13,1),INDEX($D$2:$D$13,1))))</f>
        <v>0.57978723404255317</v>
      </c>
      <c r="L21">
        <f>MIN(0.999,MAX(0.001,K21+INDEX($E$2:$E$13,2)*IF(Data!C231&lt;=INDEX($B$2:$B$13,2),INDEX($C$2:$C$13,2),INDEX($D$2:$D$13,2))))</f>
        <v>0.57978723404255317</v>
      </c>
      <c r="M21">
        <f>MIN(0.999,MAX(0.001,L21+INDEX($E$2:$E$13,3)*IF(Data!C231&lt;=INDEX($B$2:$B$13,3),INDEX($C$2:$C$13,3),INDEX($D$2:$D$13,3))))</f>
        <v>0.57978723404255317</v>
      </c>
      <c r="N21">
        <f>MIN(0.999,MAX(0.001,M21+INDEX($E$2:$E$13,4)*IF(Data!C231&lt;=INDEX($B$2:$B$13,4),INDEX($C$2:$C$13,4),INDEX($D$2:$D$13,4))))</f>
        <v>0.57978723404255317</v>
      </c>
      <c r="O21">
        <f>MIN(0.999,MAX(0.001,N21+INDEX($E$2:$E$13,5)*IF(Data!C231&lt;=INDEX($B$2:$B$13,5),INDEX($C$2:$C$13,5),INDEX($D$2:$D$13,5))))</f>
        <v>0.57978723404255317</v>
      </c>
      <c r="P21">
        <f>MIN(0.999,MAX(0.001,O21+INDEX($E$2:$E$13,6)*IF(Data!C231&lt;=INDEX($B$2:$B$13,6),INDEX($C$2:$C$13,6),INDEX($D$2:$D$13,6))))</f>
        <v>0.57978723404255317</v>
      </c>
      <c r="Q21">
        <f>MIN(0.999,MAX(0.001,P21+INDEX($E$2:$E$13,7)*IF(Data!C231&lt;=INDEX($B$2:$B$13,7),INDEX($C$2:$C$13,7),INDEX($D$2:$D$13,7))))</f>
        <v>0.57978723404255317</v>
      </c>
      <c r="R21">
        <f>MIN(0.999,MAX(0.001,Q21+INDEX($E$2:$E$13,8)*IF(Data!C231&lt;=INDEX($B$2:$B$13,8),INDEX($C$2:$C$13,8),INDEX($D$2:$D$13,8))))</f>
        <v>0.57978723404255317</v>
      </c>
      <c r="S21">
        <f>MIN(0.999,MAX(0.001,R21+INDEX($E$2:$E$13,9)*IF(Data!C231&lt;=INDEX($B$2:$B$13,9),INDEX($C$2:$C$13,9),INDEX($D$2:$D$13,9))))</f>
        <v>0.57978723404255317</v>
      </c>
      <c r="T21">
        <f>MIN(0.999,MAX(0.001,S21+INDEX($E$2:$E$13,10)*IF(Data!C231&lt;=INDEX($B$2:$B$13,10),INDEX($C$2:$C$13,10),INDEX($D$2:$D$13,10))))</f>
        <v>0.57978723404255317</v>
      </c>
      <c r="U21">
        <f>MIN(0.999,MAX(0.001,T21+INDEX($E$2:$E$13,11)*IF(Data!C231&lt;=INDEX($B$2:$B$13,11),INDEX($C$2:$C$13,11),INDEX($D$2:$D$13,11))))</f>
        <v>0.57978723404255317</v>
      </c>
      <c r="V21">
        <f>MIN(0.999,MAX(0.001,U21+INDEX($E$2:$E$13,12)*IF(Data!C231&lt;=INDEX($B$2:$B$13,12),INDEX($C$2:$C$13,12),INDEX($D$2:$D$13,12))))</f>
        <v>0.57978723404255317</v>
      </c>
      <c r="W21">
        <f>IF(V21&gt;=Controls!$B$2,1,0)</f>
        <v>1</v>
      </c>
      <c r="X21">
        <f t="shared" si="0"/>
        <v>0</v>
      </c>
    </row>
    <row r="22" spans="8:24" x14ac:dyDescent="0.2">
      <c r="H22">
        <f>Data!A232</f>
        <v>231</v>
      </c>
      <c r="I22">
        <f>Data!L232</f>
        <v>0</v>
      </c>
      <c r="J22">
        <f>IF(Data!C232&lt;=ClassTree!$L$2,ClassTree!$L$4,ClassTree!$L$6)</f>
        <v>0.57978723404255317</v>
      </c>
      <c r="K22">
        <f>MIN(0.999,MAX(0.001,J22+INDEX($E$2:$E$13,1)*IF(Data!C232&lt;=INDEX($B$2:$B$13,1),INDEX($C$2:$C$13,1),INDEX($D$2:$D$13,1))))</f>
        <v>0.57978723404255317</v>
      </c>
      <c r="L22">
        <f>MIN(0.999,MAX(0.001,K22+INDEX($E$2:$E$13,2)*IF(Data!C232&lt;=INDEX($B$2:$B$13,2),INDEX($C$2:$C$13,2),INDEX($D$2:$D$13,2))))</f>
        <v>0.57978723404255317</v>
      </c>
      <c r="M22">
        <f>MIN(0.999,MAX(0.001,L22+INDEX($E$2:$E$13,3)*IF(Data!C232&lt;=INDEX($B$2:$B$13,3),INDEX($C$2:$C$13,3),INDEX($D$2:$D$13,3))))</f>
        <v>0.57978723404255317</v>
      </c>
      <c r="N22">
        <f>MIN(0.999,MAX(0.001,M22+INDEX($E$2:$E$13,4)*IF(Data!C232&lt;=INDEX($B$2:$B$13,4),INDEX($C$2:$C$13,4),INDEX($D$2:$D$13,4))))</f>
        <v>0.57978723404255317</v>
      </c>
      <c r="O22">
        <f>MIN(0.999,MAX(0.001,N22+INDEX($E$2:$E$13,5)*IF(Data!C232&lt;=INDEX($B$2:$B$13,5),INDEX($C$2:$C$13,5),INDEX($D$2:$D$13,5))))</f>
        <v>0.57978723404255317</v>
      </c>
      <c r="P22">
        <f>MIN(0.999,MAX(0.001,O22+INDEX($E$2:$E$13,6)*IF(Data!C232&lt;=INDEX($B$2:$B$13,6),INDEX($C$2:$C$13,6),INDEX($D$2:$D$13,6))))</f>
        <v>0.57978723404255317</v>
      </c>
      <c r="Q22">
        <f>MIN(0.999,MAX(0.001,P22+INDEX($E$2:$E$13,7)*IF(Data!C232&lt;=INDEX($B$2:$B$13,7),INDEX($C$2:$C$13,7),INDEX($D$2:$D$13,7))))</f>
        <v>0.57978723404255317</v>
      </c>
      <c r="R22">
        <f>MIN(0.999,MAX(0.001,Q22+INDEX($E$2:$E$13,8)*IF(Data!C232&lt;=INDEX($B$2:$B$13,8),INDEX($C$2:$C$13,8),INDEX($D$2:$D$13,8))))</f>
        <v>0.57978723404255317</v>
      </c>
      <c r="S22">
        <f>MIN(0.999,MAX(0.001,R22+INDEX($E$2:$E$13,9)*IF(Data!C232&lt;=INDEX($B$2:$B$13,9),INDEX($C$2:$C$13,9),INDEX($D$2:$D$13,9))))</f>
        <v>0.57978723404255317</v>
      </c>
      <c r="T22">
        <f>MIN(0.999,MAX(0.001,S22+INDEX($E$2:$E$13,10)*IF(Data!C232&lt;=INDEX($B$2:$B$13,10),INDEX($C$2:$C$13,10),INDEX($D$2:$D$13,10))))</f>
        <v>0.57978723404255317</v>
      </c>
      <c r="U22">
        <f>MIN(0.999,MAX(0.001,T22+INDEX($E$2:$E$13,11)*IF(Data!C232&lt;=INDEX($B$2:$B$13,11),INDEX($C$2:$C$13,11),INDEX($D$2:$D$13,11))))</f>
        <v>0.57978723404255317</v>
      </c>
      <c r="V22">
        <f>MIN(0.999,MAX(0.001,U22+INDEX($E$2:$E$13,12)*IF(Data!C232&lt;=INDEX($B$2:$B$13,12),INDEX($C$2:$C$13,12),INDEX($D$2:$D$13,12))))</f>
        <v>0.57978723404255317</v>
      </c>
      <c r="W22">
        <f>IF(V22&gt;=Controls!$B$2,1,0)</f>
        <v>1</v>
      </c>
      <c r="X22">
        <f t="shared" si="0"/>
        <v>0</v>
      </c>
    </row>
    <row r="23" spans="8:24" x14ac:dyDescent="0.2">
      <c r="H23">
        <f>Data!A233</f>
        <v>232</v>
      </c>
      <c r="I23">
        <f>Data!L233</f>
        <v>1</v>
      </c>
      <c r="J23">
        <f>IF(Data!C233&lt;=ClassTree!$L$2,ClassTree!$L$4,ClassTree!$L$6)</f>
        <v>0.57978723404255317</v>
      </c>
      <c r="K23">
        <f>MIN(0.999,MAX(0.001,J23+INDEX($E$2:$E$13,1)*IF(Data!C233&lt;=INDEX($B$2:$B$13,1),INDEX($C$2:$C$13,1),INDEX($D$2:$D$13,1))))</f>
        <v>0.57978723404255317</v>
      </c>
      <c r="L23">
        <f>MIN(0.999,MAX(0.001,K23+INDEX($E$2:$E$13,2)*IF(Data!C233&lt;=INDEX($B$2:$B$13,2),INDEX($C$2:$C$13,2),INDEX($D$2:$D$13,2))))</f>
        <v>0.57978723404255317</v>
      </c>
      <c r="M23">
        <f>MIN(0.999,MAX(0.001,L23+INDEX($E$2:$E$13,3)*IF(Data!C233&lt;=INDEX($B$2:$B$13,3),INDEX($C$2:$C$13,3),INDEX($D$2:$D$13,3))))</f>
        <v>0.57978723404255317</v>
      </c>
      <c r="N23">
        <f>MIN(0.999,MAX(0.001,M23+INDEX($E$2:$E$13,4)*IF(Data!C233&lt;=INDEX($B$2:$B$13,4),INDEX($C$2:$C$13,4),INDEX($D$2:$D$13,4))))</f>
        <v>0.57978723404255317</v>
      </c>
      <c r="O23">
        <f>MIN(0.999,MAX(0.001,N23+INDEX($E$2:$E$13,5)*IF(Data!C233&lt;=INDEX($B$2:$B$13,5),INDEX($C$2:$C$13,5),INDEX($D$2:$D$13,5))))</f>
        <v>0.57978723404255317</v>
      </c>
      <c r="P23">
        <f>MIN(0.999,MAX(0.001,O23+INDEX($E$2:$E$13,6)*IF(Data!C233&lt;=INDEX($B$2:$B$13,6),INDEX($C$2:$C$13,6),INDEX($D$2:$D$13,6))))</f>
        <v>0.57978723404255317</v>
      </c>
      <c r="Q23">
        <f>MIN(0.999,MAX(0.001,P23+INDEX($E$2:$E$13,7)*IF(Data!C233&lt;=INDEX($B$2:$B$13,7),INDEX($C$2:$C$13,7),INDEX($D$2:$D$13,7))))</f>
        <v>0.57978723404255317</v>
      </c>
      <c r="R23">
        <f>MIN(0.999,MAX(0.001,Q23+INDEX($E$2:$E$13,8)*IF(Data!C233&lt;=INDEX($B$2:$B$13,8),INDEX($C$2:$C$13,8),INDEX($D$2:$D$13,8))))</f>
        <v>0.57978723404255317</v>
      </c>
      <c r="S23">
        <f>MIN(0.999,MAX(0.001,R23+INDEX($E$2:$E$13,9)*IF(Data!C233&lt;=INDEX($B$2:$B$13,9),INDEX($C$2:$C$13,9),INDEX($D$2:$D$13,9))))</f>
        <v>0.57978723404255317</v>
      </c>
      <c r="T23">
        <f>MIN(0.999,MAX(0.001,S23+INDEX($E$2:$E$13,10)*IF(Data!C233&lt;=INDEX($B$2:$B$13,10),INDEX($C$2:$C$13,10),INDEX($D$2:$D$13,10))))</f>
        <v>0.57978723404255317</v>
      </c>
      <c r="U23">
        <f>MIN(0.999,MAX(0.001,T23+INDEX($E$2:$E$13,11)*IF(Data!C233&lt;=INDEX($B$2:$B$13,11),INDEX($C$2:$C$13,11),INDEX($D$2:$D$13,11))))</f>
        <v>0.57978723404255317</v>
      </c>
      <c r="V23">
        <f>MIN(0.999,MAX(0.001,U23+INDEX($E$2:$E$13,12)*IF(Data!C233&lt;=INDEX($B$2:$B$13,12),INDEX($C$2:$C$13,12),INDEX($D$2:$D$13,12))))</f>
        <v>0.57978723404255317</v>
      </c>
      <c r="W23">
        <f>IF(V23&gt;=Controls!$B$2,1,0)</f>
        <v>1</v>
      </c>
      <c r="X23">
        <f t="shared" si="0"/>
        <v>1</v>
      </c>
    </row>
    <row r="24" spans="8:24" x14ac:dyDescent="0.2">
      <c r="H24">
        <f>Data!A234</f>
        <v>233</v>
      </c>
      <c r="I24">
        <f>Data!L234</f>
        <v>1</v>
      </c>
      <c r="J24">
        <f>IF(Data!C234&lt;=ClassTree!$L$2,ClassTree!$L$4,ClassTree!$L$6)</f>
        <v>0.57978723404255317</v>
      </c>
      <c r="K24">
        <f>MIN(0.999,MAX(0.001,J24+INDEX($E$2:$E$13,1)*IF(Data!C234&lt;=INDEX($B$2:$B$13,1),INDEX($C$2:$C$13,1),INDEX($D$2:$D$13,1))))</f>
        <v>0.57978723404255317</v>
      </c>
      <c r="L24">
        <f>MIN(0.999,MAX(0.001,K24+INDEX($E$2:$E$13,2)*IF(Data!C234&lt;=INDEX($B$2:$B$13,2),INDEX($C$2:$C$13,2),INDEX($D$2:$D$13,2))))</f>
        <v>0.57978723404255317</v>
      </c>
      <c r="M24">
        <f>MIN(0.999,MAX(0.001,L24+INDEX($E$2:$E$13,3)*IF(Data!C234&lt;=INDEX($B$2:$B$13,3),INDEX($C$2:$C$13,3),INDEX($D$2:$D$13,3))))</f>
        <v>0.57978723404255317</v>
      </c>
      <c r="N24">
        <f>MIN(0.999,MAX(0.001,M24+INDEX($E$2:$E$13,4)*IF(Data!C234&lt;=INDEX($B$2:$B$13,4),INDEX($C$2:$C$13,4),INDEX($D$2:$D$13,4))))</f>
        <v>0.57978723404255317</v>
      </c>
      <c r="O24">
        <f>MIN(0.999,MAX(0.001,N24+INDEX($E$2:$E$13,5)*IF(Data!C234&lt;=INDEX($B$2:$B$13,5),INDEX($C$2:$C$13,5),INDEX($D$2:$D$13,5))))</f>
        <v>0.57978723404255317</v>
      </c>
      <c r="P24">
        <f>MIN(0.999,MAX(0.001,O24+INDEX($E$2:$E$13,6)*IF(Data!C234&lt;=INDEX($B$2:$B$13,6),INDEX($C$2:$C$13,6),INDEX($D$2:$D$13,6))))</f>
        <v>0.57978723404255317</v>
      </c>
      <c r="Q24">
        <f>MIN(0.999,MAX(0.001,P24+INDEX($E$2:$E$13,7)*IF(Data!C234&lt;=INDEX($B$2:$B$13,7),INDEX($C$2:$C$13,7),INDEX($D$2:$D$13,7))))</f>
        <v>0.57978723404255317</v>
      </c>
      <c r="R24">
        <f>MIN(0.999,MAX(0.001,Q24+INDEX($E$2:$E$13,8)*IF(Data!C234&lt;=INDEX($B$2:$B$13,8),INDEX($C$2:$C$13,8),INDEX($D$2:$D$13,8))))</f>
        <v>0.57978723404255317</v>
      </c>
      <c r="S24">
        <f>MIN(0.999,MAX(0.001,R24+INDEX($E$2:$E$13,9)*IF(Data!C234&lt;=INDEX($B$2:$B$13,9),INDEX($C$2:$C$13,9),INDEX($D$2:$D$13,9))))</f>
        <v>0.57978723404255317</v>
      </c>
      <c r="T24">
        <f>MIN(0.999,MAX(0.001,S24+INDEX($E$2:$E$13,10)*IF(Data!C234&lt;=INDEX($B$2:$B$13,10),INDEX($C$2:$C$13,10),INDEX($D$2:$D$13,10))))</f>
        <v>0.57978723404255317</v>
      </c>
      <c r="U24">
        <f>MIN(0.999,MAX(0.001,T24+INDEX($E$2:$E$13,11)*IF(Data!C234&lt;=INDEX($B$2:$B$13,11),INDEX($C$2:$C$13,11),INDEX($D$2:$D$13,11))))</f>
        <v>0.57978723404255317</v>
      </c>
      <c r="V24">
        <f>MIN(0.999,MAX(0.001,U24+INDEX($E$2:$E$13,12)*IF(Data!C234&lt;=INDEX($B$2:$B$13,12),INDEX($C$2:$C$13,12),INDEX($D$2:$D$13,12))))</f>
        <v>0.57978723404255317</v>
      </c>
      <c r="W24">
        <f>IF(V24&gt;=Controls!$B$2,1,0)</f>
        <v>1</v>
      </c>
      <c r="X24">
        <f t="shared" si="0"/>
        <v>1</v>
      </c>
    </row>
    <row r="25" spans="8:24" x14ac:dyDescent="0.2">
      <c r="H25">
        <f>Data!A235</f>
        <v>234</v>
      </c>
      <c r="I25">
        <f>Data!L235</f>
        <v>1</v>
      </c>
      <c r="J25">
        <f>IF(Data!C235&lt;=ClassTree!$L$2,ClassTree!$L$4,ClassTree!$L$6)</f>
        <v>0.57978723404255317</v>
      </c>
      <c r="K25">
        <f>MIN(0.999,MAX(0.001,J25+INDEX($E$2:$E$13,1)*IF(Data!C235&lt;=INDEX($B$2:$B$13,1),INDEX($C$2:$C$13,1),INDEX($D$2:$D$13,1))))</f>
        <v>0.57978723404255317</v>
      </c>
      <c r="L25">
        <f>MIN(0.999,MAX(0.001,K25+INDEX($E$2:$E$13,2)*IF(Data!C235&lt;=INDEX($B$2:$B$13,2),INDEX($C$2:$C$13,2),INDEX($D$2:$D$13,2))))</f>
        <v>0.57978723404255317</v>
      </c>
      <c r="M25">
        <f>MIN(0.999,MAX(0.001,L25+INDEX($E$2:$E$13,3)*IF(Data!C235&lt;=INDEX($B$2:$B$13,3),INDEX($C$2:$C$13,3),INDEX($D$2:$D$13,3))))</f>
        <v>0.57978723404255317</v>
      </c>
      <c r="N25">
        <f>MIN(0.999,MAX(0.001,M25+INDEX($E$2:$E$13,4)*IF(Data!C235&lt;=INDEX($B$2:$B$13,4),INDEX($C$2:$C$13,4),INDEX($D$2:$D$13,4))))</f>
        <v>0.57978723404255317</v>
      </c>
      <c r="O25">
        <f>MIN(0.999,MAX(0.001,N25+INDEX($E$2:$E$13,5)*IF(Data!C235&lt;=INDEX($B$2:$B$13,5),INDEX($C$2:$C$13,5),INDEX($D$2:$D$13,5))))</f>
        <v>0.57978723404255317</v>
      </c>
      <c r="P25">
        <f>MIN(0.999,MAX(0.001,O25+INDEX($E$2:$E$13,6)*IF(Data!C235&lt;=INDEX($B$2:$B$13,6),INDEX($C$2:$C$13,6),INDEX($D$2:$D$13,6))))</f>
        <v>0.57978723404255317</v>
      </c>
      <c r="Q25">
        <f>MIN(0.999,MAX(0.001,P25+INDEX($E$2:$E$13,7)*IF(Data!C235&lt;=INDEX($B$2:$B$13,7),INDEX($C$2:$C$13,7),INDEX($D$2:$D$13,7))))</f>
        <v>0.57978723404255317</v>
      </c>
      <c r="R25">
        <f>MIN(0.999,MAX(0.001,Q25+INDEX($E$2:$E$13,8)*IF(Data!C235&lt;=INDEX($B$2:$B$13,8),INDEX($C$2:$C$13,8),INDEX($D$2:$D$13,8))))</f>
        <v>0.57978723404255317</v>
      </c>
      <c r="S25">
        <f>MIN(0.999,MAX(0.001,R25+INDEX($E$2:$E$13,9)*IF(Data!C235&lt;=INDEX($B$2:$B$13,9),INDEX($C$2:$C$13,9),INDEX($D$2:$D$13,9))))</f>
        <v>0.57978723404255317</v>
      </c>
      <c r="T25">
        <f>MIN(0.999,MAX(0.001,S25+INDEX($E$2:$E$13,10)*IF(Data!C235&lt;=INDEX($B$2:$B$13,10),INDEX($C$2:$C$13,10),INDEX($D$2:$D$13,10))))</f>
        <v>0.57978723404255317</v>
      </c>
      <c r="U25">
        <f>MIN(0.999,MAX(0.001,T25+INDEX($E$2:$E$13,11)*IF(Data!C235&lt;=INDEX($B$2:$B$13,11),INDEX($C$2:$C$13,11),INDEX($D$2:$D$13,11))))</f>
        <v>0.57978723404255317</v>
      </c>
      <c r="V25">
        <f>MIN(0.999,MAX(0.001,U25+INDEX($E$2:$E$13,12)*IF(Data!C235&lt;=INDEX($B$2:$B$13,12),INDEX($C$2:$C$13,12),INDEX($D$2:$D$13,12))))</f>
        <v>0.57978723404255317</v>
      </c>
      <c r="W25">
        <f>IF(V25&gt;=Controls!$B$2,1,0)</f>
        <v>1</v>
      </c>
      <c r="X25">
        <f t="shared" si="0"/>
        <v>1</v>
      </c>
    </row>
    <row r="26" spans="8:24" x14ac:dyDescent="0.2">
      <c r="H26">
        <f>Data!A236</f>
        <v>235</v>
      </c>
      <c r="I26">
        <f>Data!L236</f>
        <v>0</v>
      </c>
      <c r="J26">
        <f>IF(Data!C236&lt;=ClassTree!$L$2,ClassTree!$L$4,ClassTree!$L$6)</f>
        <v>4.5454545454545456E-2</v>
      </c>
      <c r="K26">
        <f>MIN(0.999,MAX(0.001,J26+INDEX($E$2:$E$13,1)*IF(Data!C236&lt;=INDEX($B$2:$B$13,1),INDEX($C$2:$C$13,1),INDEX($D$2:$D$13,1))))</f>
        <v>4.5454545454545456E-2</v>
      </c>
      <c r="L26">
        <f>MIN(0.999,MAX(0.001,K26+INDEX($E$2:$E$13,2)*IF(Data!C236&lt;=INDEX($B$2:$B$13,2),INDEX($C$2:$C$13,2),INDEX($D$2:$D$13,2))))</f>
        <v>4.5454545454545456E-2</v>
      </c>
      <c r="M26">
        <f>MIN(0.999,MAX(0.001,L26+INDEX($E$2:$E$13,3)*IF(Data!C236&lt;=INDEX($B$2:$B$13,3),INDEX($C$2:$C$13,3),INDEX($D$2:$D$13,3))))</f>
        <v>4.5454545454545456E-2</v>
      </c>
      <c r="N26">
        <f>MIN(0.999,MAX(0.001,M26+INDEX($E$2:$E$13,4)*IF(Data!C236&lt;=INDEX($B$2:$B$13,4),INDEX($C$2:$C$13,4),INDEX($D$2:$D$13,4))))</f>
        <v>4.5454545454545456E-2</v>
      </c>
      <c r="O26">
        <f>MIN(0.999,MAX(0.001,N26+INDEX($E$2:$E$13,5)*IF(Data!C236&lt;=INDEX($B$2:$B$13,5),INDEX($C$2:$C$13,5),INDEX($D$2:$D$13,5))))</f>
        <v>4.5454545454545456E-2</v>
      </c>
      <c r="P26">
        <f>MIN(0.999,MAX(0.001,O26+INDEX($E$2:$E$13,6)*IF(Data!C236&lt;=INDEX($B$2:$B$13,6),INDEX($C$2:$C$13,6),INDEX($D$2:$D$13,6))))</f>
        <v>4.5454545454545456E-2</v>
      </c>
      <c r="Q26">
        <f>MIN(0.999,MAX(0.001,P26+INDEX($E$2:$E$13,7)*IF(Data!C236&lt;=INDEX($B$2:$B$13,7),INDEX($C$2:$C$13,7),INDEX($D$2:$D$13,7))))</f>
        <v>4.5454545454545456E-2</v>
      </c>
      <c r="R26">
        <f>MIN(0.999,MAX(0.001,Q26+INDEX($E$2:$E$13,8)*IF(Data!C236&lt;=INDEX($B$2:$B$13,8),INDEX($C$2:$C$13,8),INDEX($D$2:$D$13,8))))</f>
        <v>4.5454545454545456E-2</v>
      </c>
      <c r="S26">
        <f>MIN(0.999,MAX(0.001,R26+INDEX($E$2:$E$13,9)*IF(Data!C236&lt;=INDEX($B$2:$B$13,9),INDEX($C$2:$C$13,9),INDEX($D$2:$D$13,9))))</f>
        <v>4.5454545454545456E-2</v>
      </c>
      <c r="T26">
        <f>MIN(0.999,MAX(0.001,S26+INDEX($E$2:$E$13,10)*IF(Data!C236&lt;=INDEX($B$2:$B$13,10),INDEX($C$2:$C$13,10),INDEX($D$2:$D$13,10))))</f>
        <v>4.5454545454545456E-2</v>
      </c>
      <c r="U26">
        <f>MIN(0.999,MAX(0.001,T26+INDEX($E$2:$E$13,11)*IF(Data!C236&lt;=INDEX($B$2:$B$13,11),INDEX($C$2:$C$13,11),INDEX($D$2:$D$13,11))))</f>
        <v>4.5454545454545456E-2</v>
      </c>
      <c r="V26">
        <f>MIN(0.999,MAX(0.001,U26+INDEX($E$2:$E$13,12)*IF(Data!C236&lt;=INDEX($B$2:$B$13,12),INDEX($C$2:$C$13,12),INDEX($D$2:$D$13,12))))</f>
        <v>4.5454545454545456E-2</v>
      </c>
      <c r="W26">
        <f>IF(V26&gt;=Controls!$B$2,1,0)</f>
        <v>0</v>
      </c>
      <c r="X26">
        <f t="shared" si="0"/>
        <v>1</v>
      </c>
    </row>
    <row r="27" spans="8:24" x14ac:dyDescent="0.2">
      <c r="H27">
        <f>Data!A237</f>
        <v>236</v>
      </c>
      <c r="I27">
        <f>Data!L237</f>
        <v>0</v>
      </c>
      <c r="J27">
        <f>IF(Data!C237&lt;=ClassTree!$L$2,ClassTree!$L$4,ClassTree!$L$6)</f>
        <v>0.57978723404255317</v>
      </c>
      <c r="K27">
        <f>MIN(0.999,MAX(0.001,J27+INDEX($E$2:$E$13,1)*IF(Data!C237&lt;=INDEX($B$2:$B$13,1),INDEX($C$2:$C$13,1),INDEX($D$2:$D$13,1))))</f>
        <v>0.57978723404255317</v>
      </c>
      <c r="L27">
        <f>MIN(0.999,MAX(0.001,K27+INDEX($E$2:$E$13,2)*IF(Data!C237&lt;=INDEX($B$2:$B$13,2),INDEX($C$2:$C$13,2),INDEX($D$2:$D$13,2))))</f>
        <v>0.57978723404255317</v>
      </c>
      <c r="M27">
        <f>MIN(0.999,MAX(0.001,L27+INDEX($E$2:$E$13,3)*IF(Data!C237&lt;=INDEX($B$2:$B$13,3),INDEX($C$2:$C$13,3),INDEX($D$2:$D$13,3))))</f>
        <v>0.57978723404255317</v>
      </c>
      <c r="N27">
        <f>MIN(0.999,MAX(0.001,M27+INDEX($E$2:$E$13,4)*IF(Data!C237&lt;=INDEX($B$2:$B$13,4),INDEX($C$2:$C$13,4),INDEX($D$2:$D$13,4))))</f>
        <v>0.57978723404255317</v>
      </c>
      <c r="O27">
        <f>MIN(0.999,MAX(0.001,N27+INDEX($E$2:$E$13,5)*IF(Data!C237&lt;=INDEX($B$2:$B$13,5),INDEX($C$2:$C$13,5),INDEX($D$2:$D$13,5))))</f>
        <v>0.57978723404255317</v>
      </c>
      <c r="P27">
        <f>MIN(0.999,MAX(0.001,O27+INDEX($E$2:$E$13,6)*IF(Data!C237&lt;=INDEX($B$2:$B$13,6),INDEX($C$2:$C$13,6),INDEX($D$2:$D$13,6))))</f>
        <v>0.57978723404255317</v>
      </c>
      <c r="Q27">
        <f>MIN(0.999,MAX(0.001,P27+INDEX($E$2:$E$13,7)*IF(Data!C237&lt;=INDEX($B$2:$B$13,7),INDEX($C$2:$C$13,7),INDEX($D$2:$D$13,7))))</f>
        <v>0.57978723404255317</v>
      </c>
      <c r="R27">
        <f>MIN(0.999,MAX(0.001,Q27+INDEX($E$2:$E$13,8)*IF(Data!C237&lt;=INDEX($B$2:$B$13,8),INDEX($C$2:$C$13,8),INDEX($D$2:$D$13,8))))</f>
        <v>0.57978723404255317</v>
      </c>
      <c r="S27">
        <f>MIN(0.999,MAX(0.001,R27+INDEX($E$2:$E$13,9)*IF(Data!C237&lt;=INDEX($B$2:$B$13,9),INDEX($C$2:$C$13,9),INDEX($D$2:$D$13,9))))</f>
        <v>0.57978723404255317</v>
      </c>
      <c r="T27">
        <f>MIN(0.999,MAX(0.001,S27+INDEX($E$2:$E$13,10)*IF(Data!C237&lt;=INDEX($B$2:$B$13,10),INDEX($C$2:$C$13,10),INDEX($D$2:$D$13,10))))</f>
        <v>0.57978723404255317</v>
      </c>
      <c r="U27">
        <f>MIN(0.999,MAX(0.001,T27+INDEX($E$2:$E$13,11)*IF(Data!C237&lt;=INDEX($B$2:$B$13,11),INDEX($C$2:$C$13,11),INDEX($D$2:$D$13,11))))</f>
        <v>0.57978723404255317</v>
      </c>
      <c r="V27">
        <f>MIN(0.999,MAX(0.001,U27+INDEX($E$2:$E$13,12)*IF(Data!C237&lt;=INDEX($B$2:$B$13,12),INDEX($C$2:$C$13,12),INDEX($D$2:$D$13,12))))</f>
        <v>0.57978723404255317</v>
      </c>
      <c r="W27">
        <f>IF(V27&gt;=Controls!$B$2,1,0)</f>
        <v>1</v>
      </c>
      <c r="X27">
        <f t="shared" si="0"/>
        <v>0</v>
      </c>
    </row>
    <row r="28" spans="8:24" x14ac:dyDescent="0.2">
      <c r="H28">
        <f>Data!A238</f>
        <v>237</v>
      </c>
      <c r="I28">
        <f>Data!L238</f>
        <v>1</v>
      </c>
      <c r="J28">
        <f>IF(Data!C238&lt;=ClassTree!$L$2,ClassTree!$L$4,ClassTree!$L$6)</f>
        <v>0.57978723404255317</v>
      </c>
      <c r="K28">
        <f>MIN(0.999,MAX(0.001,J28+INDEX($E$2:$E$13,1)*IF(Data!C238&lt;=INDEX($B$2:$B$13,1),INDEX($C$2:$C$13,1),INDEX($D$2:$D$13,1))))</f>
        <v>0.57978723404255317</v>
      </c>
      <c r="L28">
        <f>MIN(0.999,MAX(0.001,K28+INDEX($E$2:$E$13,2)*IF(Data!C238&lt;=INDEX($B$2:$B$13,2),INDEX($C$2:$C$13,2),INDEX($D$2:$D$13,2))))</f>
        <v>0.57978723404255317</v>
      </c>
      <c r="M28">
        <f>MIN(0.999,MAX(0.001,L28+INDEX($E$2:$E$13,3)*IF(Data!C238&lt;=INDEX($B$2:$B$13,3),INDEX($C$2:$C$13,3),INDEX($D$2:$D$13,3))))</f>
        <v>0.57978723404255317</v>
      </c>
      <c r="N28">
        <f>MIN(0.999,MAX(0.001,M28+INDEX($E$2:$E$13,4)*IF(Data!C238&lt;=INDEX($B$2:$B$13,4),INDEX($C$2:$C$13,4),INDEX($D$2:$D$13,4))))</f>
        <v>0.57978723404255317</v>
      </c>
      <c r="O28">
        <f>MIN(0.999,MAX(0.001,N28+INDEX($E$2:$E$13,5)*IF(Data!C238&lt;=INDEX($B$2:$B$13,5),INDEX($C$2:$C$13,5),INDEX($D$2:$D$13,5))))</f>
        <v>0.57978723404255317</v>
      </c>
      <c r="P28">
        <f>MIN(0.999,MAX(0.001,O28+INDEX($E$2:$E$13,6)*IF(Data!C238&lt;=INDEX($B$2:$B$13,6),INDEX($C$2:$C$13,6),INDEX($D$2:$D$13,6))))</f>
        <v>0.57978723404255317</v>
      </c>
      <c r="Q28">
        <f>MIN(0.999,MAX(0.001,P28+INDEX($E$2:$E$13,7)*IF(Data!C238&lt;=INDEX($B$2:$B$13,7),INDEX($C$2:$C$13,7),INDEX($D$2:$D$13,7))))</f>
        <v>0.57978723404255317</v>
      </c>
      <c r="R28">
        <f>MIN(0.999,MAX(0.001,Q28+INDEX($E$2:$E$13,8)*IF(Data!C238&lt;=INDEX($B$2:$B$13,8),INDEX($C$2:$C$13,8),INDEX($D$2:$D$13,8))))</f>
        <v>0.57978723404255317</v>
      </c>
      <c r="S28">
        <f>MIN(0.999,MAX(0.001,R28+INDEX($E$2:$E$13,9)*IF(Data!C238&lt;=INDEX($B$2:$B$13,9),INDEX($C$2:$C$13,9),INDEX($D$2:$D$13,9))))</f>
        <v>0.57978723404255317</v>
      </c>
      <c r="T28">
        <f>MIN(0.999,MAX(0.001,S28+INDEX($E$2:$E$13,10)*IF(Data!C238&lt;=INDEX($B$2:$B$13,10),INDEX($C$2:$C$13,10),INDEX($D$2:$D$13,10))))</f>
        <v>0.57978723404255317</v>
      </c>
      <c r="U28">
        <f>MIN(0.999,MAX(0.001,T28+INDEX($E$2:$E$13,11)*IF(Data!C238&lt;=INDEX($B$2:$B$13,11),INDEX($C$2:$C$13,11),INDEX($D$2:$D$13,11))))</f>
        <v>0.57978723404255317</v>
      </c>
      <c r="V28">
        <f>MIN(0.999,MAX(0.001,U28+INDEX($E$2:$E$13,12)*IF(Data!C238&lt;=INDEX($B$2:$B$13,12),INDEX($C$2:$C$13,12),INDEX($D$2:$D$13,12))))</f>
        <v>0.57978723404255317</v>
      </c>
      <c r="W28">
        <f>IF(V28&gt;=Controls!$B$2,1,0)</f>
        <v>1</v>
      </c>
      <c r="X28">
        <f t="shared" si="0"/>
        <v>1</v>
      </c>
    </row>
    <row r="29" spans="8:24" x14ac:dyDescent="0.2">
      <c r="H29">
        <f>Data!A239</f>
        <v>238</v>
      </c>
      <c r="I29">
        <f>Data!L239</f>
        <v>0</v>
      </c>
      <c r="J29">
        <f>IF(Data!C239&lt;=ClassTree!$L$2,ClassTree!$L$4,ClassTree!$L$6)</f>
        <v>0.57978723404255317</v>
      </c>
      <c r="K29">
        <f>MIN(0.999,MAX(0.001,J29+INDEX($E$2:$E$13,1)*IF(Data!C239&lt;=INDEX($B$2:$B$13,1),INDEX($C$2:$C$13,1),INDEX($D$2:$D$13,1))))</f>
        <v>0.57978723404255317</v>
      </c>
      <c r="L29">
        <f>MIN(0.999,MAX(0.001,K29+INDEX($E$2:$E$13,2)*IF(Data!C239&lt;=INDEX($B$2:$B$13,2),INDEX($C$2:$C$13,2),INDEX($D$2:$D$13,2))))</f>
        <v>0.57978723404255317</v>
      </c>
      <c r="M29">
        <f>MIN(0.999,MAX(0.001,L29+INDEX($E$2:$E$13,3)*IF(Data!C239&lt;=INDEX($B$2:$B$13,3),INDEX($C$2:$C$13,3),INDEX($D$2:$D$13,3))))</f>
        <v>0.57978723404255317</v>
      </c>
      <c r="N29">
        <f>MIN(0.999,MAX(0.001,M29+INDEX($E$2:$E$13,4)*IF(Data!C239&lt;=INDEX($B$2:$B$13,4),INDEX($C$2:$C$13,4),INDEX($D$2:$D$13,4))))</f>
        <v>0.57978723404255317</v>
      </c>
      <c r="O29">
        <f>MIN(0.999,MAX(0.001,N29+INDEX($E$2:$E$13,5)*IF(Data!C239&lt;=INDEX($B$2:$B$13,5),INDEX($C$2:$C$13,5),INDEX($D$2:$D$13,5))))</f>
        <v>0.57978723404255317</v>
      </c>
      <c r="P29">
        <f>MIN(0.999,MAX(0.001,O29+INDEX($E$2:$E$13,6)*IF(Data!C239&lt;=INDEX($B$2:$B$13,6),INDEX($C$2:$C$13,6),INDEX($D$2:$D$13,6))))</f>
        <v>0.57978723404255317</v>
      </c>
      <c r="Q29">
        <f>MIN(0.999,MAX(0.001,P29+INDEX($E$2:$E$13,7)*IF(Data!C239&lt;=INDEX($B$2:$B$13,7),INDEX($C$2:$C$13,7),INDEX($D$2:$D$13,7))))</f>
        <v>0.57978723404255317</v>
      </c>
      <c r="R29">
        <f>MIN(0.999,MAX(0.001,Q29+INDEX($E$2:$E$13,8)*IF(Data!C239&lt;=INDEX($B$2:$B$13,8),INDEX($C$2:$C$13,8),INDEX($D$2:$D$13,8))))</f>
        <v>0.57978723404255317</v>
      </c>
      <c r="S29">
        <f>MIN(0.999,MAX(0.001,R29+INDEX($E$2:$E$13,9)*IF(Data!C239&lt;=INDEX($B$2:$B$13,9),INDEX($C$2:$C$13,9),INDEX($D$2:$D$13,9))))</f>
        <v>0.57978723404255317</v>
      </c>
      <c r="T29">
        <f>MIN(0.999,MAX(0.001,S29+INDEX($E$2:$E$13,10)*IF(Data!C239&lt;=INDEX($B$2:$B$13,10),INDEX($C$2:$C$13,10),INDEX($D$2:$D$13,10))))</f>
        <v>0.57978723404255317</v>
      </c>
      <c r="U29">
        <f>MIN(0.999,MAX(0.001,T29+INDEX($E$2:$E$13,11)*IF(Data!C239&lt;=INDEX($B$2:$B$13,11),INDEX($C$2:$C$13,11),INDEX($D$2:$D$13,11))))</f>
        <v>0.57978723404255317</v>
      </c>
      <c r="V29">
        <f>MIN(0.999,MAX(0.001,U29+INDEX($E$2:$E$13,12)*IF(Data!C239&lt;=INDEX($B$2:$B$13,12),INDEX($C$2:$C$13,12),INDEX($D$2:$D$13,12))))</f>
        <v>0.57978723404255317</v>
      </c>
      <c r="W29">
        <f>IF(V29&gt;=Controls!$B$2,1,0)</f>
        <v>1</v>
      </c>
      <c r="X29">
        <f t="shared" si="0"/>
        <v>0</v>
      </c>
    </row>
    <row r="30" spans="8:24" x14ac:dyDescent="0.2">
      <c r="H30">
        <f>Data!A240</f>
        <v>239</v>
      </c>
      <c r="I30">
        <f>Data!L240</f>
        <v>0</v>
      </c>
      <c r="J30">
        <f>IF(Data!C240&lt;=ClassTree!$L$2,ClassTree!$L$4,ClassTree!$L$6)</f>
        <v>0.57978723404255317</v>
      </c>
      <c r="K30">
        <f>MIN(0.999,MAX(0.001,J30+INDEX($E$2:$E$13,1)*IF(Data!C240&lt;=INDEX($B$2:$B$13,1),INDEX($C$2:$C$13,1),INDEX($D$2:$D$13,1))))</f>
        <v>0.57978723404255317</v>
      </c>
      <c r="L30">
        <f>MIN(0.999,MAX(0.001,K30+INDEX($E$2:$E$13,2)*IF(Data!C240&lt;=INDEX($B$2:$B$13,2),INDEX($C$2:$C$13,2),INDEX($D$2:$D$13,2))))</f>
        <v>0.57978723404255317</v>
      </c>
      <c r="M30">
        <f>MIN(0.999,MAX(0.001,L30+INDEX($E$2:$E$13,3)*IF(Data!C240&lt;=INDEX($B$2:$B$13,3),INDEX($C$2:$C$13,3),INDEX($D$2:$D$13,3))))</f>
        <v>0.57978723404255317</v>
      </c>
      <c r="N30">
        <f>MIN(0.999,MAX(0.001,M30+INDEX($E$2:$E$13,4)*IF(Data!C240&lt;=INDEX($B$2:$B$13,4),INDEX($C$2:$C$13,4),INDEX($D$2:$D$13,4))))</f>
        <v>0.57978723404255317</v>
      </c>
      <c r="O30">
        <f>MIN(0.999,MAX(0.001,N30+INDEX($E$2:$E$13,5)*IF(Data!C240&lt;=INDEX($B$2:$B$13,5),INDEX($C$2:$C$13,5),INDEX($D$2:$D$13,5))))</f>
        <v>0.57978723404255317</v>
      </c>
      <c r="P30">
        <f>MIN(0.999,MAX(0.001,O30+INDEX($E$2:$E$13,6)*IF(Data!C240&lt;=INDEX($B$2:$B$13,6),INDEX($C$2:$C$13,6),INDEX($D$2:$D$13,6))))</f>
        <v>0.57978723404255317</v>
      </c>
      <c r="Q30">
        <f>MIN(0.999,MAX(0.001,P30+INDEX($E$2:$E$13,7)*IF(Data!C240&lt;=INDEX($B$2:$B$13,7),INDEX($C$2:$C$13,7),INDEX($D$2:$D$13,7))))</f>
        <v>0.57978723404255317</v>
      </c>
      <c r="R30">
        <f>MIN(0.999,MAX(0.001,Q30+INDEX($E$2:$E$13,8)*IF(Data!C240&lt;=INDEX($B$2:$B$13,8),INDEX($C$2:$C$13,8),INDEX($D$2:$D$13,8))))</f>
        <v>0.57978723404255317</v>
      </c>
      <c r="S30">
        <f>MIN(0.999,MAX(0.001,R30+INDEX($E$2:$E$13,9)*IF(Data!C240&lt;=INDEX($B$2:$B$13,9),INDEX($C$2:$C$13,9),INDEX($D$2:$D$13,9))))</f>
        <v>0.57978723404255317</v>
      </c>
      <c r="T30">
        <f>MIN(0.999,MAX(0.001,S30+INDEX($E$2:$E$13,10)*IF(Data!C240&lt;=INDEX($B$2:$B$13,10),INDEX($C$2:$C$13,10),INDEX($D$2:$D$13,10))))</f>
        <v>0.57978723404255317</v>
      </c>
      <c r="U30">
        <f>MIN(0.999,MAX(0.001,T30+INDEX($E$2:$E$13,11)*IF(Data!C240&lt;=INDEX($B$2:$B$13,11),INDEX($C$2:$C$13,11),INDEX($D$2:$D$13,11))))</f>
        <v>0.57978723404255317</v>
      </c>
      <c r="V30">
        <f>MIN(0.999,MAX(0.001,U30+INDEX($E$2:$E$13,12)*IF(Data!C240&lt;=INDEX($B$2:$B$13,12),INDEX($C$2:$C$13,12),INDEX($D$2:$D$13,12))))</f>
        <v>0.57978723404255317</v>
      </c>
      <c r="W30">
        <f>IF(V30&gt;=Controls!$B$2,1,0)</f>
        <v>1</v>
      </c>
      <c r="X30">
        <f t="shared" si="0"/>
        <v>0</v>
      </c>
    </row>
    <row r="31" spans="8:24" x14ac:dyDescent="0.2">
      <c r="H31">
        <f>Data!A241</f>
        <v>240</v>
      </c>
      <c r="I31">
        <f>Data!L241</f>
        <v>0</v>
      </c>
      <c r="J31">
        <f>IF(Data!C241&lt;=ClassTree!$L$2,ClassTree!$L$4,ClassTree!$L$6)</f>
        <v>0.57978723404255317</v>
      </c>
      <c r="K31">
        <f>MIN(0.999,MAX(0.001,J31+INDEX($E$2:$E$13,1)*IF(Data!C241&lt;=INDEX($B$2:$B$13,1),INDEX($C$2:$C$13,1),INDEX($D$2:$D$13,1))))</f>
        <v>0.57978723404255317</v>
      </c>
      <c r="L31">
        <f>MIN(0.999,MAX(0.001,K31+INDEX($E$2:$E$13,2)*IF(Data!C241&lt;=INDEX($B$2:$B$13,2),INDEX($C$2:$C$13,2),INDEX($D$2:$D$13,2))))</f>
        <v>0.57978723404255317</v>
      </c>
      <c r="M31">
        <f>MIN(0.999,MAX(0.001,L31+INDEX($E$2:$E$13,3)*IF(Data!C241&lt;=INDEX($B$2:$B$13,3),INDEX($C$2:$C$13,3),INDEX($D$2:$D$13,3))))</f>
        <v>0.57978723404255317</v>
      </c>
      <c r="N31">
        <f>MIN(0.999,MAX(0.001,M31+INDEX($E$2:$E$13,4)*IF(Data!C241&lt;=INDEX($B$2:$B$13,4),INDEX($C$2:$C$13,4),INDEX($D$2:$D$13,4))))</f>
        <v>0.57978723404255317</v>
      </c>
      <c r="O31">
        <f>MIN(0.999,MAX(0.001,N31+INDEX($E$2:$E$13,5)*IF(Data!C241&lt;=INDEX($B$2:$B$13,5),INDEX($C$2:$C$13,5),INDEX($D$2:$D$13,5))))</f>
        <v>0.57978723404255317</v>
      </c>
      <c r="P31">
        <f>MIN(0.999,MAX(0.001,O31+INDEX($E$2:$E$13,6)*IF(Data!C241&lt;=INDEX($B$2:$B$13,6),INDEX($C$2:$C$13,6),INDEX($D$2:$D$13,6))))</f>
        <v>0.57978723404255317</v>
      </c>
      <c r="Q31">
        <f>MIN(0.999,MAX(0.001,P31+INDEX($E$2:$E$13,7)*IF(Data!C241&lt;=INDEX($B$2:$B$13,7),INDEX($C$2:$C$13,7),INDEX($D$2:$D$13,7))))</f>
        <v>0.57978723404255317</v>
      </c>
      <c r="R31">
        <f>MIN(0.999,MAX(0.001,Q31+INDEX($E$2:$E$13,8)*IF(Data!C241&lt;=INDEX($B$2:$B$13,8),INDEX($C$2:$C$13,8),INDEX($D$2:$D$13,8))))</f>
        <v>0.57978723404255317</v>
      </c>
      <c r="S31">
        <f>MIN(0.999,MAX(0.001,R31+INDEX($E$2:$E$13,9)*IF(Data!C241&lt;=INDEX($B$2:$B$13,9),INDEX($C$2:$C$13,9),INDEX($D$2:$D$13,9))))</f>
        <v>0.57978723404255317</v>
      </c>
      <c r="T31">
        <f>MIN(0.999,MAX(0.001,S31+INDEX($E$2:$E$13,10)*IF(Data!C241&lt;=INDEX($B$2:$B$13,10),INDEX($C$2:$C$13,10),INDEX($D$2:$D$13,10))))</f>
        <v>0.57978723404255317</v>
      </c>
      <c r="U31">
        <f>MIN(0.999,MAX(0.001,T31+INDEX($E$2:$E$13,11)*IF(Data!C241&lt;=INDEX($B$2:$B$13,11),INDEX($C$2:$C$13,11),INDEX($D$2:$D$13,11))))</f>
        <v>0.57978723404255317</v>
      </c>
      <c r="V31">
        <f>MIN(0.999,MAX(0.001,U31+INDEX($E$2:$E$13,12)*IF(Data!C241&lt;=INDEX($B$2:$B$13,12),INDEX($C$2:$C$13,12),INDEX($D$2:$D$13,12))))</f>
        <v>0.57978723404255317</v>
      </c>
      <c r="W31">
        <f>IF(V31&gt;=Controls!$B$2,1,0)</f>
        <v>1</v>
      </c>
      <c r="X31">
        <f t="shared" si="0"/>
        <v>0</v>
      </c>
    </row>
    <row r="32" spans="8:24" x14ac:dyDescent="0.2">
      <c r="H32">
        <f>Data!A242</f>
        <v>241</v>
      </c>
      <c r="I32">
        <f>Data!L242</f>
        <v>0</v>
      </c>
      <c r="J32">
        <f>IF(Data!C242&lt;=ClassTree!$L$2,ClassTree!$L$4,ClassTree!$L$6)</f>
        <v>0.57978723404255317</v>
      </c>
      <c r="K32">
        <f>MIN(0.999,MAX(0.001,J32+INDEX($E$2:$E$13,1)*IF(Data!C242&lt;=INDEX($B$2:$B$13,1),INDEX($C$2:$C$13,1),INDEX($D$2:$D$13,1))))</f>
        <v>0.57978723404255317</v>
      </c>
      <c r="L32">
        <f>MIN(0.999,MAX(0.001,K32+INDEX($E$2:$E$13,2)*IF(Data!C242&lt;=INDEX($B$2:$B$13,2),INDEX($C$2:$C$13,2),INDEX($D$2:$D$13,2))))</f>
        <v>0.57978723404255317</v>
      </c>
      <c r="M32">
        <f>MIN(0.999,MAX(0.001,L32+INDEX($E$2:$E$13,3)*IF(Data!C242&lt;=INDEX($B$2:$B$13,3),INDEX($C$2:$C$13,3),INDEX($D$2:$D$13,3))))</f>
        <v>0.57978723404255317</v>
      </c>
      <c r="N32">
        <f>MIN(0.999,MAX(0.001,M32+INDEX($E$2:$E$13,4)*IF(Data!C242&lt;=INDEX($B$2:$B$13,4),INDEX($C$2:$C$13,4),INDEX($D$2:$D$13,4))))</f>
        <v>0.57978723404255317</v>
      </c>
      <c r="O32">
        <f>MIN(0.999,MAX(0.001,N32+INDEX($E$2:$E$13,5)*IF(Data!C242&lt;=INDEX($B$2:$B$13,5),INDEX($C$2:$C$13,5),INDEX($D$2:$D$13,5))))</f>
        <v>0.57978723404255317</v>
      </c>
      <c r="P32">
        <f>MIN(0.999,MAX(0.001,O32+INDEX($E$2:$E$13,6)*IF(Data!C242&lt;=INDEX($B$2:$B$13,6),INDEX($C$2:$C$13,6),INDEX($D$2:$D$13,6))))</f>
        <v>0.57978723404255317</v>
      </c>
      <c r="Q32">
        <f>MIN(0.999,MAX(0.001,P32+INDEX($E$2:$E$13,7)*IF(Data!C242&lt;=INDEX($B$2:$B$13,7),INDEX($C$2:$C$13,7),INDEX($D$2:$D$13,7))))</f>
        <v>0.57978723404255317</v>
      </c>
      <c r="R32">
        <f>MIN(0.999,MAX(0.001,Q32+INDEX($E$2:$E$13,8)*IF(Data!C242&lt;=INDEX($B$2:$B$13,8),INDEX($C$2:$C$13,8),INDEX($D$2:$D$13,8))))</f>
        <v>0.57978723404255317</v>
      </c>
      <c r="S32">
        <f>MIN(0.999,MAX(0.001,R32+INDEX($E$2:$E$13,9)*IF(Data!C242&lt;=INDEX($B$2:$B$13,9),INDEX($C$2:$C$13,9),INDEX($D$2:$D$13,9))))</f>
        <v>0.57978723404255317</v>
      </c>
      <c r="T32">
        <f>MIN(0.999,MAX(0.001,S32+INDEX($E$2:$E$13,10)*IF(Data!C242&lt;=INDEX($B$2:$B$13,10),INDEX($C$2:$C$13,10),INDEX($D$2:$D$13,10))))</f>
        <v>0.57978723404255317</v>
      </c>
      <c r="U32">
        <f>MIN(0.999,MAX(0.001,T32+INDEX($E$2:$E$13,11)*IF(Data!C242&lt;=INDEX($B$2:$B$13,11),INDEX($C$2:$C$13,11),INDEX($D$2:$D$13,11))))</f>
        <v>0.57978723404255317</v>
      </c>
      <c r="V32">
        <f>MIN(0.999,MAX(0.001,U32+INDEX($E$2:$E$13,12)*IF(Data!C242&lt;=INDEX($B$2:$B$13,12),INDEX($C$2:$C$13,12),INDEX($D$2:$D$13,12))))</f>
        <v>0.57978723404255317</v>
      </c>
      <c r="W32">
        <f>IF(V32&gt;=Controls!$B$2,1,0)</f>
        <v>1</v>
      </c>
      <c r="X32">
        <f t="shared" si="0"/>
        <v>0</v>
      </c>
    </row>
    <row r="33" spans="8:24" x14ac:dyDescent="0.2">
      <c r="H33">
        <f>Data!A243</f>
        <v>242</v>
      </c>
      <c r="I33">
        <f>Data!L243</f>
        <v>1</v>
      </c>
      <c r="J33">
        <f>IF(Data!C243&lt;=ClassTree!$L$2,ClassTree!$L$4,ClassTree!$L$6)</f>
        <v>0.57978723404255317</v>
      </c>
      <c r="K33">
        <f>MIN(0.999,MAX(0.001,J33+INDEX($E$2:$E$13,1)*IF(Data!C243&lt;=INDEX($B$2:$B$13,1),INDEX($C$2:$C$13,1),INDEX($D$2:$D$13,1))))</f>
        <v>0.57978723404255317</v>
      </c>
      <c r="L33">
        <f>MIN(0.999,MAX(0.001,K33+INDEX($E$2:$E$13,2)*IF(Data!C243&lt;=INDEX($B$2:$B$13,2),INDEX($C$2:$C$13,2),INDEX($D$2:$D$13,2))))</f>
        <v>0.57978723404255317</v>
      </c>
      <c r="M33">
        <f>MIN(0.999,MAX(0.001,L33+INDEX($E$2:$E$13,3)*IF(Data!C243&lt;=INDEX($B$2:$B$13,3),INDEX($C$2:$C$13,3),INDEX($D$2:$D$13,3))))</f>
        <v>0.57978723404255317</v>
      </c>
      <c r="N33">
        <f>MIN(0.999,MAX(0.001,M33+INDEX($E$2:$E$13,4)*IF(Data!C243&lt;=INDEX($B$2:$B$13,4),INDEX($C$2:$C$13,4),INDEX($D$2:$D$13,4))))</f>
        <v>0.57978723404255317</v>
      </c>
      <c r="O33">
        <f>MIN(0.999,MAX(0.001,N33+INDEX($E$2:$E$13,5)*IF(Data!C243&lt;=INDEX($B$2:$B$13,5),INDEX($C$2:$C$13,5),INDEX($D$2:$D$13,5))))</f>
        <v>0.57978723404255317</v>
      </c>
      <c r="P33">
        <f>MIN(0.999,MAX(0.001,O33+INDEX($E$2:$E$13,6)*IF(Data!C243&lt;=INDEX($B$2:$B$13,6),INDEX($C$2:$C$13,6),INDEX($D$2:$D$13,6))))</f>
        <v>0.57978723404255317</v>
      </c>
      <c r="Q33">
        <f>MIN(0.999,MAX(0.001,P33+INDEX($E$2:$E$13,7)*IF(Data!C243&lt;=INDEX($B$2:$B$13,7),INDEX($C$2:$C$13,7),INDEX($D$2:$D$13,7))))</f>
        <v>0.57978723404255317</v>
      </c>
      <c r="R33">
        <f>MIN(0.999,MAX(0.001,Q33+INDEX($E$2:$E$13,8)*IF(Data!C243&lt;=INDEX($B$2:$B$13,8),INDEX($C$2:$C$13,8),INDEX($D$2:$D$13,8))))</f>
        <v>0.57978723404255317</v>
      </c>
      <c r="S33">
        <f>MIN(0.999,MAX(0.001,R33+INDEX($E$2:$E$13,9)*IF(Data!C243&lt;=INDEX($B$2:$B$13,9),INDEX($C$2:$C$13,9),INDEX($D$2:$D$13,9))))</f>
        <v>0.57978723404255317</v>
      </c>
      <c r="T33">
        <f>MIN(0.999,MAX(0.001,S33+INDEX($E$2:$E$13,10)*IF(Data!C243&lt;=INDEX($B$2:$B$13,10),INDEX($C$2:$C$13,10),INDEX($D$2:$D$13,10))))</f>
        <v>0.57978723404255317</v>
      </c>
      <c r="U33">
        <f>MIN(0.999,MAX(0.001,T33+INDEX($E$2:$E$13,11)*IF(Data!C243&lt;=INDEX($B$2:$B$13,11),INDEX($C$2:$C$13,11),INDEX($D$2:$D$13,11))))</f>
        <v>0.57978723404255317</v>
      </c>
      <c r="V33">
        <f>MIN(0.999,MAX(0.001,U33+INDEX($E$2:$E$13,12)*IF(Data!C243&lt;=INDEX($B$2:$B$13,12),INDEX($C$2:$C$13,12),INDEX($D$2:$D$13,12))))</f>
        <v>0.57978723404255317</v>
      </c>
      <c r="W33">
        <f>IF(V33&gt;=Controls!$B$2,1,0)</f>
        <v>1</v>
      </c>
      <c r="X33">
        <f t="shared" si="0"/>
        <v>1</v>
      </c>
    </row>
    <row r="34" spans="8:24" x14ac:dyDescent="0.2">
      <c r="H34">
        <f>Data!A244</f>
        <v>243</v>
      </c>
      <c r="I34">
        <f>Data!L244</f>
        <v>0</v>
      </c>
      <c r="J34">
        <f>IF(Data!C244&lt;=ClassTree!$L$2,ClassTree!$L$4,ClassTree!$L$6)</f>
        <v>0.57978723404255317</v>
      </c>
      <c r="K34">
        <f>MIN(0.999,MAX(0.001,J34+INDEX($E$2:$E$13,1)*IF(Data!C244&lt;=INDEX($B$2:$B$13,1),INDEX($C$2:$C$13,1),INDEX($D$2:$D$13,1))))</f>
        <v>0.57978723404255317</v>
      </c>
      <c r="L34">
        <f>MIN(0.999,MAX(0.001,K34+INDEX($E$2:$E$13,2)*IF(Data!C244&lt;=INDEX($B$2:$B$13,2),INDEX($C$2:$C$13,2),INDEX($D$2:$D$13,2))))</f>
        <v>0.57978723404255317</v>
      </c>
      <c r="M34">
        <f>MIN(0.999,MAX(0.001,L34+INDEX($E$2:$E$13,3)*IF(Data!C244&lt;=INDEX($B$2:$B$13,3),INDEX($C$2:$C$13,3),INDEX($D$2:$D$13,3))))</f>
        <v>0.57978723404255317</v>
      </c>
      <c r="N34">
        <f>MIN(0.999,MAX(0.001,M34+INDEX($E$2:$E$13,4)*IF(Data!C244&lt;=INDEX($B$2:$B$13,4),INDEX($C$2:$C$13,4),INDEX($D$2:$D$13,4))))</f>
        <v>0.57978723404255317</v>
      </c>
      <c r="O34">
        <f>MIN(0.999,MAX(0.001,N34+INDEX($E$2:$E$13,5)*IF(Data!C244&lt;=INDEX($B$2:$B$13,5),INDEX($C$2:$C$13,5),INDEX($D$2:$D$13,5))))</f>
        <v>0.57978723404255317</v>
      </c>
      <c r="P34">
        <f>MIN(0.999,MAX(0.001,O34+INDEX($E$2:$E$13,6)*IF(Data!C244&lt;=INDEX($B$2:$B$13,6),INDEX($C$2:$C$13,6),INDEX($D$2:$D$13,6))))</f>
        <v>0.57978723404255317</v>
      </c>
      <c r="Q34">
        <f>MIN(0.999,MAX(0.001,P34+INDEX($E$2:$E$13,7)*IF(Data!C244&lt;=INDEX($B$2:$B$13,7),INDEX($C$2:$C$13,7),INDEX($D$2:$D$13,7))))</f>
        <v>0.57978723404255317</v>
      </c>
      <c r="R34">
        <f>MIN(0.999,MAX(0.001,Q34+INDEX($E$2:$E$13,8)*IF(Data!C244&lt;=INDEX($B$2:$B$13,8),INDEX($C$2:$C$13,8),INDEX($D$2:$D$13,8))))</f>
        <v>0.57978723404255317</v>
      </c>
      <c r="S34">
        <f>MIN(0.999,MAX(0.001,R34+INDEX($E$2:$E$13,9)*IF(Data!C244&lt;=INDEX($B$2:$B$13,9),INDEX($C$2:$C$13,9),INDEX($D$2:$D$13,9))))</f>
        <v>0.57978723404255317</v>
      </c>
      <c r="T34">
        <f>MIN(0.999,MAX(0.001,S34+INDEX($E$2:$E$13,10)*IF(Data!C244&lt;=INDEX($B$2:$B$13,10),INDEX($C$2:$C$13,10),INDEX($D$2:$D$13,10))))</f>
        <v>0.57978723404255317</v>
      </c>
      <c r="U34">
        <f>MIN(0.999,MAX(0.001,T34+INDEX($E$2:$E$13,11)*IF(Data!C244&lt;=INDEX($B$2:$B$13,11),INDEX($C$2:$C$13,11),INDEX($D$2:$D$13,11))))</f>
        <v>0.57978723404255317</v>
      </c>
      <c r="V34">
        <f>MIN(0.999,MAX(0.001,U34+INDEX($E$2:$E$13,12)*IF(Data!C244&lt;=INDEX($B$2:$B$13,12),INDEX($C$2:$C$13,12),INDEX($D$2:$D$13,12))))</f>
        <v>0.57978723404255317</v>
      </c>
      <c r="W34">
        <f>IF(V34&gt;=Controls!$B$2,1,0)</f>
        <v>1</v>
      </c>
      <c r="X34">
        <f t="shared" ref="X34:X65" si="3">--(W34=I34)</f>
        <v>0</v>
      </c>
    </row>
    <row r="35" spans="8:24" x14ac:dyDescent="0.2">
      <c r="H35">
        <f>Data!A245</f>
        <v>244</v>
      </c>
      <c r="I35">
        <f>Data!L245</f>
        <v>1</v>
      </c>
      <c r="J35">
        <f>IF(Data!C245&lt;=ClassTree!$L$2,ClassTree!$L$4,ClassTree!$L$6)</f>
        <v>0.57978723404255317</v>
      </c>
      <c r="K35">
        <f>MIN(0.999,MAX(0.001,J35+INDEX($E$2:$E$13,1)*IF(Data!C245&lt;=INDEX($B$2:$B$13,1),INDEX($C$2:$C$13,1),INDEX($D$2:$D$13,1))))</f>
        <v>0.57978723404255317</v>
      </c>
      <c r="L35">
        <f>MIN(0.999,MAX(0.001,K35+INDEX($E$2:$E$13,2)*IF(Data!C245&lt;=INDEX($B$2:$B$13,2),INDEX($C$2:$C$13,2),INDEX($D$2:$D$13,2))))</f>
        <v>0.57978723404255317</v>
      </c>
      <c r="M35">
        <f>MIN(0.999,MAX(0.001,L35+INDEX($E$2:$E$13,3)*IF(Data!C245&lt;=INDEX($B$2:$B$13,3),INDEX($C$2:$C$13,3),INDEX($D$2:$D$13,3))))</f>
        <v>0.57978723404255317</v>
      </c>
      <c r="N35">
        <f>MIN(0.999,MAX(0.001,M35+INDEX($E$2:$E$13,4)*IF(Data!C245&lt;=INDEX($B$2:$B$13,4),INDEX($C$2:$C$13,4),INDEX($D$2:$D$13,4))))</f>
        <v>0.57978723404255317</v>
      </c>
      <c r="O35">
        <f>MIN(0.999,MAX(0.001,N35+INDEX($E$2:$E$13,5)*IF(Data!C245&lt;=INDEX($B$2:$B$13,5),INDEX($C$2:$C$13,5),INDEX($D$2:$D$13,5))))</f>
        <v>0.57978723404255317</v>
      </c>
      <c r="P35">
        <f>MIN(0.999,MAX(0.001,O35+INDEX($E$2:$E$13,6)*IF(Data!C245&lt;=INDEX($B$2:$B$13,6),INDEX($C$2:$C$13,6),INDEX($D$2:$D$13,6))))</f>
        <v>0.57978723404255317</v>
      </c>
      <c r="Q35">
        <f>MIN(0.999,MAX(0.001,P35+INDEX($E$2:$E$13,7)*IF(Data!C245&lt;=INDEX($B$2:$B$13,7),INDEX($C$2:$C$13,7),INDEX($D$2:$D$13,7))))</f>
        <v>0.57978723404255317</v>
      </c>
      <c r="R35">
        <f>MIN(0.999,MAX(0.001,Q35+INDEX($E$2:$E$13,8)*IF(Data!C245&lt;=INDEX($B$2:$B$13,8),INDEX($C$2:$C$13,8),INDEX($D$2:$D$13,8))))</f>
        <v>0.57978723404255317</v>
      </c>
      <c r="S35">
        <f>MIN(0.999,MAX(0.001,R35+INDEX($E$2:$E$13,9)*IF(Data!C245&lt;=INDEX($B$2:$B$13,9),INDEX($C$2:$C$13,9),INDEX($D$2:$D$13,9))))</f>
        <v>0.57978723404255317</v>
      </c>
      <c r="T35">
        <f>MIN(0.999,MAX(0.001,S35+INDEX($E$2:$E$13,10)*IF(Data!C245&lt;=INDEX($B$2:$B$13,10),INDEX($C$2:$C$13,10),INDEX($D$2:$D$13,10))))</f>
        <v>0.57978723404255317</v>
      </c>
      <c r="U35">
        <f>MIN(0.999,MAX(0.001,T35+INDEX($E$2:$E$13,11)*IF(Data!C245&lt;=INDEX($B$2:$B$13,11),INDEX($C$2:$C$13,11),INDEX($D$2:$D$13,11))))</f>
        <v>0.57978723404255317</v>
      </c>
      <c r="V35">
        <f>MIN(0.999,MAX(0.001,U35+INDEX($E$2:$E$13,12)*IF(Data!C245&lt;=INDEX($B$2:$B$13,12),INDEX($C$2:$C$13,12),INDEX($D$2:$D$13,12))))</f>
        <v>0.57978723404255317</v>
      </c>
      <c r="W35">
        <f>IF(V35&gt;=Controls!$B$2,1,0)</f>
        <v>1</v>
      </c>
      <c r="X35">
        <f t="shared" si="3"/>
        <v>1</v>
      </c>
    </row>
    <row r="36" spans="8:24" x14ac:dyDescent="0.2">
      <c r="H36">
        <f>Data!A246</f>
        <v>245</v>
      </c>
      <c r="I36">
        <f>Data!L246</f>
        <v>1</v>
      </c>
      <c r="J36">
        <f>IF(Data!C246&lt;=ClassTree!$L$2,ClassTree!$L$4,ClassTree!$L$6)</f>
        <v>4.5454545454545456E-2</v>
      </c>
      <c r="K36">
        <f>MIN(0.999,MAX(0.001,J36+INDEX($E$2:$E$13,1)*IF(Data!C246&lt;=INDEX($B$2:$B$13,1),INDEX($C$2:$C$13,1),INDEX($D$2:$D$13,1))))</f>
        <v>4.5454545454545456E-2</v>
      </c>
      <c r="L36">
        <f>MIN(0.999,MAX(0.001,K36+INDEX($E$2:$E$13,2)*IF(Data!C246&lt;=INDEX($B$2:$B$13,2),INDEX($C$2:$C$13,2),INDEX($D$2:$D$13,2))))</f>
        <v>4.5454545454545456E-2</v>
      </c>
      <c r="M36">
        <f>MIN(0.999,MAX(0.001,L36+INDEX($E$2:$E$13,3)*IF(Data!C246&lt;=INDEX($B$2:$B$13,3),INDEX($C$2:$C$13,3),INDEX($D$2:$D$13,3))))</f>
        <v>4.5454545454545456E-2</v>
      </c>
      <c r="N36">
        <f>MIN(0.999,MAX(0.001,M36+INDEX($E$2:$E$13,4)*IF(Data!C246&lt;=INDEX($B$2:$B$13,4),INDEX($C$2:$C$13,4),INDEX($D$2:$D$13,4))))</f>
        <v>4.5454545454545456E-2</v>
      </c>
      <c r="O36">
        <f>MIN(0.999,MAX(0.001,N36+INDEX($E$2:$E$13,5)*IF(Data!C246&lt;=INDEX($B$2:$B$13,5),INDEX($C$2:$C$13,5),INDEX($D$2:$D$13,5))))</f>
        <v>4.5454545454545456E-2</v>
      </c>
      <c r="P36">
        <f>MIN(0.999,MAX(0.001,O36+INDEX($E$2:$E$13,6)*IF(Data!C246&lt;=INDEX($B$2:$B$13,6),INDEX($C$2:$C$13,6),INDEX($D$2:$D$13,6))))</f>
        <v>4.5454545454545456E-2</v>
      </c>
      <c r="Q36">
        <f>MIN(0.999,MAX(0.001,P36+INDEX($E$2:$E$13,7)*IF(Data!C246&lt;=INDEX($B$2:$B$13,7),INDEX($C$2:$C$13,7),INDEX($D$2:$D$13,7))))</f>
        <v>4.5454545454545456E-2</v>
      </c>
      <c r="R36">
        <f>MIN(0.999,MAX(0.001,Q36+INDEX($E$2:$E$13,8)*IF(Data!C246&lt;=INDEX($B$2:$B$13,8),INDEX($C$2:$C$13,8),INDEX($D$2:$D$13,8))))</f>
        <v>4.5454545454545456E-2</v>
      </c>
      <c r="S36">
        <f>MIN(0.999,MAX(0.001,R36+INDEX($E$2:$E$13,9)*IF(Data!C246&lt;=INDEX($B$2:$B$13,9),INDEX($C$2:$C$13,9),INDEX($D$2:$D$13,9))))</f>
        <v>4.5454545454545456E-2</v>
      </c>
      <c r="T36">
        <f>MIN(0.999,MAX(0.001,S36+INDEX($E$2:$E$13,10)*IF(Data!C246&lt;=INDEX($B$2:$B$13,10),INDEX($C$2:$C$13,10),INDEX($D$2:$D$13,10))))</f>
        <v>4.5454545454545456E-2</v>
      </c>
      <c r="U36">
        <f>MIN(0.999,MAX(0.001,T36+INDEX($E$2:$E$13,11)*IF(Data!C246&lt;=INDEX($B$2:$B$13,11),INDEX($C$2:$C$13,11),INDEX($D$2:$D$13,11))))</f>
        <v>4.5454545454545456E-2</v>
      </c>
      <c r="V36">
        <f>MIN(0.999,MAX(0.001,U36+INDEX($E$2:$E$13,12)*IF(Data!C246&lt;=INDEX($B$2:$B$13,12),INDEX($C$2:$C$13,12),INDEX($D$2:$D$13,12))))</f>
        <v>4.5454545454545456E-2</v>
      </c>
      <c r="W36">
        <f>IF(V36&gt;=Controls!$B$2,1,0)</f>
        <v>0</v>
      </c>
      <c r="X36">
        <f t="shared" si="3"/>
        <v>0</v>
      </c>
    </row>
    <row r="37" spans="8:24" x14ac:dyDescent="0.2">
      <c r="H37">
        <f>Data!A247</f>
        <v>246</v>
      </c>
      <c r="I37">
        <f>Data!L247</f>
        <v>0</v>
      </c>
      <c r="J37">
        <f>IF(Data!C247&lt;=ClassTree!$L$2,ClassTree!$L$4,ClassTree!$L$6)</f>
        <v>4.5454545454545456E-2</v>
      </c>
      <c r="K37">
        <f>MIN(0.999,MAX(0.001,J37+INDEX($E$2:$E$13,1)*IF(Data!C247&lt;=INDEX($B$2:$B$13,1),INDEX($C$2:$C$13,1),INDEX($D$2:$D$13,1))))</f>
        <v>4.5454545454545456E-2</v>
      </c>
      <c r="L37">
        <f>MIN(0.999,MAX(0.001,K37+INDEX($E$2:$E$13,2)*IF(Data!C247&lt;=INDEX($B$2:$B$13,2),INDEX($C$2:$C$13,2),INDEX($D$2:$D$13,2))))</f>
        <v>4.5454545454545456E-2</v>
      </c>
      <c r="M37">
        <f>MIN(0.999,MAX(0.001,L37+INDEX($E$2:$E$13,3)*IF(Data!C247&lt;=INDEX($B$2:$B$13,3),INDEX($C$2:$C$13,3),INDEX($D$2:$D$13,3))))</f>
        <v>4.5454545454545456E-2</v>
      </c>
      <c r="N37">
        <f>MIN(0.999,MAX(0.001,M37+INDEX($E$2:$E$13,4)*IF(Data!C247&lt;=INDEX($B$2:$B$13,4),INDEX($C$2:$C$13,4),INDEX($D$2:$D$13,4))))</f>
        <v>4.5454545454545456E-2</v>
      </c>
      <c r="O37">
        <f>MIN(0.999,MAX(0.001,N37+INDEX($E$2:$E$13,5)*IF(Data!C247&lt;=INDEX($B$2:$B$13,5),INDEX($C$2:$C$13,5),INDEX($D$2:$D$13,5))))</f>
        <v>4.5454545454545456E-2</v>
      </c>
      <c r="P37">
        <f>MIN(0.999,MAX(0.001,O37+INDEX($E$2:$E$13,6)*IF(Data!C247&lt;=INDEX($B$2:$B$13,6),INDEX($C$2:$C$13,6),INDEX($D$2:$D$13,6))))</f>
        <v>4.5454545454545456E-2</v>
      </c>
      <c r="Q37">
        <f>MIN(0.999,MAX(0.001,P37+INDEX($E$2:$E$13,7)*IF(Data!C247&lt;=INDEX($B$2:$B$13,7),INDEX($C$2:$C$13,7),INDEX($D$2:$D$13,7))))</f>
        <v>4.5454545454545456E-2</v>
      </c>
      <c r="R37">
        <f>MIN(0.999,MAX(0.001,Q37+INDEX($E$2:$E$13,8)*IF(Data!C247&lt;=INDEX($B$2:$B$13,8),INDEX($C$2:$C$13,8),INDEX($D$2:$D$13,8))))</f>
        <v>4.5454545454545456E-2</v>
      </c>
      <c r="S37">
        <f>MIN(0.999,MAX(0.001,R37+INDEX($E$2:$E$13,9)*IF(Data!C247&lt;=INDEX($B$2:$B$13,9),INDEX($C$2:$C$13,9),INDEX($D$2:$D$13,9))))</f>
        <v>4.5454545454545456E-2</v>
      </c>
      <c r="T37">
        <f>MIN(0.999,MAX(0.001,S37+INDEX($E$2:$E$13,10)*IF(Data!C247&lt;=INDEX($B$2:$B$13,10),INDEX($C$2:$C$13,10),INDEX($D$2:$D$13,10))))</f>
        <v>4.5454545454545456E-2</v>
      </c>
      <c r="U37">
        <f>MIN(0.999,MAX(0.001,T37+INDEX($E$2:$E$13,11)*IF(Data!C247&lt;=INDEX($B$2:$B$13,11),INDEX($C$2:$C$13,11),INDEX($D$2:$D$13,11))))</f>
        <v>4.5454545454545456E-2</v>
      </c>
      <c r="V37">
        <f>MIN(0.999,MAX(0.001,U37+INDEX($E$2:$E$13,12)*IF(Data!C247&lt;=INDEX($B$2:$B$13,12),INDEX($C$2:$C$13,12),INDEX($D$2:$D$13,12))))</f>
        <v>4.5454545454545456E-2</v>
      </c>
      <c r="W37">
        <f>IF(V37&gt;=Controls!$B$2,1,0)</f>
        <v>0</v>
      </c>
      <c r="X37">
        <f t="shared" si="3"/>
        <v>1</v>
      </c>
    </row>
    <row r="38" spans="8:24" x14ac:dyDescent="0.2">
      <c r="H38">
        <f>Data!A248</f>
        <v>247</v>
      </c>
      <c r="I38">
        <f>Data!L248</f>
        <v>0</v>
      </c>
      <c r="J38">
        <f>IF(Data!C248&lt;=ClassTree!$L$2,ClassTree!$L$4,ClassTree!$L$6)</f>
        <v>0.57978723404255317</v>
      </c>
      <c r="K38">
        <f>MIN(0.999,MAX(0.001,J38+INDEX($E$2:$E$13,1)*IF(Data!C248&lt;=INDEX($B$2:$B$13,1),INDEX($C$2:$C$13,1),INDEX($D$2:$D$13,1))))</f>
        <v>0.57978723404255317</v>
      </c>
      <c r="L38">
        <f>MIN(0.999,MAX(0.001,K38+INDEX($E$2:$E$13,2)*IF(Data!C248&lt;=INDEX($B$2:$B$13,2),INDEX($C$2:$C$13,2),INDEX($D$2:$D$13,2))))</f>
        <v>0.57978723404255317</v>
      </c>
      <c r="M38">
        <f>MIN(0.999,MAX(0.001,L38+INDEX($E$2:$E$13,3)*IF(Data!C248&lt;=INDEX($B$2:$B$13,3),INDEX($C$2:$C$13,3),INDEX($D$2:$D$13,3))))</f>
        <v>0.57978723404255317</v>
      </c>
      <c r="N38">
        <f>MIN(0.999,MAX(0.001,M38+INDEX($E$2:$E$13,4)*IF(Data!C248&lt;=INDEX($B$2:$B$13,4),INDEX($C$2:$C$13,4),INDEX($D$2:$D$13,4))))</f>
        <v>0.57978723404255317</v>
      </c>
      <c r="O38">
        <f>MIN(0.999,MAX(0.001,N38+INDEX($E$2:$E$13,5)*IF(Data!C248&lt;=INDEX($B$2:$B$13,5),INDEX($C$2:$C$13,5),INDEX($D$2:$D$13,5))))</f>
        <v>0.57978723404255317</v>
      </c>
      <c r="P38">
        <f>MIN(0.999,MAX(0.001,O38+INDEX($E$2:$E$13,6)*IF(Data!C248&lt;=INDEX($B$2:$B$13,6),INDEX($C$2:$C$13,6),INDEX($D$2:$D$13,6))))</f>
        <v>0.57978723404255317</v>
      </c>
      <c r="Q38">
        <f>MIN(0.999,MAX(0.001,P38+INDEX($E$2:$E$13,7)*IF(Data!C248&lt;=INDEX($B$2:$B$13,7),INDEX($C$2:$C$13,7),INDEX($D$2:$D$13,7))))</f>
        <v>0.57978723404255317</v>
      </c>
      <c r="R38">
        <f>MIN(0.999,MAX(0.001,Q38+INDEX($E$2:$E$13,8)*IF(Data!C248&lt;=INDEX($B$2:$B$13,8),INDEX($C$2:$C$13,8),INDEX($D$2:$D$13,8))))</f>
        <v>0.57978723404255317</v>
      </c>
      <c r="S38">
        <f>MIN(0.999,MAX(0.001,R38+INDEX($E$2:$E$13,9)*IF(Data!C248&lt;=INDEX($B$2:$B$13,9),INDEX($C$2:$C$13,9),INDEX($D$2:$D$13,9))))</f>
        <v>0.57978723404255317</v>
      </c>
      <c r="T38">
        <f>MIN(0.999,MAX(0.001,S38+INDEX($E$2:$E$13,10)*IF(Data!C248&lt;=INDEX($B$2:$B$13,10),INDEX($C$2:$C$13,10),INDEX($D$2:$D$13,10))))</f>
        <v>0.57978723404255317</v>
      </c>
      <c r="U38">
        <f>MIN(0.999,MAX(0.001,T38+INDEX($E$2:$E$13,11)*IF(Data!C248&lt;=INDEX($B$2:$B$13,11),INDEX($C$2:$C$13,11),INDEX($D$2:$D$13,11))))</f>
        <v>0.57978723404255317</v>
      </c>
      <c r="V38">
        <f>MIN(0.999,MAX(0.001,U38+INDEX($E$2:$E$13,12)*IF(Data!C248&lt;=INDEX($B$2:$B$13,12),INDEX($C$2:$C$13,12),INDEX($D$2:$D$13,12))))</f>
        <v>0.57978723404255317</v>
      </c>
      <c r="W38">
        <f>IF(V38&gt;=Controls!$B$2,1,0)</f>
        <v>1</v>
      </c>
      <c r="X38">
        <f t="shared" si="3"/>
        <v>0</v>
      </c>
    </row>
    <row r="39" spans="8:24" x14ac:dyDescent="0.2">
      <c r="H39">
        <f>Data!A249</f>
        <v>248</v>
      </c>
      <c r="I39">
        <f>Data!L249</f>
        <v>1</v>
      </c>
      <c r="J39">
        <f>IF(Data!C249&lt;=ClassTree!$L$2,ClassTree!$L$4,ClassTree!$L$6)</f>
        <v>0.57978723404255317</v>
      </c>
      <c r="K39">
        <f>MIN(0.999,MAX(0.001,J39+INDEX($E$2:$E$13,1)*IF(Data!C249&lt;=INDEX($B$2:$B$13,1),INDEX($C$2:$C$13,1),INDEX($D$2:$D$13,1))))</f>
        <v>0.57978723404255317</v>
      </c>
      <c r="L39">
        <f>MIN(0.999,MAX(0.001,K39+INDEX($E$2:$E$13,2)*IF(Data!C249&lt;=INDEX($B$2:$B$13,2),INDEX($C$2:$C$13,2),INDEX($D$2:$D$13,2))))</f>
        <v>0.57978723404255317</v>
      </c>
      <c r="M39">
        <f>MIN(0.999,MAX(0.001,L39+INDEX($E$2:$E$13,3)*IF(Data!C249&lt;=INDEX($B$2:$B$13,3),INDEX($C$2:$C$13,3),INDEX($D$2:$D$13,3))))</f>
        <v>0.57978723404255317</v>
      </c>
      <c r="N39">
        <f>MIN(0.999,MAX(0.001,M39+INDEX($E$2:$E$13,4)*IF(Data!C249&lt;=INDEX($B$2:$B$13,4),INDEX($C$2:$C$13,4),INDEX($D$2:$D$13,4))))</f>
        <v>0.57978723404255317</v>
      </c>
      <c r="O39">
        <f>MIN(0.999,MAX(0.001,N39+INDEX($E$2:$E$13,5)*IF(Data!C249&lt;=INDEX($B$2:$B$13,5),INDEX($C$2:$C$13,5),INDEX($D$2:$D$13,5))))</f>
        <v>0.57978723404255317</v>
      </c>
      <c r="P39">
        <f>MIN(0.999,MAX(0.001,O39+INDEX($E$2:$E$13,6)*IF(Data!C249&lt;=INDEX($B$2:$B$13,6),INDEX($C$2:$C$13,6),INDEX($D$2:$D$13,6))))</f>
        <v>0.57978723404255317</v>
      </c>
      <c r="Q39">
        <f>MIN(0.999,MAX(0.001,P39+INDEX($E$2:$E$13,7)*IF(Data!C249&lt;=INDEX($B$2:$B$13,7),INDEX($C$2:$C$13,7),INDEX($D$2:$D$13,7))))</f>
        <v>0.57978723404255317</v>
      </c>
      <c r="R39">
        <f>MIN(0.999,MAX(0.001,Q39+INDEX($E$2:$E$13,8)*IF(Data!C249&lt;=INDEX($B$2:$B$13,8),INDEX($C$2:$C$13,8),INDEX($D$2:$D$13,8))))</f>
        <v>0.57978723404255317</v>
      </c>
      <c r="S39">
        <f>MIN(0.999,MAX(0.001,R39+INDEX($E$2:$E$13,9)*IF(Data!C249&lt;=INDEX($B$2:$B$13,9),INDEX($C$2:$C$13,9),INDEX($D$2:$D$13,9))))</f>
        <v>0.57978723404255317</v>
      </c>
      <c r="T39">
        <f>MIN(0.999,MAX(0.001,S39+INDEX($E$2:$E$13,10)*IF(Data!C249&lt;=INDEX($B$2:$B$13,10),INDEX($C$2:$C$13,10),INDEX($D$2:$D$13,10))))</f>
        <v>0.57978723404255317</v>
      </c>
      <c r="U39">
        <f>MIN(0.999,MAX(0.001,T39+INDEX($E$2:$E$13,11)*IF(Data!C249&lt;=INDEX($B$2:$B$13,11),INDEX($C$2:$C$13,11),INDEX($D$2:$D$13,11))))</f>
        <v>0.57978723404255317</v>
      </c>
      <c r="V39">
        <f>MIN(0.999,MAX(0.001,U39+INDEX($E$2:$E$13,12)*IF(Data!C249&lt;=INDEX($B$2:$B$13,12),INDEX($C$2:$C$13,12),INDEX($D$2:$D$13,12))))</f>
        <v>0.57978723404255317</v>
      </c>
      <c r="W39">
        <f>IF(V39&gt;=Controls!$B$2,1,0)</f>
        <v>1</v>
      </c>
      <c r="X39">
        <f t="shared" si="3"/>
        <v>1</v>
      </c>
    </row>
    <row r="40" spans="8:24" x14ac:dyDescent="0.2">
      <c r="H40">
        <f>Data!A250</f>
        <v>249</v>
      </c>
      <c r="I40">
        <f>Data!L250</f>
        <v>0</v>
      </c>
      <c r="J40">
        <f>IF(Data!C250&lt;=ClassTree!$L$2,ClassTree!$L$4,ClassTree!$L$6)</f>
        <v>0.57978723404255317</v>
      </c>
      <c r="K40">
        <f>MIN(0.999,MAX(0.001,J40+INDEX($E$2:$E$13,1)*IF(Data!C250&lt;=INDEX($B$2:$B$13,1),INDEX($C$2:$C$13,1),INDEX($D$2:$D$13,1))))</f>
        <v>0.57978723404255317</v>
      </c>
      <c r="L40">
        <f>MIN(0.999,MAX(0.001,K40+INDEX($E$2:$E$13,2)*IF(Data!C250&lt;=INDEX($B$2:$B$13,2),INDEX($C$2:$C$13,2),INDEX($D$2:$D$13,2))))</f>
        <v>0.57978723404255317</v>
      </c>
      <c r="M40">
        <f>MIN(0.999,MAX(0.001,L40+INDEX($E$2:$E$13,3)*IF(Data!C250&lt;=INDEX($B$2:$B$13,3),INDEX($C$2:$C$13,3),INDEX($D$2:$D$13,3))))</f>
        <v>0.57978723404255317</v>
      </c>
      <c r="N40">
        <f>MIN(0.999,MAX(0.001,M40+INDEX($E$2:$E$13,4)*IF(Data!C250&lt;=INDEX($B$2:$B$13,4),INDEX($C$2:$C$13,4),INDEX($D$2:$D$13,4))))</f>
        <v>0.57978723404255317</v>
      </c>
      <c r="O40">
        <f>MIN(0.999,MAX(0.001,N40+INDEX($E$2:$E$13,5)*IF(Data!C250&lt;=INDEX($B$2:$B$13,5),INDEX($C$2:$C$13,5),INDEX($D$2:$D$13,5))))</f>
        <v>0.57978723404255317</v>
      </c>
      <c r="P40">
        <f>MIN(0.999,MAX(0.001,O40+INDEX($E$2:$E$13,6)*IF(Data!C250&lt;=INDEX($B$2:$B$13,6),INDEX($C$2:$C$13,6),INDEX($D$2:$D$13,6))))</f>
        <v>0.57978723404255317</v>
      </c>
      <c r="Q40">
        <f>MIN(0.999,MAX(0.001,P40+INDEX($E$2:$E$13,7)*IF(Data!C250&lt;=INDEX($B$2:$B$13,7),INDEX($C$2:$C$13,7),INDEX($D$2:$D$13,7))))</f>
        <v>0.57978723404255317</v>
      </c>
      <c r="R40">
        <f>MIN(0.999,MAX(0.001,Q40+INDEX($E$2:$E$13,8)*IF(Data!C250&lt;=INDEX($B$2:$B$13,8),INDEX($C$2:$C$13,8),INDEX($D$2:$D$13,8))))</f>
        <v>0.57978723404255317</v>
      </c>
      <c r="S40">
        <f>MIN(0.999,MAX(0.001,R40+INDEX($E$2:$E$13,9)*IF(Data!C250&lt;=INDEX($B$2:$B$13,9),INDEX($C$2:$C$13,9),INDEX($D$2:$D$13,9))))</f>
        <v>0.57978723404255317</v>
      </c>
      <c r="T40">
        <f>MIN(0.999,MAX(0.001,S40+INDEX($E$2:$E$13,10)*IF(Data!C250&lt;=INDEX($B$2:$B$13,10),INDEX($C$2:$C$13,10),INDEX($D$2:$D$13,10))))</f>
        <v>0.57978723404255317</v>
      </c>
      <c r="U40">
        <f>MIN(0.999,MAX(0.001,T40+INDEX($E$2:$E$13,11)*IF(Data!C250&lt;=INDEX($B$2:$B$13,11),INDEX($C$2:$C$13,11),INDEX($D$2:$D$13,11))))</f>
        <v>0.57978723404255317</v>
      </c>
      <c r="V40">
        <f>MIN(0.999,MAX(0.001,U40+INDEX($E$2:$E$13,12)*IF(Data!C250&lt;=INDEX($B$2:$B$13,12),INDEX($C$2:$C$13,12),INDEX($D$2:$D$13,12))))</f>
        <v>0.57978723404255317</v>
      </c>
      <c r="W40">
        <f>IF(V40&gt;=Controls!$B$2,1,0)</f>
        <v>1</v>
      </c>
      <c r="X40">
        <f t="shared" si="3"/>
        <v>0</v>
      </c>
    </row>
    <row r="41" spans="8:24" x14ac:dyDescent="0.2">
      <c r="H41">
        <f>Data!A251</f>
        <v>250</v>
      </c>
      <c r="I41">
        <f>Data!L251</f>
        <v>0</v>
      </c>
      <c r="J41">
        <f>IF(Data!C251&lt;=ClassTree!$L$2,ClassTree!$L$4,ClassTree!$L$6)</f>
        <v>0.57978723404255317</v>
      </c>
      <c r="K41">
        <f>MIN(0.999,MAX(0.001,J41+INDEX($E$2:$E$13,1)*IF(Data!C251&lt;=INDEX($B$2:$B$13,1),INDEX($C$2:$C$13,1),INDEX($D$2:$D$13,1))))</f>
        <v>0.57978723404255317</v>
      </c>
      <c r="L41">
        <f>MIN(0.999,MAX(0.001,K41+INDEX($E$2:$E$13,2)*IF(Data!C251&lt;=INDEX($B$2:$B$13,2),INDEX($C$2:$C$13,2),INDEX($D$2:$D$13,2))))</f>
        <v>0.57978723404255317</v>
      </c>
      <c r="M41">
        <f>MIN(0.999,MAX(0.001,L41+INDEX($E$2:$E$13,3)*IF(Data!C251&lt;=INDEX($B$2:$B$13,3),INDEX($C$2:$C$13,3),INDEX($D$2:$D$13,3))))</f>
        <v>0.57978723404255317</v>
      </c>
      <c r="N41">
        <f>MIN(0.999,MAX(0.001,M41+INDEX($E$2:$E$13,4)*IF(Data!C251&lt;=INDEX($B$2:$B$13,4),INDEX($C$2:$C$13,4),INDEX($D$2:$D$13,4))))</f>
        <v>0.57978723404255317</v>
      </c>
      <c r="O41">
        <f>MIN(0.999,MAX(0.001,N41+INDEX($E$2:$E$13,5)*IF(Data!C251&lt;=INDEX($B$2:$B$13,5),INDEX($C$2:$C$13,5),INDEX($D$2:$D$13,5))))</f>
        <v>0.57978723404255317</v>
      </c>
      <c r="P41">
        <f>MIN(0.999,MAX(0.001,O41+INDEX($E$2:$E$13,6)*IF(Data!C251&lt;=INDEX($B$2:$B$13,6),INDEX($C$2:$C$13,6),INDEX($D$2:$D$13,6))))</f>
        <v>0.57978723404255317</v>
      </c>
      <c r="Q41">
        <f>MIN(0.999,MAX(0.001,P41+INDEX($E$2:$E$13,7)*IF(Data!C251&lt;=INDEX($B$2:$B$13,7),INDEX($C$2:$C$13,7),INDEX($D$2:$D$13,7))))</f>
        <v>0.57978723404255317</v>
      </c>
      <c r="R41">
        <f>MIN(0.999,MAX(0.001,Q41+INDEX($E$2:$E$13,8)*IF(Data!C251&lt;=INDEX($B$2:$B$13,8),INDEX($C$2:$C$13,8),INDEX($D$2:$D$13,8))))</f>
        <v>0.57978723404255317</v>
      </c>
      <c r="S41">
        <f>MIN(0.999,MAX(0.001,R41+INDEX($E$2:$E$13,9)*IF(Data!C251&lt;=INDEX($B$2:$B$13,9),INDEX($C$2:$C$13,9),INDEX($D$2:$D$13,9))))</f>
        <v>0.57978723404255317</v>
      </c>
      <c r="T41">
        <f>MIN(0.999,MAX(0.001,S41+INDEX($E$2:$E$13,10)*IF(Data!C251&lt;=INDEX($B$2:$B$13,10),INDEX($C$2:$C$13,10),INDEX($D$2:$D$13,10))))</f>
        <v>0.57978723404255317</v>
      </c>
      <c r="U41">
        <f>MIN(0.999,MAX(0.001,T41+INDEX($E$2:$E$13,11)*IF(Data!C251&lt;=INDEX($B$2:$B$13,11),INDEX($C$2:$C$13,11),INDEX($D$2:$D$13,11))))</f>
        <v>0.57978723404255317</v>
      </c>
      <c r="V41">
        <f>MIN(0.999,MAX(0.001,U41+INDEX($E$2:$E$13,12)*IF(Data!C251&lt;=INDEX($B$2:$B$13,12),INDEX($C$2:$C$13,12),INDEX($D$2:$D$13,12))))</f>
        <v>0.57978723404255317</v>
      </c>
      <c r="W41">
        <f>IF(V41&gt;=Controls!$B$2,1,0)</f>
        <v>1</v>
      </c>
      <c r="X41">
        <f t="shared" si="3"/>
        <v>0</v>
      </c>
    </row>
    <row r="42" spans="8:24" x14ac:dyDescent="0.2">
      <c r="H42">
        <f>Data!A252</f>
        <v>251</v>
      </c>
      <c r="I42">
        <f>Data!L252</f>
        <v>0</v>
      </c>
      <c r="J42">
        <f>IF(Data!C252&lt;=ClassTree!$L$2,ClassTree!$L$4,ClassTree!$L$6)</f>
        <v>0.57978723404255317</v>
      </c>
      <c r="K42">
        <f>MIN(0.999,MAX(0.001,J42+INDEX($E$2:$E$13,1)*IF(Data!C252&lt;=INDEX($B$2:$B$13,1),INDEX($C$2:$C$13,1),INDEX($D$2:$D$13,1))))</f>
        <v>0.57978723404255317</v>
      </c>
      <c r="L42">
        <f>MIN(0.999,MAX(0.001,K42+INDEX($E$2:$E$13,2)*IF(Data!C252&lt;=INDEX($B$2:$B$13,2),INDEX($C$2:$C$13,2),INDEX($D$2:$D$13,2))))</f>
        <v>0.57978723404255317</v>
      </c>
      <c r="M42">
        <f>MIN(0.999,MAX(0.001,L42+INDEX($E$2:$E$13,3)*IF(Data!C252&lt;=INDEX($B$2:$B$13,3),INDEX($C$2:$C$13,3),INDEX($D$2:$D$13,3))))</f>
        <v>0.57978723404255317</v>
      </c>
      <c r="N42">
        <f>MIN(0.999,MAX(0.001,M42+INDEX($E$2:$E$13,4)*IF(Data!C252&lt;=INDEX($B$2:$B$13,4),INDEX($C$2:$C$13,4),INDEX($D$2:$D$13,4))))</f>
        <v>0.57978723404255317</v>
      </c>
      <c r="O42">
        <f>MIN(0.999,MAX(0.001,N42+INDEX($E$2:$E$13,5)*IF(Data!C252&lt;=INDEX($B$2:$B$13,5),INDEX($C$2:$C$13,5),INDEX($D$2:$D$13,5))))</f>
        <v>0.57978723404255317</v>
      </c>
      <c r="P42">
        <f>MIN(0.999,MAX(0.001,O42+INDEX($E$2:$E$13,6)*IF(Data!C252&lt;=INDEX($B$2:$B$13,6),INDEX($C$2:$C$13,6),INDEX($D$2:$D$13,6))))</f>
        <v>0.57978723404255317</v>
      </c>
      <c r="Q42">
        <f>MIN(0.999,MAX(0.001,P42+INDEX($E$2:$E$13,7)*IF(Data!C252&lt;=INDEX($B$2:$B$13,7),INDEX($C$2:$C$13,7),INDEX($D$2:$D$13,7))))</f>
        <v>0.57978723404255317</v>
      </c>
      <c r="R42">
        <f>MIN(0.999,MAX(0.001,Q42+INDEX($E$2:$E$13,8)*IF(Data!C252&lt;=INDEX($B$2:$B$13,8),INDEX($C$2:$C$13,8),INDEX($D$2:$D$13,8))))</f>
        <v>0.57978723404255317</v>
      </c>
      <c r="S42">
        <f>MIN(0.999,MAX(0.001,R42+INDEX($E$2:$E$13,9)*IF(Data!C252&lt;=INDEX($B$2:$B$13,9),INDEX($C$2:$C$13,9),INDEX($D$2:$D$13,9))))</f>
        <v>0.57978723404255317</v>
      </c>
      <c r="T42">
        <f>MIN(0.999,MAX(0.001,S42+INDEX($E$2:$E$13,10)*IF(Data!C252&lt;=INDEX($B$2:$B$13,10),INDEX($C$2:$C$13,10),INDEX($D$2:$D$13,10))))</f>
        <v>0.57978723404255317</v>
      </c>
      <c r="U42">
        <f>MIN(0.999,MAX(0.001,T42+INDEX($E$2:$E$13,11)*IF(Data!C252&lt;=INDEX($B$2:$B$13,11),INDEX($C$2:$C$13,11),INDEX($D$2:$D$13,11))))</f>
        <v>0.57978723404255317</v>
      </c>
      <c r="V42">
        <f>MIN(0.999,MAX(0.001,U42+INDEX($E$2:$E$13,12)*IF(Data!C252&lt;=INDEX($B$2:$B$13,12),INDEX($C$2:$C$13,12),INDEX($D$2:$D$13,12))))</f>
        <v>0.57978723404255317</v>
      </c>
      <c r="W42">
        <f>IF(V42&gt;=Controls!$B$2,1,0)</f>
        <v>1</v>
      </c>
      <c r="X42">
        <f t="shared" si="3"/>
        <v>0</v>
      </c>
    </row>
    <row r="43" spans="8:24" x14ac:dyDescent="0.2">
      <c r="H43">
        <f>Data!A253</f>
        <v>252</v>
      </c>
      <c r="I43">
        <f>Data!L253</f>
        <v>1</v>
      </c>
      <c r="J43">
        <f>IF(Data!C253&lt;=ClassTree!$L$2,ClassTree!$L$4,ClassTree!$L$6)</f>
        <v>0.57978723404255317</v>
      </c>
      <c r="K43">
        <f>MIN(0.999,MAX(0.001,J43+INDEX($E$2:$E$13,1)*IF(Data!C253&lt;=INDEX($B$2:$B$13,1),INDEX($C$2:$C$13,1),INDEX($D$2:$D$13,1))))</f>
        <v>0.57978723404255317</v>
      </c>
      <c r="L43">
        <f>MIN(0.999,MAX(0.001,K43+INDEX($E$2:$E$13,2)*IF(Data!C253&lt;=INDEX($B$2:$B$13,2),INDEX($C$2:$C$13,2),INDEX($D$2:$D$13,2))))</f>
        <v>0.57978723404255317</v>
      </c>
      <c r="M43">
        <f>MIN(0.999,MAX(0.001,L43+INDEX($E$2:$E$13,3)*IF(Data!C253&lt;=INDEX($B$2:$B$13,3),INDEX($C$2:$C$13,3),INDEX($D$2:$D$13,3))))</f>
        <v>0.57978723404255317</v>
      </c>
      <c r="N43">
        <f>MIN(0.999,MAX(0.001,M43+INDEX($E$2:$E$13,4)*IF(Data!C253&lt;=INDEX($B$2:$B$13,4),INDEX($C$2:$C$13,4),INDEX($D$2:$D$13,4))))</f>
        <v>0.57978723404255317</v>
      </c>
      <c r="O43">
        <f>MIN(0.999,MAX(0.001,N43+INDEX($E$2:$E$13,5)*IF(Data!C253&lt;=INDEX($B$2:$B$13,5),INDEX($C$2:$C$13,5),INDEX($D$2:$D$13,5))))</f>
        <v>0.57978723404255317</v>
      </c>
      <c r="P43">
        <f>MIN(0.999,MAX(0.001,O43+INDEX($E$2:$E$13,6)*IF(Data!C253&lt;=INDEX($B$2:$B$13,6),INDEX($C$2:$C$13,6),INDEX($D$2:$D$13,6))))</f>
        <v>0.57978723404255317</v>
      </c>
      <c r="Q43">
        <f>MIN(0.999,MAX(0.001,P43+INDEX($E$2:$E$13,7)*IF(Data!C253&lt;=INDEX($B$2:$B$13,7),INDEX($C$2:$C$13,7),INDEX($D$2:$D$13,7))))</f>
        <v>0.57978723404255317</v>
      </c>
      <c r="R43">
        <f>MIN(0.999,MAX(0.001,Q43+INDEX($E$2:$E$13,8)*IF(Data!C253&lt;=INDEX($B$2:$B$13,8),INDEX($C$2:$C$13,8),INDEX($D$2:$D$13,8))))</f>
        <v>0.57978723404255317</v>
      </c>
      <c r="S43">
        <f>MIN(0.999,MAX(0.001,R43+INDEX($E$2:$E$13,9)*IF(Data!C253&lt;=INDEX($B$2:$B$13,9),INDEX($C$2:$C$13,9),INDEX($D$2:$D$13,9))))</f>
        <v>0.57978723404255317</v>
      </c>
      <c r="T43">
        <f>MIN(0.999,MAX(0.001,S43+INDEX($E$2:$E$13,10)*IF(Data!C253&lt;=INDEX($B$2:$B$13,10),INDEX($C$2:$C$13,10),INDEX($D$2:$D$13,10))))</f>
        <v>0.57978723404255317</v>
      </c>
      <c r="U43">
        <f>MIN(0.999,MAX(0.001,T43+INDEX($E$2:$E$13,11)*IF(Data!C253&lt;=INDEX($B$2:$B$13,11),INDEX($C$2:$C$13,11),INDEX($D$2:$D$13,11))))</f>
        <v>0.57978723404255317</v>
      </c>
      <c r="V43">
        <f>MIN(0.999,MAX(0.001,U43+INDEX($E$2:$E$13,12)*IF(Data!C253&lt;=INDEX($B$2:$B$13,12),INDEX($C$2:$C$13,12),INDEX($D$2:$D$13,12))))</f>
        <v>0.57978723404255317</v>
      </c>
      <c r="W43">
        <f>IF(V43&gt;=Controls!$B$2,1,0)</f>
        <v>1</v>
      </c>
      <c r="X43">
        <f t="shared" si="3"/>
        <v>1</v>
      </c>
    </row>
    <row r="44" spans="8:24" x14ac:dyDescent="0.2">
      <c r="H44">
        <f>Data!A254</f>
        <v>253</v>
      </c>
      <c r="I44">
        <f>Data!L254</f>
        <v>0</v>
      </c>
      <c r="J44">
        <f>IF(Data!C254&lt;=ClassTree!$L$2,ClassTree!$L$4,ClassTree!$L$6)</f>
        <v>0.57978723404255317</v>
      </c>
      <c r="K44">
        <f>MIN(0.999,MAX(0.001,J44+INDEX($E$2:$E$13,1)*IF(Data!C254&lt;=INDEX($B$2:$B$13,1),INDEX($C$2:$C$13,1),INDEX($D$2:$D$13,1))))</f>
        <v>0.57978723404255317</v>
      </c>
      <c r="L44">
        <f>MIN(0.999,MAX(0.001,K44+INDEX($E$2:$E$13,2)*IF(Data!C254&lt;=INDEX($B$2:$B$13,2),INDEX($C$2:$C$13,2),INDEX($D$2:$D$13,2))))</f>
        <v>0.57978723404255317</v>
      </c>
      <c r="M44">
        <f>MIN(0.999,MAX(0.001,L44+INDEX($E$2:$E$13,3)*IF(Data!C254&lt;=INDEX($B$2:$B$13,3),INDEX($C$2:$C$13,3),INDEX($D$2:$D$13,3))))</f>
        <v>0.57978723404255317</v>
      </c>
      <c r="N44">
        <f>MIN(0.999,MAX(0.001,M44+INDEX($E$2:$E$13,4)*IF(Data!C254&lt;=INDEX($B$2:$B$13,4),INDEX($C$2:$C$13,4),INDEX($D$2:$D$13,4))))</f>
        <v>0.57978723404255317</v>
      </c>
      <c r="O44">
        <f>MIN(0.999,MAX(0.001,N44+INDEX($E$2:$E$13,5)*IF(Data!C254&lt;=INDEX($B$2:$B$13,5),INDEX($C$2:$C$13,5),INDEX($D$2:$D$13,5))))</f>
        <v>0.57978723404255317</v>
      </c>
      <c r="P44">
        <f>MIN(0.999,MAX(0.001,O44+INDEX($E$2:$E$13,6)*IF(Data!C254&lt;=INDEX($B$2:$B$13,6),INDEX($C$2:$C$13,6),INDEX($D$2:$D$13,6))))</f>
        <v>0.57978723404255317</v>
      </c>
      <c r="Q44">
        <f>MIN(0.999,MAX(0.001,P44+INDEX($E$2:$E$13,7)*IF(Data!C254&lt;=INDEX($B$2:$B$13,7),INDEX($C$2:$C$13,7),INDEX($D$2:$D$13,7))))</f>
        <v>0.57978723404255317</v>
      </c>
      <c r="R44">
        <f>MIN(0.999,MAX(0.001,Q44+INDEX($E$2:$E$13,8)*IF(Data!C254&lt;=INDEX($B$2:$B$13,8),INDEX($C$2:$C$13,8),INDEX($D$2:$D$13,8))))</f>
        <v>0.57978723404255317</v>
      </c>
      <c r="S44">
        <f>MIN(0.999,MAX(0.001,R44+INDEX($E$2:$E$13,9)*IF(Data!C254&lt;=INDEX($B$2:$B$13,9),INDEX($C$2:$C$13,9),INDEX($D$2:$D$13,9))))</f>
        <v>0.57978723404255317</v>
      </c>
      <c r="T44">
        <f>MIN(0.999,MAX(0.001,S44+INDEX($E$2:$E$13,10)*IF(Data!C254&lt;=INDEX($B$2:$B$13,10),INDEX($C$2:$C$13,10),INDEX($D$2:$D$13,10))))</f>
        <v>0.57978723404255317</v>
      </c>
      <c r="U44">
        <f>MIN(0.999,MAX(0.001,T44+INDEX($E$2:$E$13,11)*IF(Data!C254&lt;=INDEX($B$2:$B$13,11),INDEX($C$2:$C$13,11),INDEX($D$2:$D$13,11))))</f>
        <v>0.57978723404255317</v>
      </c>
      <c r="V44">
        <f>MIN(0.999,MAX(0.001,U44+INDEX($E$2:$E$13,12)*IF(Data!C254&lt;=INDEX($B$2:$B$13,12),INDEX($C$2:$C$13,12),INDEX($D$2:$D$13,12))))</f>
        <v>0.57978723404255317</v>
      </c>
      <c r="W44">
        <f>IF(V44&gt;=Controls!$B$2,1,0)</f>
        <v>1</v>
      </c>
      <c r="X44">
        <f t="shared" si="3"/>
        <v>0</v>
      </c>
    </row>
    <row r="45" spans="8:24" x14ac:dyDescent="0.2">
      <c r="H45">
        <f>Data!A255</f>
        <v>254</v>
      </c>
      <c r="I45">
        <f>Data!L255</f>
        <v>1</v>
      </c>
      <c r="J45">
        <f>IF(Data!C255&lt;=ClassTree!$L$2,ClassTree!$L$4,ClassTree!$L$6)</f>
        <v>0.57978723404255317</v>
      </c>
      <c r="K45">
        <f>MIN(0.999,MAX(0.001,J45+INDEX($E$2:$E$13,1)*IF(Data!C255&lt;=INDEX($B$2:$B$13,1),INDEX($C$2:$C$13,1),INDEX($D$2:$D$13,1))))</f>
        <v>0.57978723404255317</v>
      </c>
      <c r="L45">
        <f>MIN(0.999,MAX(0.001,K45+INDEX($E$2:$E$13,2)*IF(Data!C255&lt;=INDEX($B$2:$B$13,2),INDEX($C$2:$C$13,2),INDEX($D$2:$D$13,2))))</f>
        <v>0.57978723404255317</v>
      </c>
      <c r="M45">
        <f>MIN(0.999,MAX(0.001,L45+INDEX($E$2:$E$13,3)*IF(Data!C255&lt;=INDEX($B$2:$B$13,3),INDEX($C$2:$C$13,3),INDEX($D$2:$D$13,3))))</f>
        <v>0.57978723404255317</v>
      </c>
      <c r="N45">
        <f>MIN(0.999,MAX(0.001,M45+INDEX($E$2:$E$13,4)*IF(Data!C255&lt;=INDEX($B$2:$B$13,4),INDEX($C$2:$C$13,4),INDEX($D$2:$D$13,4))))</f>
        <v>0.57978723404255317</v>
      </c>
      <c r="O45">
        <f>MIN(0.999,MAX(0.001,N45+INDEX($E$2:$E$13,5)*IF(Data!C255&lt;=INDEX($B$2:$B$13,5),INDEX($C$2:$C$13,5),INDEX($D$2:$D$13,5))))</f>
        <v>0.57978723404255317</v>
      </c>
      <c r="P45">
        <f>MIN(0.999,MAX(0.001,O45+INDEX($E$2:$E$13,6)*IF(Data!C255&lt;=INDEX($B$2:$B$13,6),INDEX($C$2:$C$13,6),INDEX($D$2:$D$13,6))))</f>
        <v>0.57978723404255317</v>
      </c>
      <c r="Q45">
        <f>MIN(0.999,MAX(0.001,P45+INDEX($E$2:$E$13,7)*IF(Data!C255&lt;=INDEX($B$2:$B$13,7),INDEX($C$2:$C$13,7),INDEX($D$2:$D$13,7))))</f>
        <v>0.57978723404255317</v>
      </c>
      <c r="R45">
        <f>MIN(0.999,MAX(0.001,Q45+INDEX($E$2:$E$13,8)*IF(Data!C255&lt;=INDEX($B$2:$B$13,8),INDEX($C$2:$C$13,8),INDEX($D$2:$D$13,8))))</f>
        <v>0.57978723404255317</v>
      </c>
      <c r="S45">
        <f>MIN(0.999,MAX(0.001,R45+INDEX($E$2:$E$13,9)*IF(Data!C255&lt;=INDEX($B$2:$B$13,9),INDEX($C$2:$C$13,9),INDEX($D$2:$D$13,9))))</f>
        <v>0.57978723404255317</v>
      </c>
      <c r="T45">
        <f>MIN(0.999,MAX(0.001,S45+INDEX($E$2:$E$13,10)*IF(Data!C255&lt;=INDEX($B$2:$B$13,10),INDEX($C$2:$C$13,10),INDEX($D$2:$D$13,10))))</f>
        <v>0.57978723404255317</v>
      </c>
      <c r="U45">
        <f>MIN(0.999,MAX(0.001,T45+INDEX($E$2:$E$13,11)*IF(Data!C255&lt;=INDEX($B$2:$B$13,11),INDEX($C$2:$C$13,11),INDEX($D$2:$D$13,11))))</f>
        <v>0.57978723404255317</v>
      </c>
      <c r="V45">
        <f>MIN(0.999,MAX(0.001,U45+INDEX($E$2:$E$13,12)*IF(Data!C255&lt;=INDEX($B$2:$B$13,12),INDEX($C$2:$C$13,12),INDEX($D$2:$D$13,12))))</f>
        <v>0.57978723404255317</v>
      </c>
      <c r="W45">
        <f>IF(V45&gt;=Controls!$B$2,1,0)</f>
        <v>1</v>
      </c>
      <c r="X45">
        <f t="shared" si="3"/>
        <v>1</v>
      </c>
    </row>
    <row r="46" spans="8:24" x14ac:dyDescent="0.2">
      <c r="H46">
        <f>Data!A256</f>
        <v>255</v>
      </c>
      <c r="I46">
        <f>Data!L256</f>
        <v>0</v>
      </c>
      <c r="J46">
        <f>IF(Data!C256&lt;=ClassTree!$L$2,ClassTree!$L$4,ClassTree!$L$6)</f>
        <v>0.57978723404255317</v>
      </c>
      <c r="K46">
        <f>MIN(0.999,MAX(0.001,J46+INDEX($E$2:$E$13,1)*IF(Data!C256&lt;=INDEX($B$2:$B$13,1),INDEX($C$2:$C$13,1),INDEX($D$2:$D$13,1))))</f>
        <v>0.57978723404255317</v>
      </c>
      <c r="L46">
        <f>MIN(0.999,MAX(0.001,K46+INDEX($E$2:$E$13,2)*IF(Data!C256&lt;=INDEX($B$2:$B$13,2),INDEX($C$2:$C$13,2),INDEX($D$2:$D$13,2))))</f>
        <v>0.57978723404255317</v>
      </c>
      <c r="M46">
        <f>MIN(0.999,MAX(0.001,L46+INDEX($E$2:$E$13,3)*IF(Data!C256&lt;=INDEX($B$2:$B$13,3),INDEX($C$2:$C$13,3),INDEX($D$2:$D$13,3))))</f>
        <v>0.57978723404255317</v>
      </c>
      <c r="N46">
        <f>MIN(0.999,MAX(0.001,M46+INDEX($E$2:$E$13,4)*IF(Data!C256&lt;=INDEX($B$2:$B$13,4),INDEX($C$2:$C$13,4),INDEX($D$2:$D$13,4))))</f>
        <v>0.57978723404255317</v>
      </c>
      <c r="O46">
        <f>MIN(0.999,MAX(0.001,N46+INDEX($E$2:$E$13,5)*IF(Data!C256&lt;=INDEX($B$2:$B$13,5),INDEX($C$2:$C$13,5),INDEX($D$2:$D$13,5))))</f>
        <v>0.57978723404255317</v>
      </c>
      <c r="P46">
        <f>MIN(0.999,MAX(0.001,O46+INDEX($E$2:$E$13,6)*IF(Data!C256&lt;=INDEX($B$2:$B$13,6),INDEX($C$2:$C$13,6),INDEX($D$2:$D$13,6))))</f>
        <v>0.57978723404255317</v>
      </c>
      <c r="Q46">
        <f>MIN(0.999,MAX(0.001,P46+INDEX($E$2:$E$13,7)*IF(Data!C256&lt;=INDEX($B$2:$B$13,7),INDEX($C$2:$C$13,7),INDEX($D$2:$D$13,7))))</f>
        <v>0.57978723404255317</v>
      </c>
      <c r="R46">
        <f>MIN(0.999,MAX(0.001,Q46+INDEX($E$2:$E$13,8)*IF(Data!C256&lt;=INDEX($B$2:$B$13,8),INDEX($C$2:$C$13,8),INDEX($D$2:$D$13,8))))</f>
        <v>0.57978723404255317</v>
      </c>
      <c r="S46">
        <f>MIN(0.999,MAX(0.001,R46+INDEX($E$2:$E$13,9)*IF(Data!C256&lt;=INDEX($B$2:$B$13,9),INDEX($C$2:$C$13,9),INDEX($D$2:$D$13,9))))</f>
        <v>0.57978723404255317</v>
      </c>
      <c r="T46">
        <f>MIN(0.999,MAX(0.001,S46+INDEX($E$2:$E$13,10)*IF(Data!C256&lt;=INDEX($B$2:$B$13,10),INDEX($C$2:$C$13,10),INDEX($D$2:$D$13,10))))</f>
        <v>0.57978723404255317</v>
      </c>
      <c r="U46">
        <f>MIN(0.999,MAX(0.001,T46+INDEX($E$2:$E$13,11)*IF(Data!C256&lt;=INDEX($B$2:$B$13,11),INDEX($C$2:$C$13,11),INDEX($D$2:$D$13,11))))</f>
        <v>0.57978723404255317</v>
      </c>
      <c r="V46">
        <f>MIN(0.999,MAX(0.001,U46+INDEX($E$2:$E$13,12)*IF(Data!C256&lt;=INDEX($B$2:$B$13,12),INDEX($C$2:$C$13,12),INDEX($D$2:$D$13,12))))</f>
        <v>0.57978723404255317</v>
      </c>
      <c r="W46">
        <f>IF(V46&gt;=Controls!$B$2,1,0)</f>
        <v>1</v>
      </c>
      <c r="X46">
        <f t="shared" si="3"/>
        <v>0</v>
      </c>
    </row>
    <row r="47" spans="8:24" x14ac:dyDescent="0.2">
      <c r="H47">
        <f>Data!A257</f>
        <v>256</v>
      </c>
      <c r="I47">
        <f>Data!L257</f>
        <v>1</v>
      </c>
      <c r="J47">
        <f>IF(Data!C257&lt;=ClassTree!$L$2,ClassTree!$L$4,ClassTree!$L$6)</f>
        <v>0.57978723404255317</v>
      </c>
      <c r="K47">
        <f>MIN(0.999,MAX(0.001,J47+INDEX($E$2:$E$13,1)*IF(Data!C257&lt;=INDEX($B$2:$B$13,1),INDEX($C$2:$C$13,1),INDEX($D$2:$D$13,1))))</f>
        <v>0.57978723404255317</v>
      </c>
      <c r="L47">
        <f>MIN(0.999,MAX(0.001,K47+INDEX($E$2:$E$13,2)*IF(Data!C257&lt;=INDEX($B$2:$B$13,2),INDEX($C$2:$C$13,2),INDEX($D$2:$D$13,2))))</f>
        <v>0.57978723404255317</v>
      </c>
      <c r="M47">
        <f>MIN(0.999,MAX(0.001,L47+INDEX($E$2:$E$13,3)*IF(Data!C257&lt;=INDEX($B$2:$B$13,3),INDEX($C$2:$C$13,3),INDEX($D$2:$D$13,3))))</f>
        <v>0.57978723404255317</v>
      </c>
      <c r="N47">
        <f>MIN(0.999,MAX(0.001,M47+INDEX($E$2:$E$13,4)*IF(Data!C257&lt;=INDEX($B$2:$B$13,4),INDEX($C$2:$C$13,4),INDEX($D$2:$D$13,4))))</f>
        <v>0.57978723404255317</v>
      </c>
      <c r="O47">
        <f>MIN(0.999,MAX(0.001,N47+INDEX($E$2:$E$13,5)*IF(Data!C257&lt;=INDEX($B$2:$B$13,5),INDEX($C$2:$C$13,5),INDEX($D$2:$D$13,5))))</f>
        <v>0.57978723404255317</v>
      </c>
      <c r="P47">
        <f>MIN(0.999,MAX(0.001,O47+INDEX($E$2:$E$13,6)*IF(Data!C257&lt;=INDEX($B$2:$B$13,6),INDEX($C$2:$C$13,6),INDEX($D$2:$D$13,6))))</f>
        <v>0.57978723404255317</v>
      </c>
      <c r="Q47">
        <f>MIN(0.999,MAX(0.001,P47+INDEX($E$2:$E$13,7)*IF(Data!C257&lt;=INDEX($B$2:$B$13,7),INDEX($C$2:$C$13,7),INDEX($D$2:$D$13,7))))</f>
        <v>0.57978723404255317</v>
      </c>
      <c r="R47">
        <f>MIN(0.999,MAX(0.001,Q47+INDEX($E$2:$E$13,8)*IF(Data!C257&lt;=INDEX($B$2:$B$13,8),INDEX($C$2:$C$13,8),INDEX($D$2:$D$13,8))))</f>
        <v>0.57978723404255317</v>
      </c>
      <c r="S47">
        <f>MIN(0.999,MAX(0.001,R47+INDEX($E$2:$E$13,9)*IF(Data!C257&lt;=INDEX($B$2:$B$13,9),INDEX($C$2:$C$13,9),INDEX($D$2:$D$13,9))))</f>
        <v>0.57978723404255317</v>
      </c>
      <c r="T47">
        <f>MIN(0.999,MAX(0.001,S47+INDEX($E$2:$E$13,10)*IF(Data!C257&lt;=INDEX($B$2:$B$13,10),INDEX($C$2:$C$13,10),INDEX($D$2:$D$13,10))))</f>
        <v>0.57978723404255317</v>
      </c>
      <c r="U47">
        <f>MIN(0.999,MAX(0.001,T47+INDEX($E$2:$E$13,11)*IF(Data!C257&lt;=INDEX($B$2:$B$13,11),INDEX($C$2:$C$13,11),INDEX($D$2:$D$13,11))))</f>
        <v>0.57978723404255317</v>
      </c>
      <c r="V47">
        <f>MIN(0.999,MAX(0.001,U47+INDEX($E$2:$E$13,12)*IF(Data!C257&lt;=INDEX($B$2:$B$13,12),INDEX($C$2:$C$13,12),INDEX($D$2:$D$13,12))))</f>
        <v>0.57978723404255317</v>
      </c>
      <c r="W47">
        <f>IF(V47&gt;=Controls!$B$2,1,0)</f>
        <v>1</v>
      </c>
      <c r="X47">
        <f t="shared" si="3"/>
        <v>1</v>
      </c>
    </row>
    <row r="48" spans="8:24" x14ac:dyDescent="0.2">
      <c r="H48">
        <f>Data!A258</f>
        <v>257</v>
      </c>
      <c r="I48">
        <f>Data!L258</f>
        <v>1</v>
      </c>
      <c r="J48">
        <f>IF(Data!C258&lt;=ClassTree!$L$2,ClassTree!$L$4,ClassTree!$L$6)</f>
        <v>0.57978723404255317</v>
      </c>
      <c r="K48">
        <f>MIN(0.999,MAX(0.001,J48+INDEX($E$2:$E$13,1)*IF(Data!C258&lt;=INDEX($B$2:$B$13,1),INDEX($C$2:$C$13,1),INDEX($D$2:$D$13,1))))</f>
        <v>0.57978723404255317</v>
      </c>
      <c r="L48">
        <f>MIN(0.999,MAX(0.001,K48+INDEX($E$2:$E$13,2)*IF(Data!C258&lt;=INDEX($B$2:$B$13,2),INDEX($C$2:$C$13,2),INDEX($D$2:$D$13,2))))</f>
        <v>0.57978723404255317</v>
      </c>
      <c r="M48">
        <f>MIN(0.999,MAX(0.001,L48+INDEX($E$2:$E$13,3)*IF(Data!C258&lt;=INDEX($B$2:$B$13,3),INDEX($C$2:$C$13,3),INDEX($D$2:$D$13,3))))</f>
        <v>0.57978723404255317</v>
      </c>
      <c r="N48">
        <f>MIN(0.999,MAX(0.001,M48+INDEX($E$2:$E$13,4)*IF(Data!C258&lt;=INDEX($B$2:$B$13,4),INDEX($C$2:$C$13,4),INDEX($D$2:$D$13,4))))</f>
        <v>0.57978723404255317</v>
      </c>
      <c r="O48">
        <f>MIN(0.999,MAX(0.001,N48+INDEX($E$2:$E$13,5)*IF(Data!C258&lt;=INDEX($B$2:$B$13,5),INDEX($C$2:$C$13,5),INDEX($D$2:$D$13,5))))</f>
        <v>0.57978723404255317</v>
      </c>
      <c r="P48">
        <f>MIN(0.999,MAX(0.001,O48+INDEX($E$2:$E$13,6)*IF(Data!C258&lt;=INDEX($B$2:$B$13,6),INDEX($C$2:$C$13,6),INDEX($D$2:$D$13,6))))</f>
        <v>0.57978723404255317</v>
      </c>
      <c r="Q48">
        <f>MIN(0.999,MAX(0.001,P48+INDEX($E$2:$E$13,7)*IF(Data!C258&lt;=INDEX($B$2:$B$13,7),INDEX($C$2:$C$13,7),INDEX($D$2:$D$13,7))))</f>
        <v>0.57978723404255317</v>
      </c>
      <c r="R48">
        <f>MIN(0.999,MAX(0.001,Q48+INDEX($E$2:$E$13,8)*IF(Data!C258&lt;=INDEX($B$2:$B$13,8),INDEX($C$2:$C$13,8),INDEX($D$2:$D$13,8))))</f>
        <v>0.57978723404255317</v>
      </c>
      <c r="S48">
        <f>MIN(0.999,MAX(0.001,R48+INDEX($E$2:$E$13,9)*IF(Data!C258&lt;=INDEX($B$2:$B$13,9),INDEX($C$2:$C$13,9),INDEX($D$2:$D$13,9))))</f>
        <v>0.57978723404255317</v>
      </c>
      <c r="T48">
        <f>MIN(0.999,MAX(0.001,S48+INDEX($E$2:$E$13,10)*IF(Data!C258&lt;=INDEX($B$2:$B$13,10),INDEX($C$2:$C$13,10),INDEX($D$2:$D$13,10))))</f>
        <v>0.57978723404255317</v>
      </c>
      <c r="U48">
        <f>MIN(0.999,MAX(0.001,T48+INDEX($E$2:$E$13,11)*IF(Data!C258&lt;=INDEX($B$2:$B$13,11),INDEX($C$2:$C$13,11),INDEX($D$2:$D$13,11))))</f>
        <v>0.57978723404255317</v>
      </c>
      <c r="V48">
        <f>MIN(0.999,MAX(0.001,U48+INDEX($E$2:$E$13,12)*IF(Data!C258&lt;=INDEX($B$2:$B$13,12),INDEX($C$2:$C$13,12),INDEX($D$2:$D$13,12))))</f>
        <v>0.57978723404255317</v>
      </c>
      <c r="W48">
        <f>IF(V48&gt;=Controls!$B$2,1,0)</f>
        <v>1</v>
      </c>
      <c r="X48">
        <f t="shared" si="3"/>
        <v>1</v>
      </c>
    </row>
    <row r="49" spans="8:24" x14ac:dyDescent="0.2">
      <c r="H49">
        <f>Data!A259</f>
        <v>258</v>
      </c>
      <c r="I49">
        <f>Data!L259</f>
        <v>0</v>
      </c>
      <c r="J49">
        <f>IF(Data!C259&lt;=ClassTree!$L$2,ClassTree!$L$4,ClassTree!$L$6)</f>
        <v>0.57978723404255317</v>
      </c>
      <c r="K49">
        <f>MIN(0.999,MAX(0.001,J49+INDEX($E$2:$E$13,1)*IF(Data!C259&lt;=INDEX($B$2:$B$13,1),INDEX($C$2:$C$13,1),INDEX($D$2:$D$13,1))))</f>
        <v>0.57978723404255317</v>
      </c>
      <c r="L49">
        <f>MIN(0.999,MAX(0.001,K49+INDEX($E$2:$E$13,2)*IF(Data!C259&lt;=INDEX($B$2:$B$13,2),INDEX($C$2:$C$13,2),INDEX($D$2:$D$13,2))))</f>
        <v>0.57978723404255317</v>
      </c>
      <c r="M49">
        <f>MIN(0.999,MAX(0.001,L49+INDEX($E$2:$E$13,3)*IF(Data!C259&lt;=INDEX($B$2:$B$13,3),INDEX($C$2:$C$13,3),INDEX($D$2:$D$13,3))))</f>
        <v>0.57978723404255317</v>
      </c>
      <c r="N49">
        <f>MIN(0.999,MAX(0.001,M49+INDEX($E$2:$E$13,4)*IF(Data!C259&lt;=INDEX($B$2:$B$13,4),INDEX($C$2:$C$13,4),INDEX($D$2:$D$13,4))))</f>
        <v>0.57978723404255317</v>
      </c>
      <c r="O49">
        <f>MIN(0.999,MAX(0.001,N49+INDEX($E$2:$E$13,5)*IF(Data!C259&lt;=INDEX($B$2:$B$13,5),INDEX($C$2:$C$13,5),INDEX($D$2:$D$13,5))))</f>
        <v>0.57978723404255317</v>
      </c>
      <c r="P49">
        <f>MIN(0.999,MAX(0.001,O49+INDEX($E$2:$E$13,6)*IF(Data!C259&lt;=INDEX($B$2:$B$13,6),INDEX($C$2:$C$13,6),INDEX($D$2:$D$13,6))))</f>
        <v>0.57978723404255317</v>
      </c>
      <c r="Q49">
        <f>MIN(0.999,MAX(0.001,P49+INDEX($E$2:$E$13,7)*IF(Data!C259&lt;=INDEX($B$2:$B$13,7),INDEX($C$2:$C$13,7),INDEX($D$2:$D$13,7))))</f>
        <v>0.57978723404255317</v>
      </c>
      <c r="R49">
        <f>MIN(0.999,MAX(0.001,Q49+INDEX($E$2:$E$13,8)*IF(Data!C259&lt;=INDEX($B$2:$B$13,8),INDEX($C$2:$C$13,8),INDEX($D$2:$D$13,8))))</f>
        <v>0.57978723404255317</v>
      </c>
      <c r="S49">
        <f>MIN(0.999,MAX(0.001,R49+INDEX($E$2:$E$13,9)*IF(Data!C259&lt;=INDEX($B$2:$B$13,9),INDEX($C$2:$C$13,9),INDEX($D$2:$D$13,9))))</f>
        <v>0.57978723404255317</v>
      </c>
      <c r="T49">
        <f>MIN(0.999,MAX(0.001,S49+INDEX($E$2:$E$13,10)*IF(Data!C259&lt;=INDEX($B$2:$B$13,10),INDEX($C$2:$C$13,10),INDEX($D$2:$D$13,10))))</f>
        <v>0.57978723404255317</v>
      </c>
      <c r="U49">
        <f>MIN(0.999,MAX(0.001,T49+INDEX($E$2:$E$13,11)*IF(Data!C259&lt;=INDEX($B$2:$B$13,11),INDEX($C$2:$C$13,11),INDEX($D$2:$D$13,11))))</f>
        <v>0.57978723404255317</v>
      </c>
      <c r="V49">
        <f>MIN(0.999,MAX(0.001,U49+INDEX($E$2:$E$13,12)*IF(Data!C259&lt;=INDEX($B$2:$B$13,12),INDEX($C$2:$C$13,12),INDEX($D$2:$D$13,12))))</f>
        <v>0.57978723404255317</v>
      </c>
      <c r="W49">
        <f>IF(V49&gt;=Controls!$B$2,1,0)</f>
        <v>1</v>
      </c>
      <c r="X49">
        <f t="shared" si="3"/>
        <v>0</v>
      </c>
    </row>
    <row r="50" spans="8:24" x14ac:dyDescent="0.2">
      <c r="H50">
        <f>Data!A260</f>
        <v>259</v>
      </c>
      <c r="I50">
        <f>Data!L260</f>
        <v>1</v>
      </c>
      <c r="J50">
        <f>IF(Data!C260&lt;=ClassTree!$L$2,ClassTree!$L$4,ClassTree!$L$6)</f>
        <v>0.57978723404255317</v>
      </c>
      <c r="K50">
        <f>MIN(0.999,MAX(0.001,J50+INDEX($E$2:$E$13,1)*IF(Data!C260&lt;=INDEX($B$2:$B$13,1),INDEX($C$2:$C$13,1),INDEX($D$2:$D$13,1))))</f>
        <v>0.57978723404255317</v>
      </c>
      <c r="L50">
        <f>MIN(0.999,MAX(0.001,K50+INDEX($E$2:$E$13,2)*IF(Data!C260&lt;=INDEX($B$2:$B$13,2),INDEX($C$2:$C$13,2),INDEX($D$2:$D$13,2))))</f>
        <v>0.57978723404255317</v>
      </c>
      <c r="M50">
        <f>MIN(0.999,MAX(0.001,L50+INDEX($E$2:$E$13,3)*IF(Data!C260&lt;=INDEX($B$2:$B$13,3),INDEX($C$2:$C$13,3),INDEX($D$2:$D$13,3))))</f>
        <v>0.57978723404255317</v>
      </c>
      <c r="N50">
        <f>MIN(0.999,MAX(0.001,M50+INDEX($E$2:$E$13,4)*IF(Data!C260&lt;=INDEX($B$2:$B$13,4),INDEX($C$2:$C$13,4),INDEX($D$2:$D$13,4))))</f>
        <v>0.57978723404255317</v>
      </c>
      <c r="O50">
        <f>MIN(0.999,MAX(0.001,N50+INDEX($E$2:$E$13,5)*IF(Data!C260&lt;=INDEX($B$2:$B$13,5),INDEX($C$2:$C$13,5),INDEX($D$2:$D$13,5))))</f>
        <v>0.57978723404255317</v>
      </c>
      <c r="P50">
        <f>MIN(0.999,MAX(0.001,O50+INDEX($E$2:$E$13,6)*IF(Data!C260&lt;=INDEX($B$2:$B$13,6),INDEX($C$2:$C$13,6),INDEX($D$2:$D$13,6))))</f>
        <v>0.57978723404255317</v>
      </c>
      <c r="Q50">
        <f>MIN(0.999,MAX(0.001,P50+INDEX($E$2:$E$13,7)*IF(Data!C260&lt;=INDEX($B$2:$B$13,7),INDEX($C$2:$C$13,7),INDEX($D$2:$D$13,7))))</f>
        <v>0.57978723404255317</v>
      </c>
      <c r="R50">
        <f>MIN(0.999,MAX(0.001,Q50+INDEX($E$2:$E$13,8)*IF(Data!C260&lt;=INDEX($B$2:$B$13,8),INDEX($C$2:$C$13,8),INDEX($D$2:$D$13,8))))</f>
        <v>0.57978723404255317</v>
      </c>
      <c r="S50">
        <f>MIN(0.999,MAX(0.001,R50+INDEX($E$2:$E$13,9)*IF(Data!C260&lt;=INDEX($B$2:$B$13,9),INDEX($C$2:$C$13,9),INDEX($D$2:$D$13,9))))</f>
        <v>0.57978723404255317</v>
      </c>
      <c r="T50">
        <f>MIN(0.999,MAX(0.001,S50+INDEX($E$2:$E$13,10)*IF(Data!C260&lt;=INDEX($B$2:$B$13,10),INDEX($C$2:$C$13,10),INDEX($D$2:$D$13,10))))</f>
        <v>0.57978723404255317</v>
      </c>
      <c r="U50">
        <f>MIN(0.999,MAX(0.001,T50+INDEX($E$2:$E$13,11)*IF(Data!C260&lt;=INDEX($B$2:$B$13,11),INDEX($C$2:$C$13,11),INDEX($D$2:$D$13,11))))</f>
        <v>0.57978723404255317</v>
      </c>
      <c r="V50">
        <f>MIN(0.999,MAX(0.001,U50+INDEX($E$2:$E$13,12)*IF(Data!C260&lt;=INDEX($B$2:$B$13,12),INDEX($C$2:$C$13,12),INDEX($D$2:$D$13,12))))</f>
        <v>0.57978723404255317</v>
      </c>
      <c r="W50">
        <f>IF(V50&gt;=Controls!$B$2,1,0)</f>
        <v>1</v>
      </c>
      <c r="X50">
        <f t="shared" si="3"/>
        <v>1</v>
      </c>
    </row>
    <row r="51" spans="8:24" x14ac:dyDescent="0.2">
      <c r="H51">
        <f>Data!A261</f>
        <v>260</v>
      </c>
      <c r="I51">
        <f>Data!L261</f>
        <v>0</v>
      </c>
      <c r="J51">
        <f>IF(Data!C261&lt;=ClassTree!$L$2,ClassTree!$L$4,ClassTree!$L$6)</f>
        <v>0.57978723404255317</v>
      </c>
      <c r="K51">
        <f>MIN(0.999,MAX(0.001,J51+INDEX($E$2:$E$13,1)*IF(Data!C261&lt;=INDEX($B$2:$B$13,1),INDEX($C$2:$C$13,1),INDEX($D$2:$D$13,1))))</f>
        <v>0.57978723404255317</v>
      </c>
      <c r="L51">
        <f>MIN(0.999,MAX(0.001,K51+INDEX($E$2:$E$13,2)*IF(Data!C261&lt;=INDEX($B$2:$B$13,2),INDEX($C$2:$C$13,2),INDEX($D$2:$D$13,2))))</f>
        <v>0.57978723404255317</v>
      </c>
      <c r="M51">
        <f>MIN(0.999,MAX(0.001,L51+INDEX($E$2:$E$13,3)*IF(Data!C261&lt;=INDEX($B$2:$B$13,3),INDEX($C$2:$C$13,3),INDEX($D$2:$D$13,3))))</f>
        <v>0.57978723404255317</v>
      </c>
      <c r="N51">
        <f>MIN(0.999,MAX(0.001,M51+INDEX($E$2:$E$13,4)*IF(Data!C261&lt;=INDEX($B$2:$B$13,4),INDEX($C$2:$C$13,4),INDEX($D$2:$D$13,4))))</f>
        <v>0.57978723404255317</v>
      </c>
      <c r="O51">
        <f>MIN(0.999,MAX(0.001,N51+INDEX($E$2:$E$13,5)*IF(Data!C261&lt;=INDEX($B$2:$B$13,5),INDEX($C$2:$C$13,5),INDEX($D$2:$D$13,5))))</f>
        <v>0.57978723404255317</v>
      </c>
      <c r="P51">
        <f>MIN(0.999,MAX(0.001,O51+INDEX($E$2:$E$13,6)*IF(Data!C261&lt;=INDEX($B$2:$B$13,6),INDEX($C$2:$C$13,6),INDEX($D$2:$D$13,6))))</f>
        <v>0.57978723404255317</v>
      </c>
      <c r="Q51">
        <f>MIN(0.999,MAX(0.001,P51+INDEX($E$2:$E$13,7)*IF(Data!C261&lt;=INDEX($B$2:$B$13,7),INDEX($C$2:$C$13,7),INDEX($D$2:$D$13,7))))</f>
        <v>0.57978723404255317</v>
      </c>
      <c r="R51">
        <f>MIN(0.999,MAX(0.001,Q51+INDEX($E$2:$E$13,8)*IF(Data!C261&lt;=INDEX($B$2:$B$13,8),INDEX($C$2:$C$13,8),INDEX($D$2:$D$13,8))))</f>
        <v>0.57978723404255317</v>
      </c>
      <c r="S51">
        <f>MIN(0.999,MAX(0.001,R51+INDEX($E$2:$E$13,9)*IF(Data!C261&lt;=INDEX($B$2:$B$13,9),INDEX($C$2:$C$13,9),INDEX($D$2:$D$13,9))))</f>
        <v>0.57978723404255317</v>
      </c>
      <c r="T51">
        <f>MIN(0.999,MAX(0.001,S51+INDEX($E$2:$E$13,10)*IF(Data!C261&lt;=INDEX($B$2:$B$13,10),INDEX($C$2:$C$13,10),INDEX($D$2:$D$13,10))))</f>
        <v>0.57978723404255317</v>
      </c>
      <c r="U51">
        <f>MIN(0.999,MAX(0.001,T51+INDEX($E$2:$E$13,11)*IF(Data!C261&lt;=INDEX($B$2:$B$13,11),INDEX($C$2:$C$13,11),INDEX($D$2:$D$13,11))))</f>
        <v>0.57978723404255317</v>
      </c>
      <c r="V51">
        <f>MIN(0.999,MAX(0.001,U51+INDEX($E$2:$E$13,12)*IF(Data!C261&lt;=INDEX($B$2:$B$13,12),INDEX($C$2:$C$13,12),INDEX($D$2:$D$13,12))))</f>
        <v>0.57978723404255317</v>
      </c>
      <c r="W51">
        <f>IF(V51&gt;=Controls!$B$2,1,0)</f>
        <v>1</v>
      </c>
      <c r="X51">
        <f t="shared" si="3"/>
        <v>0</v>
      </c>
    </row>
    <row r="52" spans="8:24" x14ac:dyDescent="0.2">
      <c r="H52">
        <f>Data!A262</f>
        <v>261</v>
      </c>
      <c r="I52">
        <f>Data!L262</f>
        <v>0</v>
      </c>
      <c r="J52">
        <f>IF(Data!C262&lt;=ClassTree!$L$2,ClassTree!$L$4,ClassTree!$L$6)</f>
        <v>0.57978723404255317</v>
      </c>
      <c r="K52">
        <f>MIN(0.999,MAX(0.001,J52+INDEX($E$2:$E$13,1)*IF(Data!C262&lt;=INDEX($B$2:$B$13,1),INDEX($C$2:$C$13,1),INDEX($D$2:$D$13,1))))</f>
        <v>0.57978723404255317</v>
      </c>
      <c r="L52">
        <f>MIN(0.999,MAX(0.001,K52+INDEX($E$2:$E$13,2)*IF(Data!C262&lt;=INDEX($B$2:$B$13,2),INDEX($C$2:$C$13,2),INDEX($D$2:$D$13,2))))</f>
        <v>0.57978723404255317</v>
      </c>
      <c r="M52">
        <f>MIN(0.999,MAX(0.001,L52+INDEX($E$2:$E$13,3)*IF(Data!C262&lt;=INDEX($B$2:$B$13,3),INDEX($C$2:$C$13,3),INDEX($D$2:$D$13,3))))</f>
        <v>0.57978723404255317</v>
      </c>
      <c r="N52">
        <f>MIN(0.999,MAX(0.001,M52+INDEX($E$2:$E$13,4)*IF(Data!C262&lt;=INDEX($B$2:$B$13,4),INDEX($C$2:$C$13,4),INDEX($D$2:$D$13,4))))</f>
        <v>0.57978723404255317</v>
      </c>
      <c r="O52">
        <f>MIN(0.999,MAX(0.001,N52+INDEX($E$2:$E$13,5)*IF(Data!C262&lt;=INDEX($B$2:$B$13,5),INDEX($C$2:$C$13,5),INDEX($D$2:$D$13,5))))</f>
        <v>0.57978723404255317</v>
      </c>
      <c r="P52">
        <f>MIN(0.999,MAX(0.001,O52+INDEX($E$2:$E$13,6)*IF(Data!C262&lt;=INDEX($B$2:$B$13,6),INDEX($C$2:$C$13,6),INDEX($D$2:$D$13,6))))</f>
        <v>0.57978723404255317</v>
      </c>
      <c r="Q52">
        <f>MIN(0.999,MAX(0.001,P52+INDEX($E$2:$E$13,7)*IF(Data!C262&lt;=INDEX($B$2:$B$13,7),INDEX($C$2:$C$13,7),INDEX($D$2:$D$13,7))))</f>
        <v>0.57978723404255317</v>
      </c>
      <c r="R52">
        <f>MIN(0.999,MAX(0.001,Q52+INDEX($E$2:$E$13,8)*IF(Data!C262&lt;=INDEX($B$2:$B$13,8),INDEX($C$2:$C$13,8),INDEX($D$2:$D$13,8))))</f>
        <v>0.57978723404255317</v>
      </c>
      <c r="S52">
        <f>MIN(0.999,MAX(0.001,R52+INDEX($E$2:$E$13,9)*IF(Data!C262&lt;=INDEX($B$2:$B$13,9),INDEX($C$2:$C$13,9),INDEX($D$2:$D$13,9))))</f>
        <v>0.57978723404255317</v>
      </c>
      <c r="T52">
        <f>MIN(0.999,MAX(0.001,S52+INDEX($E$2:$E$13,10)*IF(Data!C262&lt;=INDEX($B$2:$B$13,10),INDEX($C$2:$C$13,10),INDEX($D$2:$D$13,10))))</f>
        <v>0.57978723404255317</v>
      </c>
      <c r="U52">
        <f>MIN(0.999,MAX(0.001,T52+INDEX($E$2:$E$13,11)*IF(Data!C262&lt;=INDEX($B$2:$B$13,11),INDEX($C$2:$C$13,11),INDEX($D$2:$D$13,11))))</f>
        <v>0.57978723404255317</v>
      </c>
      <c r="V52">
        <f>MIN(0.999,MAX(0.001,U52+INDEX($E$2:$E$13,12)*IF(Data!C262&lt;=INDEX($B$2:$B$13,12),INDEX($C$2:$C$13,12),INDEX($D$2:$D$13,12))))</f>
        <v>0.57978723404255317</v>
      </c>
      <c r="W52">
        <f>IF(V52&gt;=Controls!$B$2,1,0)</f>
        <v>1</v>
      </c>
      <c r="X52">
        <f t="shared" si="3"/>
        <v>0</v>
      </c>
    </row>
    <row r="53" spans="8:24" x14ac:dyDescent="0.2">
      <c r="H53">
        <f>Data!A263</f>
        <v>262</v>
      </c>
      <c r="I53">
        <f>Data!L263</f>
        <v>1</v>
      </c>
      <c r="J53">
        <f>IF(Data!C263&lt;=ClassTree!$L$2,ClassTree!$L$4,ClassTree!$L$6)</f>
        <v>0.57978723404255317</v>
      </c>
      <c r="K53">
        <f>MIN(0.999,MAX(0.001,J53+INDEX($E$2:$E$13,1)*IF(Data!C263&lt;=INDEX($B$2:$B$13,1),INDEX($C$2:$C$13,1),INDEX($D$2:$D$13,1))))</f>
        <v>0.57978723404255317</v>
      </c>
      <c r="L53">
        <f>MIN(0.999,MAX(0.001,K53+INDEX($E$2:$E$13,2)*IF(Data!C263&lt;=INDEX($B$2:$B$13,2),INDEX($C$2:$C$13,2),INDEX($D$2:$D$13,2))))</f>
        <v>0.57978723404255317</v>
      </c>
      <c r="M53">
        <f>MIN(0.999,MAX(0.001,L53+INDEX($E$2:$E$13,3)*IF(Data!C263&lt;=INDEX($B$2:$B$13,3),INDEX($C$2:$C$13,3),INDEX($D$2:$D$13,3))))</f>
        <v>0.57978723404255317</v>
      </c>
      <c r="N53">
        <f>MIN(0.999,MAX(0.001,M53+INDEX($E$2:$E$13,4)*IF(Data!C263&lt;=INDEX($B$2:$B$13,4),INDEX($C$2:$C$13,4),INDEX($D$2:$D$13,4))))</f>
        <v>0.57978723404255317</v>
      </c>
      <c r="O53">
        <f>MIN(0.999,MAX(0.001,N53+INDEX($E$2:$E$13,5)*IF(Data!C263&lt;=INDEX($B$2:$B$13,5),INDEX($C$2:$C$13,5),INDEX($D$2:$D$13,5))))</f>
        <v>0.57978723404255317</v>
      </c>
      <c r="P53">
        <f>MIN(0.999,MAX(0.001,O53+INDEX($E$2:$E$13,6)*IF(Data!C263&lt;=INDEX($B$2:$B$13,6),INDEX($C$2:$C$13,6),INDEX($D$2:$D$13,6))))</f>
        <v>0.57978723404255317</v>
      </c>
      <c r="Q53">
        <f>MIN(0.999,MAX(0.001,P53+INDEX($E$2:$E$13,7)*IF(Data!C263&lt;=INDEX($B$2:$B$13,7),INDEX($C$2:$C$13,7),INDEX($D$2:$D$13,7))))</f>
        <v>0.57978723404255317</v>
      </c>
      <c r="R53">
        <f>MIN(0.999,MAX(0.001,Q53+INDEX($E$2:$E$13,8)*IF(Data!C263&lt;=INDEX($B$2:$B$13,8),INDEX($C$2:$C$13,8),INDEX($D$2:$D$13,8))))</f>
        <v>0.57978723404255317</v>
      </c>
      <c r="S53">
        <f>MIN(0.999,MAX(0.001,R53+INDEX($E$2:$E$13,9)*IF(Data!C263&lt;=INDEX($B$2:$B$13,9),INDEX($C$2:$C$13,9),INDEX($D$2:$D$13,9))))</f>
        <v>0.57978723404255317</v>
      </c>
      <c r="T53">
        <f>MIN(0.999,MAX(0.001,S53+INDEX($E$2:$E$13,10)*IF(Data!C263&lt;=INDEX($B$2:$B$13,10),INDEX($C$2:$C$13,10),INDEX($D$2:$D$13,10))))</f>
        <v>0.57978723404255317</v>
      </c>
      <c r="U53">
        <f>MIN(0.999,MAX(0.001,T53+INDEX($E$2:$E$13,11)*IF(Data!C263&lt;=INDEX($B$2:$B$13,11),INDEX($C$2:$C$13,11),INDEX($D$2:$D$13,11))))</f>
        <v>0.57978723404255317</v>
      </c>
      <c r="V53">
        <f>MIN(0.999,MAX(0.001,U53+INDEX($E$2:$E$13,12)*IF(Data!C263&lt;=INDEX($B$2:$B$13,12),INDEX($C$2:$C$13,12),INDEX($D$2:$D$13,12))))</f>
        <v>0.57978723404255317</v>
      </c>
      <c r="W53">
        <f>IF(V53&gt;=Controls!$B$2,1,0)</f>
        <v>1</v>
      </c>
      <c r="X53">
        <f t="shared" si="3"/>
        <v>1</v>
      </c>
    </row>
    <row r="54" spans="8:24" x14ac:dyDescent="0.2">
      <c r="H54">
        <f>Data!A264</f>
        <v>263</v>
      </c>
      <c r="I54">
        <f>Data!L264</f>
        <v>1</v>
      </c>
      <c r="J54">
        <f>IF(Data!C264&lt;=ClassTree!$L$2,ClassTree!$L$4,ClassTree!$L$6)</f>
        <v>0.57978723404255317</v>
      </c>
      <c r="K54">
        <f>MIN(0.999,MAX(0.001,J54+INDEX($E$2:$E$13,1)*IF(Data!C264&lt;=INDEX($B$2:$B$13,1),INDEX($C$2:$C$13,1),INDEX($D$2:$D$13,1))))</f>
        <v>0.57978723404255317</v>
      </c>
      <c r="L54">
        <f>MIN(0.999,MAX(0.001,K54+INDEX($E$2:$E$13,2)*IF(Data!C264&lt;=INDEX($B$2:$B$13,2),INDEX($C$2:$C$13,2),INDEX($D$2:$D$13,2))))</f>
        <v>0.57978723404255317</v>
      </c>
      <c r="M54">
        <f>MIN(0.999,MAX(0.001,L54+INDEX($E$2:$E$13,3)*IF(Data!C264&lt;=INDEX($B$2:$B$13,3),INDEX($C$2:$C$13,3),INDEX($D$2:$D$13,3))))</f>
        <v>0.57978723404255317</v>
      </c>
      <c r="N54">
        <f>MIN(0.999,MAX(0.001,M54+INDEX($E$2:$E$13,4)*IF(Data!C264&lt;=INDEX($B$2:$B$13,4),INDEX($C$2:$C$13,4),INDEX($D$2:$D$13,4))))</f>
        <v>0.57978723404255317</v>
      </c>
      <c r="O54">
        <f>MIN(0.999,MAX(0.001,N54+INDEX($E$2:$E$13,5)*IF(Data!C264&lt;=INDEX($B$2:$B$13,5),INDEX($C$2:$C$13,5),INDEX($D$2:$D$13,5))))</f>
        <v>0.57978723404255317</v>
      </c>
      <c r="P54">
        <f>MIN(0.999,MAX(0.001,O54+INDEX($E$2:$E$13,6)*IF(Data!C264&lt;=INDEX($B$2:$B$13,6),INDEX($C$2:$C$13,6),INDEX($D$2:$D$13,6))))</f>
        <v>0.57978723404255317</v>
      </c>
      <c r="Q54">
        <f>MIN(0.999,MAX(0.001,P54+INDEX($E$2:$E$13,7)*IF(Data!C264&lt;=INDEX($B$2:$B$13,7),INDEX($C$2:$C$13,7),INDEX($D$2:$D$13,7))))</f>
        <v>0.57978723404255317</v>
      </c>
      <c r="R54">
        <f>MIN(0.999,MAX(0.001,Q54+INDEX($E$2:$E$13,8)*IF(Data!C264&lt;=INDEX($B$2:$B$13,8),INDEX($C$2:$C$13,8),INDEX($D$2:$D$13,8))))</f>
        <v>0.57978723404255317</v>
      </c>
      <c r="S54">
        <f>MIN(0.999,MAX(0.001,R54+INDEX($E$2:$E$13,9)*IF(Data!C264&lt;=INDEX($B$2:$B$13,9),INDEX($C$2:$C$13,9),INDEX($D$2:$D$13,9))))</f>
        <v>0.57978723404255317</v>
      </c>
      <c r="T54">
        <f>MIN(0.999,MAX(0.001,S54+INDEX($E$2:$E$13,10)*IF(Data!C264&lt;=INDEX($B$2:$B$13,10),INDEX($C$2:$C$13,10),INDEX($D$2:$D$13,10))))</f>
        <v>0.57978723404255317</v>
      </c>
      <c r="U54">
        <f>MIN(0.999,MAX(0.001,T54+INDEX($E$2:$E$13,11)*IF(Data!C264&lt;=INDEX($B$2:$B$13,11),INDEX($C$2:$C$13,11),INDEX($D$2:$D$13,11))))</f>
        <v>0.57978723404255317</v>
      </c>
      <c r="V54">
        <f>MIN(0.999,MAX(0.001,U54+INDEX($E$2:$E$13,12)*IF(Data!C264&lt;=INDEX($B$2:$B$13,12),INDEX($C$2:$C$13,12),INDEX($D$2:$D$13,12))))</f>
        <v>0.57978723404255317</v>
      </c>
      <c r="W54">
        <f>IF(V54&gt;=Controls!$B$2,1,0)</f>
        <v>1</v>
      </c>
      <c r="X54">
        <f t="shared" si="3"/>
        <v>1</v>
      </c>
    </row>
    <row r="55" spans="8:24" x14ac:dyDescent="0.2">
      <c r="H55">
        <f>Data!A265</f>
        <v>264</v>
      </c>
      <c r="I55">
        <f>Data!L265</f>
        <v>0</v>
      </c>
      <c r="J55">
        <f>IF(Data!C265&lt;=ClassTree!$L$2,ClassTree!$L$4,ClassTree!$L$6)</f>
        <v>0.57978723404255317</v>
      </c>
      <c r="K55">
        <f>MIN(0.999,MAX(0.001,J55+INDEX($E$2:$E$13,1)*IF(Data!C265&lt;=INDEX($B$2:$B$13,1),INDEX($C$2:$C$13,1),INDEX($D$2:$D$13,1))))</f>
        <v>0.57978723404255317</v>
      </c>
      <c r="L55">
        <f>MIN(0.999,MAX(0.001,K55+INDEX($E$2:$E$13,2)*IF(Data!C265&lt;=INDEX($B$2:$B$13,2),INDEX($C$2:$C$13,2),INDEX($D$2:$D$13,2))))</f>
        <v>0.57978723404255317</v>
      </c>
      <c r="M55">
        <f>MIN(0.999,MAX(0.001,L55+INDEX($E$2:$E$13,3)*IF(Data!C265&lt;=INDEX($B$2:$B$13,3),INDEX($C$2:$C$13,3),INDEX($D$2:$D$13,3))))</f>
        <v>0.57978723404255317</v>
      </c>
      <c r="N55">
        <f>MIN(0.999,MAX(0.001,M55+INDEX($E$2:$E$13,4)*IF(Data!C265&lt;=INDEX($B$2:$B$13,4),INDEX($C$2:$C$13,4),INDEX($D$2:$D$13,4))))</f>
        <v>0.57978723404255317</v>
      </c>
      <c r="O55">
        <f>MIN(0.999,MAX(0.001,N55+INDEX($E$2:$E$13,5)*IF(Data!C265&lt;=INDEX($B$2:$B$13,5),INDEX($C$2:$C$13,5),INDEX($D$2:$D$13,5))))</f>
        <v>0.57978723404255317</v>
      </c>
      <c r="P55">
        <f>MIN(0.999,MAX(0.001,O55+INDEX($E$2:$E$13,6)*IF(Data!C265&lt;=INDEX($B$2:$B$13,6),INDEX($C$2:$C$13,6),INDEX($D$2:$D$13,6))))</f>
        <v>0.57978723404255317</v>
      </c>
      <c r="Q55">
        <f>MIN(0.999,MAX(0.001,P55+INDEX($E$2:$E$13,7)*IF(Data!C265&lt;=INDEX($B$2:$B$13,7),INDEX($C$2:$C$13,7),INDEX($D$2:$D$13,7))))</f>
        <v>0.57978723404255317</v>
      </c>
      <c r="R55">
        <f>MIN(0.999,MAX(0.001,Q55+INDEX($E$2:$E$13,8)*IF(Data!C265&lt;=INDEX($B$2:$B$13,8),INDEX($C$2:$C$13,8),INDEX($D$2:$D$13,8))))</f>
        <v>0.57978723404255317</v>
      </c>
      <c r="S55">
        <f>MIN(0.999,MAX(0.001,R55+INDEX($E$2:$E$13,9)*IF(Data!C265&lt;=INDEX($B$2:$B$13,9),INDEX($C$2:$C$13,9),INDEX($D$2:$D$13,9))))</f>
        <v>0.57978723404255317</v>
      </c>
      <c r="T55">
        <f>MIN(0.999,MAX(0.001,S55+INDEX($E$2:$E$13,10)*IF(Data!C265&lt;=INDEX($B$2:$B$13,10),INDEX($C$2:$C$13,10),INDEX($D$2:$D$13,10))))</f>
        <v>0.57978723404255317</v>
      </c>
      <c r="U55">
        <f>MIN(0.999,MAX(0.001,T55+INDEX($E$2:$E$13,11)*IF(Data!C265&lt;=INDEX($B$2:$B$13,11),INDEX($C$2:$C$13,11),INDEX($D$2:$D$13,11))))</f>
        <v>0.57978723404255317</v>
      </c>
      <c r="V55">
        <f>MIN(0.999,MAX(0.001,U55+INDEX($E$2:$E$13,12)*IF(Data!C265&lt;=INDEX($B$2:$B$13,12),INDEX($C$2:$C$13,12),INDEX($D$2:$D$13,12))))</f>
        <v>0.57978723404255317</v>
      </c>
      <c r="W55">
        <f>IF(V55&gt;=Controls!$B$2,1,0)</f>
        <v>1</v>
      </c>
      <c r="X55">
        <f t="shared" si="3"/>
        <v>0</v>
      </c>
    </row>
    <row r="56" spans="8:24" x14ac:dyDescent="0.2">
      <c r="H56">
        <f>Data!A266</f>
        <v>265</v>
      </c>
      <c r="I56">
        <f>Data!L266</f>
        <v>0</v>
      </c>
      <c r="J56">
        <f>IF(Data!C266&lt;=ClassTree!$L$2,ClassTree!$L$4,ClassTree!$L$6)</f>
        <v>0.57978723404255317</v>
      </c>
      <c r="K56">
        <f>MIN(0.999,MAX(0.001,J56+INDEX($E$2:$E$13,1)*IF(Data!C266&lt;=INDEX($B$2:$B$13,1),INDEX($C$2:$C$13,1),INDEX($D$2:$D$13,1))))</f>
        <v>0.57978723404255317</v>
      </c>
      <c r="L56">
        <f>MIN(0.999,MAX(0.001,K56+INDEX($E$2:$E$13,2)*IF(Data!C266&lt;=INDEX($B$2:$B$13,2),INDEX($C$2:$C$13,2),INDEX($D$2:$D$13,2))))</f>
        <v>0.57978723404255317</v>
      </c>
      <c r="M56">
        <f>MIN(0.999,MAX(0.001,L56+INDEX($E$2:$E$13,3)*IF(Data!C266&lt;=INDEX($B$2:$B$13,3),INDEX($C$2:$C$13,3),INDEX($D$2:$D$13,3))))</f>
        <v>0.57978723404255317</v>
      </c>
      <c r="N56">
        <f>MIN(0.999,MAX(0.001,M56+INDEX($E$2:$E$13,4)*IF(Data!C266&lt;=INDEX($B$2:$B$13,4),INDEX($C$2:$C$13,4),INDEX($D$2:$D$13,4))))</f>
        <v>0.57978723404255317</v>
      </c>
      <c r="O56">
        <f>MIN(0.999,MAX(0.001,N56+INDEX($E$2:$E$13,5)*IF(Data!C266&lt;=INDEX($B$2:$B$13,5),INDEX($C$2:$C$13,5),INDEX($D$2:$D$13,5))))</f>
        <v>0.57978723404255317</v>
      </c>
      <c r="P56">
        <f>MIN(0.999,MAX(0.001,O56+INDEX($E$2:$E$13,6)*IF(Data!C266&lt;=INDEX($B$2:$B$13,6),INDEX($C$2:$C$13,6),INDEX($D$2:$D$13,6))))</f>
        <v>0.57978723404255317</v>
      </c>
      <c r="Q56">
        <f>MIN(0.999,MAX(0.001,P56+INDEX($E$2:$E$13,7)*IF(Data!C266&lt;=INDEX($B$2:$B$13,7),INDEX($C$2:$C$13,7),INDEX($D$2:$D$13,7))))</f>
        <v>0.57978723404255317</v>
      </c>
      <c r="R56">
        <f>MIN(0.999,MAX(0.001,Q56+INDEX($E$2:$E$13,8)*IF(Data!C266&lt;=INDEX($B$2:$B$13,8),INDEX($C$2:$C$13,8),INDEX($D$2:$D$13,8))))</f>
        <v>0.57978723404255317</v>
      </c>
      <c r="S56">
        <f>MIN(0.999,MAX(0.001,R56+INDEX($E$2:$E$13,9)*IF(Data!C266&lt;=INDEX($B$2:$B$13,9),INDEX($C$2:$C$13,9),INDEX($D$2:$D$13,9))))</f>
        <v>0.57978723404255317</v>
      </c>
      <c r="T56">
        <f>MIN(0.999,MAX(0.001,S56+INDEX($E$2:$E$13,10)*IF(Data!C266&lt;=INDEX($B$2:$B$13,10),INDEX($C$2:$C$13,10),INDEX($D$2:$D$13,10))))</f>
        <v>0.57978723404255317</v>
      </c>
      <c r="U56">
        <f>MIN(0.999,MAX(0.001,T56+INDEX($E$2:$E$13,11)*IF(Data!C266&lt;=INDEX($B$2:$B$13,11),INDEX($C$2:$C$13,11),INDEX($D$2:$D$13,11))))</f>
        <v>0.57978723404255317</v>
      </c>
      <c r="V56">
        <f>MIN(0.999,MAX(0.001,U56+INDEX($E$2:$E$13,12)*IF(Data!C266&lt;=INDEX($B$2:$B$13,12),INDEX($C$2:$C$13,12),INDEX($D$2:$D$13,12))))</f>
        <v>0.57978723404255317</v>
      </c>
      <c r="W56">
        <f>IF(V56&gt;=Controls!$B$2,1,0)</f>
        <v>1</v>
      </c>
      <c r="X56">
        <f t="shared" si="3"/>
        <v>0</v>
      </c>
    </row>
    <row r="57" spans="8:24" x14ac:dyDescent="0.2">
      <c r="H57">
        <f>Data!A267</f>
        <v>266</v>
      </c>
      <c r="I57">
        <f>Data!L267</f>
        <v>1</v>
      </c>
      <c r="J57">
        <f>IF(Data!C267&lt;=ClassTree!$L$2,ClassTree!$L$4,ClassTree!$L$6)</f>
        <v>0.57978723404255317</v>
      </c>
      <c r="K57">
        <f>MIN(0.999,MAX(0.001,J57+INDEX($E$2:$E$13,1)*IF(Data!C267&lt;=INDEX($B$2:$B$13,1),INDEX($C$2:$C$13,1),INDEX($D$2:$D$13,1))))</f>
        <v>0.57978723404255317</v>
      </c>
      <c r="L57">
        <f>MIN(0.999,MAX(0.001,K57+INDEX($E$2:$E$13,2)*IF(Data!C267&lt;=INDEX($B$2:$B$13,2),INDEX($C$2:$C$13,2),INDEX($D$2:$D$13,2))))</f>
        <v>0.57978723404255317</v>
      </c>
      <c r="M57">
        <f>MIN(0.999,MAX(0.001,L57+INDEX($E$2:$E$13,3)*IF(Data!C267&lt;=INDEX($B$2:$B$13,3),INDEX($C$2:$C$13,3),INDEX($D$2:$D$13,3))))</f>
        <v>0.57978723404255317</v>
      </c>
      <c r="N57">
        <f>MIN(0.999,MAX(0.001,M57+INDEX($E$2:$E$13,4)*IF(Data!C267&lt;=INDEX($B$2:$B$13,4),INDEX($C$2:$C$13,4),INDEX($D$2:$D$13,4))))</f>
        <v>0.57978723404255317</v>
      </c>
      <c r="O57">
        <f>MIN(0.999,MAX(0.001,N57+INDEX($E$2:$E$13,5)*IF(Data!C267&lt;=INDEX($B$2:$B$13,5),INDEX($C$2:$C$13,5),INDEX($D$2:$D$13,5))))</f>
        <v>0.57978723404255317</v>
      </c>
      <c r="P57">
        <f>MIN(0.999,MAX(0.001,O57+INDEX($E$2:$E$13,6)*IF(Data!C267&lt;=INDEX($B$2:$B$13,6),INDEX($C$2:$C$13,6),INDEX($D$2:$D$13,6))))</f>
        <v>0.57978723404255317</v>
      </c>
      <c r="Q57">
        <f>MIN(0.999,MAX(0.001,P57+INDEX($E$2:$E$13,7)*IF(Data!C267&lt;=INDEX($B$2:$B$13,7),INDEX($C$2:$C$13,7),INDEX($D$2:$D$13,7))))</f>
        <v>0.57978723404255317</v>
      </c>
      <c r="R57">
        <f>MIN(0.999,MAX(0.001,Q57+INDEX($E$2:$E$13,8)*IF(Data!C267&lt;=INDEX($B$2:$B$13,8),INDEX($C$2:$C$13,8),INDEX($D$2:$D$13,8))))</f>
        <v>0.57978723404255317</v>
      </c>
      <c r="S57">
        <f>MIN(0.999,MAX(0.001,R57+INDEX($E$2:$E$13,9)*IF(Data!C267&lt;=INDEX($B$2:$B$13,9),INDEX($C$2:$C$13,9),INDEX($D$2:$D$13,9))))</f>
        <v>0.57978723404255317</v>
      </c>
      <c r="T57">
        <f>MIN(0.999,MAX(0.001,S57+INDEX($E$2:$E$13,10)*IF(Data!C267&lt;=INDEX($B$2:$B$13,10),INDEX($C$2:$C$13,10),INDEX($D$2:$D$13,10))))</f>
        <v>0.57978723404255317</v>
      </c>
      <c r="U57">
        <f>MIN(0.999,MAX(0.001,T57+INDEX($E$2:$E$13,11)*IF(Data!C267&lt;=INDEX($B$2:$B$13,11),INDEX($C$2:$C$13,11),INDEX($D$2:$D$13,11))))</f>
        <v>0.57978723404255317</v>
      </c>
      <c r="V57">
        <f>MIN(0.999,MAX(0.001,U57+INDEX($E$2:$E$13,12)*IF(Data!C267&lt;=INDEX($B$2:$B$13,12),INDEX($C$2:$C$13,12),INDEX($D$2:$D$13,12))))</f>
        <v>0.57978723404255317</v>
      </c>
      <c r="W57">
        <f>IF(V57&gt;=Controls!$B$2,1,0)</f>
        <v>1</v>
      </c>
      <c r="X57">
        <f t="shared" si="3"/>
        <v>1</v>
      </c>
    </row>
    <row r="58" spans="8:24" x14ac:dyDescent="0.2">
      <c r="H58">
        <f>Data!A268</f>
        <v>267</v>
      </c>
      <c r="I58">
        <f>Data!L268</f>
        <v>1</v>
      </c>
      <c r="J58">
        <f>IF(Data!C268&lt;=ClassTree!$L$2,ClassTree!$L$4,ClassTree!$L$6)</f>
        <v>0.57978723404255317</v>
      </c>
      <c r="K58">
        <f>MIN(0.999,MAX(0.001,J58+INDEX($E$2:$E$13,1)*IF(Data!C268&lt;=INDEX($B$2:$B$13,1),INDEX($C$2:$C$13,1),INDEX($D$2:$D$13,1))))</f>
        <v>0.57978723404255317</v>
      </c>
      <c r="L58">
        <f>MIN(0.999,MAX(0.001,K58+INDEX($E$2:$E$13,2)*IF(Data!C268&lt;=INDEX($B$2:$B$13,2),INDEX($C$2:$C$13,2),INDEX($D$2:$D$13,2))))</f>
        <v>0.57978723404255317</v>
      </c>
      <c r="M58">
        <f>MIN(0.999,MAX(0.001,L58+INDEX($E$2:$E$13,3)*IF(Data!C268&lt;=INDEX($B$2:$B$13,3),INDEX($C$2:$C$13,3),INDEX($D$2:$D$13,3))))</f>
        <v>0.57978723404255317</v>
      </c>
      <c r="N58">
        <f>MIN(0.999,MAX(0.001,M58+INDEX($E$2:$E$13,4)*IF(Data!C268&lt;=INDEX($B$2:$B$13,4),INDEX($C$2:$C$13,4),INDEX($D$2:$D$13,4))))</f>
        <v>0.57978723404255317</v>
      </c>
      <c r="O58">
        <f>MIN(0.999,MAX(0.001,N58+INDEX($E$2:$E$13,5)*IF(Data!C268&lt;=INDEX($B$2:$B$13,5),INDEX($C$2:$C$13,5),INDEX($D$2:$D$13,5))))</f>
        <v>0.57978723404255317</v>
      </c>
      <c r="P58">
        <f>MIN(0.999,MAX(0.001,O58+INDEX($E$2:$E$13,6)*IF(Data!C268&lt;=INDEX($B$2:$B$13,6),INDEX($C$2:$C$13,6),INDEX($D$2:$D$13,6))))</f>
        <v>0.57978723404255317</v>
      </c>
      <c r="Q58">
        <f>MIN(0.999,MAX(0.001,P58+INDEX($E$2:$E$13,7)*IF(Data!C268&lt;=INDEX($B$2:$B$13,7),INDEX($C$2:$C$13,7),INDEX($D$2:$D$13,7))))</f>
        <v>0.57978723404255317</v>
      </c>
      <c r="R58">
        <f>MIN(0.999,MAX(0.001,Q58+INDEX($E$2:$E$13,8)*IF(Data!C268&lt;=INDEX($B$2:$B$13,8),INDEX($C$2:$C$13,8),INDEX($D$2:$D$13,8))))</f>
        <v>0.57978723404255317</v>
      </c>
      <c r="S58">
        <f>MIN(0.999,MAX(0.001,R58+INDEX($E$2:$E$13,9)*IF(Data!C268&lt;=INDEX($B$2:$B$13,9),INDEX($C$2:$C$13,9),INDEX($D$2:$D$13,9))))</f>
        <v>0.57978723404255317</v>
      </c>
      <c r="T58">
        <f>MIN(0.999,MAX(0.001,S58+INDEX($E$2:$E$13,10)*IF(Data!C268&lt;=INDEX($B$2:$B$13,10),INDEX($C$2:$C$13,10),INDEX($D$2:$D$13,10))))</f>
        <v>0.57978723404255317</v>
      </c>
      <c r="U58">
        <f>MIN(0.999,MAX(0.001,T58+INDEX($E$2:$E$13,11)*IF(Data!C268&lt;=INDEX($B$2:$B$13,11),INDEX($C$2:$C$13,11),INDEX($D$2:$D$13,11))))</f>
        <v>0.57978723404255317</v>
      </c>
      <c r="V58">
        <f>MIN(0.999,MAX(0.001,U58+INDEX($E$2:$E$13,12)*IF(Data!C268&lt;=INDEX($B$2:$B$13,12),INDEX($C$2:$C$13,12),INDEX($D$2:$D$13,12))))</f>
        <v>0.57978723404255317</v>
      </c>
      <c r="W58">
        <f>IF(V58&gt;=Controls!$B$2,1,0)</f>
        <v>1</v>
      </c>
      <c r="X58">
        <f t="shared" si="3"/>
        <v>1</v>
      </c>
    </row>
    <row r="59" spans="8:24" x14ac:dyDescent="0.2">
      <c r="H59">
        <f>Data!A269</f>
        <v>268</v>
      </c>
      <c r="I59">
        <f>Data!L269</f>
        <v>0</v>
      </c>
      <c r="J59">
        <f>IF(Data!C269&lt;=ClassTree!$L$2,ClassTree!$L$4,ClassTree!$L$6)</f>
        <v>0.57978723404255317</v>
      </c>
      <c r="K59">
        <f>MIN(0.999,MAX(0.001,J59+INDEX($E$2:$E$13,1)*IF(Data!C269&lt;=INDEX($B$2:$B$13,1),INDEX($C$2:$C$13,1),INDEX($D$2:$D$13,1))))</f>
        <v>0.57978723404255317</v>
      </c>
      <c r="L59">
        <f>MIN(0.999,MAX(0.001,K59+INDEX($E$2:$E$13,2)*IF(Data!C269&lt;=INDEX($B$2:$B$13,2),INDEX($C$2:$C$13,2),INDEX($D$2:$D$13,2))))</f>
        <v>0.57978723404255317</v>
      </c>
      <c r="M59">
        <f>MIN(0.999,MAX(0.001,L59+INDEX($E$2:$E$13,3)*IF(Data!C269&lt;=INDEX($B$2:$B$13,3),INDEX($C$2:$C$13,3),INDEX($D$2:$D$13,3))))</f>
        <v>0.57978723404255317</v>
      </c>
      <c r="N59">
        <f>MIN(0.999,MAX(0.001,M59+INDEX($E$2:$E$13,4)*IF(Data!C269&lt;=INDEX($B$2:$B$13,4),INDEX($C$2:$C$13,4),INDEX($D$2:$D$13,4))))</f>
        <v>0.57978723404255317</v>
      </c>
      <c r="O59">
        <f>MIN(0.999,MAX(0.001,N59+INDEX($E$2:$E$13,5)*IF(Data!C269&lt;=INDEX($B$2:$B$13,5),INDEX($C$2:$C$13,5),INDEX($D$2:$D$13,5))))</f>
        <v>0.57978723404255317</v>
      </c>
      <c r="P59">
        <f>MIN(0.999,MAX(0.001,O59+INDEX($E$2:$E$13,6)*IF(Data!C269&lt;=INDEX($B$2:$B$13,6),INDEX($C$2:$C$13,6),INDEX($D$2:$D$13,6))))</f>
        <v>0.57978723404255317</v>
      </c>
      <c r="Q59">
        <f>MIN(0.999,MAX(0.001,P59+INDEX($E$2:$E$13,7)*IF(Data!C269&lt;=INDEX($B$2:$B$13,7),INDEX($C$2:$C$13,7),INDEX($D$2:$D$13,7))))</f>
        <v>0.57978723404255317</v>
      </c>
      <c r="R59">
        <f>MIN(0.999,MAX(0.001,Q59+INDEX($E$2:$E$13,8)*IF(Data!C269&lt;=INDEX($B$2:$B$13,8),INDEX($C$2:$C$13,8),INDEX($D$2:$D$13,8))))</f>
        <v>0.57978723404255317</v>
      </c>
      <c r="S59">
        <f>MIN(0.999,MAX(0.001,R59+INDEX($E$2:$E$13,9)*IF(Data!C269&lt;=INDEX($B$2:$B$13,9),INDEX($C$2:$C$13,9),INDEX($D$2:$D$13,9))))</f>
        <v>0.57978723404255317</v>
      </c>
      <c r="T59">
        <f>MIN(0.999,MAX(0.001,S59+INDEX($E$2:$E$13,10)*IF(Data!C269&lt;=INDEX($B$2:$B$13,10),INDEX($C$2:$C$13,10),INDEX($D$2:$D$13,10))))</f>
        <v>0.57978723404255317</v>
      </c>
      <c r="U59">
        <f>MIN(0.999,MAX(0.001,T59+INDEX($E$2:$E$13,11)*IF(Data!C269&lt;=INDEX($B$2:$B$13,11),INDEX($C$2:$C$13,11),INDEX($D$2:$D$13,11))))</f>
        <v>0.57978723404255317</v>
      </c>
      <c r="V59">
        <f>MIN(0.999,MAX(0.001,U59+INDEX($E$2:$E$13,12)*IF(Data!C269&lt;=INDEX($B$2:$B$13,12),INDEX($C$2:$C$13,12),INDEX($D$2:$D$13,12))))</f>
        <v>0.57978723404255317</v>
      </c>
      <c r="W59">
        <f>IF(V59&gt;=Controls!$B$2,1,0)</f>
        <v>1</v>
      </c>
      <c r="X59">
        <f t="shared" si="3"/>
        <v>0</v>
      </c>
    </row>
    <row r="60" spans="8:24" x14ac:dyDescent="0.2">
      <c r="H60">
        <f>Data!A270</f>
        <v>269</v>
      </c>
      <c r="I60">
        <f>Data!L270</f>
        <v>0</v>
      </c>
      <c r="J60">
        <f>IF(Data!C270&lt;=ClassTree!$L$2,ClassTree!$L$4,ClassTree!$L$6)</f>
        <v>0.57978723404255317</v>
      </c>
      <c r="K60">
        <f>MIN(0.999,MAX(0.001,J60+INDEX($E$2:$E$13,1)*IF(Data!C270&lt;=INDEX($B$2:$B$13,1),INDEX($C$2:$C$13,1),INDEX($D$2:$D$13,1))))</f>
        <v>0.57978723404255317</v>
      </c>
      <c r="L60">
        <f>MIN(0.999,MAX(0.001,K60+INDEX($E$2:$E$13,2)*IF(Data!C270&lt;=INDEX($B$2:$B$13,2),INDEX($C$2:$C$13,2),INDEX($D$2:$D$13,2))))</f>
        <v>0.57978723404255317</v>
      </c>
      <c r="M60">
        <f>MIN(0.999,MAX(0.001,L60+INDEX($E$2:$E$13,3)*IF(Data!C270&lt;=INDEX($B$2:$B$13,3),INDEX($C$2:$C$13,3),INDEX($D$2:$D$13,3))))</f>
        <v>0.57978723404255317</v>
      </c>
      <c r="N60">
        <f>MIN(0.999,MAX(0.001,M60+INDEX($E$2:$E$13,4)*IF(Data!C270&lt;=INDEX($B$2:$B$13,4),INDEX($C$2:$C$13,4),INDEX($D$2:$D$13,4))))</f>
        <v>0.57978723404255317</v>
      </c>
      <c r="O60">
        <f>MIN(0.999,MAX(0.001,N60+INDEX($E$2:$E$13,5)*IF(Data!C270&lt;=INDEX($B$2:$B$13,5),INDEX($C$2:$C$13,5),INDEX($D$2:$D$13,5))))</f>
        <v>0.57978723404255317</v>
      </c>
      <c r="P60">
        <f>MIN(0.999,MAX(0.001,O60+INDEX($E$2:$E$13,6)*IF(Data!C270&lt;=INDEX($B$2:$B$13,6),INDEX($C$2:$C$13,6),INDEX($D$2:$D$13,6))))</f>
        <v>0.57978723404255317</v>
      </c>
      <c r="Q60">
        <f>MIN(0.999,MAX(0.001,P60+INDEX($E$2:$E$13,7)*IF(Data!C270&lt;=INDEX($B$2:$B$13,7),INDEX($C$2:$C$13,7),INDEX($D$2:$D$13,7))))</f>
        <v>0.57978723404255317</v>
      </c>
      <c r="R60">
        <f>MIN(0.999,MAX(0.001,Q60+INDEX($E$2:$E$13,8)*IF(Data!C270&lt;=INDEX($B$2:$B$13,8),INDEX($C$2:$C$13,8),INDEX($D$2:$D$13,8))))</f>
        <v>0.57978723404255317</v>
      </c>
      <c r="S60">
        <f>MIN(0.999,MAX(0.001,R60+INDEX($E$2:$E$13,9)*IF(Data!C270&lt;=INDEX($B$2:$B$13,9),INDEX($C$2:$C$13,9),INDEX($D$2:$D$13,9))))</f>
        <v>0.57978723404255317</v>
      </c>
      <c r="T60">
        <f>MIN(0.999,MAX(0.001,S60+INDEX($E$2:$E$13,10)*IF(Data!C270&lt;=INDEX($B$2:$B$13,10),INDEX($C$2:$C$13,10),INDEX($D$2:$D$13,10))))</f>
        <v>0.57978723404255317</v>
      </c>
      <c r="U60">
        <f>MIN(0.999,MAX(0.001,T60+INDEX($E$2:$E$13,11)*IF(Data!C270&lt;=INDEX($B$2:$B$13,11),INDEX($C$2:$C$13,11),INDEX($D$2:$D$13,11))))</f>
        <v>0.57978723404255317</v>
      </c>
      <c r="V60">
        <f>MIN(0.999,MAX(0.001,U60+INDEX($E$2:$E$13,12)*IF(Data!C270&lt;=INDEX($B$2:$B$13,12),INDEX($C$2:$C$13,12),INDEX($D$2:$D$13,12))))</f>
        <v>0.57978723404255317</v>
      </c>
      <c r="W60">
        <f>IF(V60&gt;=Controls!$B$2,1,0)</f>
        <v>1</v>
      </c>
      <c r="X60">
        <f t="shared" si="3"/>
        <v>0</v>
      </c>
    </row>
    <row r="61" spans="8:24" x14ac:dyDescent="0.2">
      <c r="H61">
        <f>Data!A271</f>
        <v>270</v>
      </c>
      <c r="I61">
        <f>Data!L271</f>
        <v>0</v>
      </c>
      <c r="J61">
        <f>IF(Data!C271&lt;=ClassTree!$L$2,ClassTree!$L$4,ClassTree!$L$6)</f>
        <v>0.57978723404255317</v>
      </c>
      <c r="K61">
        <f>MIN(0.999,MAX(0.001,J61+INDEX($E$2:$E$13,1)*IF(Data!C271&lt;=INDEX($B$2:$B$13,1),INDEX($C$2:$C$13,1),INDEX($D$2:$D$13,1))))</f>
        <v>0.57978723404255317</v>
      </c>
      <c r="L61">
        <f>MIN(0.999,MAX(0.001,K61+INDEX($E$2:$E$13,2)*IF(Data!C271&lt;=INDEX($B$2:$B$13,2),INDEX($C$2:$C$13,2),INDEX($D$2:$D$13,2))))</f>
        <v>0.57978723404255317</v>
      </c>
      <c r="M61">
        <f>MIN(0.999,MAX(0.001,L61+INDEX($E$2:$E$13,3)*IF(Data!C271&lt;=INDEX($B$2:$B$13,3),INDEX($C$2:$C$13,3),INDEX($D$2:$D$13,3))))</f>
        <v>0.57978723404255317</v>
      </c>
      <c r="N61">
        <f>MIN(0.999,MAX(0.001,M61+INDEX($E$2:$E$13,4)*IF(Data!C271&lt;=INDEX($B$2:$B$13,4),INDEX($C$2:$C$13,4),INDEX($D$2:$D$13,4))))</f>
        <v>0.57978723404255317</v>
      </c>
      <c r="O61">
        <f>MIN(0.999,MAX(0.001,N61+INDEX($E$2:$E$13,5)*IF(Data!C271&lt;=INDEX($B$2:$B$13,5),INDEX($C$2:$C$13,5),INDEX($D$2:$D$13,5))))</f>
        <v>0.57978723404255317</v>
      </c>
      <c r="P61">
        <f>MIN(0.999,MAX(0.001,O61+INDEX($E$2:$E$13,6)*IF(Data!C271&lt;=INDEX($B$2:$B$13,6),INDEX($C$2:$C$13,6),INDEX($D$2:$D$13,6))))</f>
        <v>0.57978723404255317</v>
      </c>
      <c r="Q61">
        <f>MIN(0.999,MAX(0.001,P61+INDEX($E$2:$E$13,7)*IF(Data!C271&lt;=INDEX($B$2:$B$13,7),INDEX($C$2:$C$13,7),INDEX($D$2:$D$13,7))))</f>
        <v>0.57978723404255317</v>
      </c>
      <c r="R61">
        <f>MIN(0.999,MAX(0.001,Q61+INDEX($E$2:$E$13,8)*IF(Data!C271&lt;=INDEX($B$2:$B$13,8),INDEX($C$2:$C$13,8),INDEX($D$2:$D$13,8))))</f>
        <v>0.57978723404255317</v>
      </c>
      <c r="S61">
        <f>MIN(0.999,MAX(0.001,R61+INDEX($E$2:$E$13,9)*IF(Data!C271&lt;=INDEX($B$2:$B$13,9),INDEX($C$2:$C$13,9),INDEX($D$2:$D$13,9))))</f>
        <v>0.57978723404255317</v>
      </c>
      <c r="T61">
        <f>MIN(0.999,MAX(0.001,S61+INDEX($E$2:$E$13,10)*IF(Data!C271&lt;=INDEX($B$2:$B$13,10),INDEX($C$2:$C$13,10),INDEX($D$2:$D$13,10))))</f>
        <v>0.57978723404255317</v>
      </c>
      <c r="U61">
        <f>MIN(0.999,MAX(0.001,T61+INDEX($E$2:$E$13,11)*IF(Data!C271&lt;=INDEX($B$2:$B$13,11),INDEX($C$2:$C$13,11),INDEX($D$2:$D$13,11))))</f>
        <v>0.57978723404255317</v>
      </c>
      <c r="V61">
        <f>MIN(0.999,MAX(0.001,U61+INDEX($E$2:$E$13,12)*IF(Data!C271&lt;=INDEX($B$2:$B$13,12),INDEX($C$2:$C$13,12),INDEX($D$2:$D$13,12))))</f>
        <v>0.57978723404255317</v>
      </c>
      <c r="W61">
        <f>IF(V61&gt;=Controls!$B$2,1,0)</f>
        <v>1</v>
      </c>
      <c r="X61">
        <f t="shared" si="3"/>
        <v>0</v>
      </c>
    </row>
    <row r="62" spans="8:24" x14ac:dyDescent="0.2">
      <c r="H62">
        <f>Data!A272</f>
        <v>271</v>
      </c>
      <c r="I62">
        <f>Data!L272</f>
        <v>1</v>
      </c>
      <c r="J62">
        <f>IF(Data!C272&lt;=ClassTree!$L$2,ClassTree!$L$4,ClassTree!$L$6)</f>
        <v>0.57978723404255317</v>
      </c>
      <c r="K62">
        <f>MIN(0.999,MAX(0.001,J62+INDEX($E$2:$E$13,1)*IF(Data!C272&lt;=INDEX($B$2:$B$13,1),INDEX($C$2:$C$13,1),INDEX($D$2:$D$13,1))))</f>
        <v>0.57978723404255317</v>
      </c>
      <c r="L62">
        <f>MIN(0.999,MAX(0.001,K62+INDEX($E$2:$E$13,2)*IF(Data!C272&lt;=INDEX($B$2:$B$13,2),INDEX($C$2:$C$13,2),INDEX($D$2:$D$13,2))))</f>
        <v>0.57978723404255317</v>
      </c>
      <c r="M62">
        <f>MIN(0.999,MAX(0.001,L62+INDEX($E$2:$E$13,3)*IF(Data!C272&lt;=INDEX($B$2:$B$13,3),INDEX($C$2:$C$13,3),INDEX($D$2:$D$13,3))))</f>
        <v>0.57978723404255317</v>
      </c>
      <c r="N62">
        <f>MIN(0.999,MAX(0.001,M62+INDEX($E$2:$E$13,4)*IF(Data!C272&lt;=INDEX($B$2:$B$13,4),INDEX($C$2:$C$13,4),INDEX($D$2:$D$13,4))))</f>
        <v>0.57978723404255317</v>
      </c>
      <c r="O62">
        <f>MIN(0.999,MAX(0.001,N62+INDEX($E$2:$E$13,5)*IF(Data!C272&lt;=INDEX($B$2:$B$13,5),INDEX($C$2:$C$13,5),INDEX($D$2:$D$13,5))))</f>
        <v>0.57978723404255317</v>
      </c>
      <c r="P62">
        <f>MIN(0.999,MAX(0.001,O62+INDEX($E$2:$E$13,6)*IF(Data!C272&lt;=INDEX($B$2:$B$13,6),INDEX($C$2:$C$13,6),INDEX($D$2:$D$13,6))))</f>
        <v>0.57978723404255317</v>
      </c>
      <c r="Q62">
        <f>MIN(0.999,MAX(0.001,P62+INDEX($E$2:$E$13,7)*IF(Data!C272&lt;=INDEX($B$2:$B$13,7),INDEX($C$2:$C$13,7),INDEX($D$2:$D$13,7))))</f>
        <v>0.57978723404255317</v>
      </c>
      <c r="R62">
        <f>MIN(0.999,MAX(0.001,Q62+INDEX($E$2:$E$13,8)*IF(Data!C272&lt;=INDEX($B$2:$B$13,8),INDEX($C$2:$C$13,8),INDEX($D$2:$D$13,8))))</f>
        <v>0.57978723404255317</v>
      </c>
      <c r="S62">
        <f>MIN(0.999,MAX(0.001,R62+INDEX($E$2:$E$13,9)*IF(Data!C272&lt;=INDEX($B$2:$B$13,9),INDEX($C$2:$C$13,9),INDEX($D$2:$D$13,9))))</f>
        <v>0.57978723404255317</v>
      </c>
      <c r="T62">
        <f>MIN(0.999,MAX(0.001,S62+INDEX($E$2:$E$13,10)*IF(Data!C272&lt;=INDEX($B$2:$B$13,10),INDEX($C$2:$C$13,10),INDEX($D$2:$D$13,10))))</f>
        <v>0.57978723404255317</v>
      </c>
      <c r="U62">
        <f>MIN(0.999,MAX(0.001,T62+INDEX($E$2:$E$13,11)*IF(Data!C272&lt;=INDEX($B$2:$B$13,11),INDEX($C$2:$C$13,11),INDEX($D$2:$D$13,11))))</f>
        <v>0.57978723404255317</v>
      </c>
      <c r="V62">
        <f>MIN(0.999,MAX(0.001,U62+INDEX($E$2:$E$13,12)*IF(Data!C272&lt;=INDEX($B$2:$B$13,12),INDEX($C$2:$C$13,12),INDEX($D$2:$D$13,12))))</f>
        <v>0.57978723404255317</v>
      </c>
      <c r="W62">
        <f>IF(V62&gt;=Controls!$B$2,1,0)</f>
        <v>1</v>
      </c>
      <c r="X62">
        <f t="shared" si="3"/>
        <v>1</v>
      </c>
    </row>
    <row r="63" spans="8:24" x14ac:dyDescent="0.2">
      <c r="H63">
        <f>Data!A273</f>
        <v>272</v>
      </c>
      <c r="I63">
        <f>Data!L273</f>
        <v>1</v>
      </c>
      <c r="J63">
        <f>IF(Data!C273&lt;=ClassTree!$L$2,ClassTree!$L$4,ClassTree!$L$6)</f>
        <v>0.57978723404255317</v>
      </c>
      <c r="K63">
        <f>MIN(0.999,MAX(0.001,J63+INDEX($E$2:$E$13,1)*IF(Data!C273&lt;=INDEX($B$2:$B$13,1),INDEX($C$2:$C$13,1),INDEX($D$2:$D$13,1))))</f>
        <v>0.57978723404255317</v>
      </c>
      <c r="L63">
        <f>MIN(0.999,MAX(0.001,K63+INDEX($E$2:$E$13,2)*IF(Data!C273&lt;=INDEX($B$2:$B$13,2),INDEX($C$2:$C$13,2),INDEX($D$2:$D$13,2))))</f>
        <v>0.57978723404255317</v>
      </c>
      <c r="M63">
        <f>MIN(0.999,MAX(0.001,L63+INDEX($E$2:$E$13,3)*IF(Data!C273&lt;=INDEX($B$2:$B$13,3),INDEX($C$2:$C$13,3),INDEX($D$2:$D$13,3))))</f>
        <v>0.57978723404255317</v>
      </c>
      <c r="N63">
        <f>MIN(0.999,MAX(0.001,M63+INDEX($E$2:$E$13,4)*IF(Data!C273&lt;=INDEX($B$2:$B$13,4),INDEX($C$2:$C$13,4),INDEX($D$2:$D$13,4))))</f>
        <v>0.57978723404255317</v>
      </c>
      <c r="O63">
        <f>MIN(0.999,MAX(0.001,N63+INDEX($E$2:$E$13,5)*IF(Data!C273&lt;=INDEX($B$2:$B$13,5),INDEX($C$2:$C$13,5),INDEX($D$2:$D$13,5))))</f>
        <v>0.57978723404255317</v>
      </c>
      <c r="P63">
        <f>MIN(0.999,MAX(0.001,O63+INDEX($E$2:$E$13,6)*IF(Data!C273&lt;=INDEX($B$2:$B$13,6),INDEX($C$2:$C$13,6),INDEX($D$2:$D$13,6))))</f>
        <v>0.57978723404255317</v>
      </c>
      <c r="Q63">
        <f>MIN(0.999,MAX(0.001,P63+INDEX($E$2:$E$13,7)*IF(Data!C273&lt;=INDEX($B$2:$B$13,7),INDEX($C$2:$C$13,7),INDEX($D$2:$D$13,7))))</f>
        <v>0.57978723404255317</v>
      </c>
      <c r="R63">
        <f>MIN(0.999,MAX(0.001,Q63+INDEX($E$2:$E$13,8)*IF(Data!C273&lt;=INDEX($B$2:$B$13,8),INDEX($C$2:$C$13,8),INDEX($D$2:$D$13,8))))</f>
        <v>0.57978723404255317</v>
      </c>
      <c r="S63">
        <f>MIN(0.999,MAX(0.001,R63+INDEX($E$2:$E$13,9)*IF(Data!C273&lt;=INDEX($B$2:$B$13,9),INDEX($C$2:$C$13,9),INDEX($D$2:$D$13,9))))</f>
        <v>0.57978723404255317</v>
      </c>
      <c r="T63">
        <f>MIN(0.999,MAX(0.001,S63+INDEX($E$2:$E$13,10)*IF(Data!C273&lt;=INDEX($B$2:$B$13,10),INDEX($C$2:$C$13,10),INDEX($D$2:$D$13,10))))</f>
        <v>0.57978723404255317</v>
      </c>
      <c r="U63">
        <f>MIN(0.999,MAX(0.001,T63+INDEX($E$2:$E$13,11)*IF(Data!C273&lt;=INDEX($B$2:$B$13,11),INDEX($C$2:$C$13,11),INDEX($D$2:$D$13,11))))</f>
        <v>0.57978723404255317</v>
      </c>
      <c r="V63">
        <f>MIN(0.999,MAX(0.001,U63+INDEX($E$2:$E$13,12)*IF(Data!C273&lt;=INDEX($B$2:$B$13,12),INDEX($C$2:$C$13,12),INDEX($D$2:$D$13,12))))</f>
        <v>0.57978723404255317</v>
      </c>
      <c r="W63">
        <f>IF(V63&gt;=Controls!$B$2,1,0)</f>
        <v>1</v>
      </c>
      <c r="X63">
        <f t="shared" si="3"/>
        <v>1</v>
      </c>
    </row>
    <row r="64" spans="8:24" x14ac:dyDescent="0.2">
      <c r="H64">
        <f>Data!A274</f>
        <v>273</v>
      </c>
      <c r="I64">
        <f>Data!L274</f>
        <v>1</v>
      </c>
      <c r="J64">
        <f>IF(Data!C274&lt;=ClassTree!$L$2,ClassTree!$L$4,ClassTree!$L$6)</f>
        <v>0.57978723404255317</v>
      </c>
      <c r="K64">
        <f>MIN(0.999,MAX(0.001,J64+INDEX($E$2:$E$13,1)*IF(Data!C274&lt;=INDEX($B$2:$B$13,1),INDEX($C$2:$C$13,1),INDEX($D$2:$D$13,1))))</f>
        <v>0.57978723404255317</v>
      </c>
      <c r="L64">
        <f>MIN(0.999,MAX(0.001,K64+INDEX($E$2:$E$13,2)*IF(Data!C274&lt;=INDEX($B$2:$B$13,2),INDEX($C$2:$C$13,2),INDEX($D$2:$D$13,2))))</f>
        <v>0.57978723404255317</v>
      </c>
      <c r="M64">
        <f>MIN(0.999,MAX(0.001,L64+INDEX($E$2:$E$13,3)*IF(Data!C274&lt;=INDEX($B$2:$B$13,3),INDEX($C$2:$C$13,3),INDEX($D$2:$D$13,3))))</f>
        <v>0.57978723404255317</v>
      </c>
      <c r="N64">
        <f>MIN(0.999,MAX(0.001,M64+INDEX($E$2:$E$13,4)*IF(Data!C274&lt;=INDEX($B$2:$B$13,4),INDEX($C$2:$C$13,4),INDEX($D$2:$D$13,4))))</f>
        <v>0.57978723404255317</v>
      </c>
      <c r="O64">
        <f>MIN(0.999,MAX(0.001,N64+INDEX($E$2:$E$13,5)*IF(Data!C274&lt;=INDEX($B$2:$B$13,5),INDEX($C$2:$C$13,5),INDEX($D$2:$D$13,5))))</f>
        <v>0.57978723404255317</v>
      </c>
      <c r="P64">
        <f>MIN(0.999,MAX(0.001,O64+INDEX($E$2:$E$13,6)*IF(Data!C274&lt;=INDEX($B$2:$B$13,6),INDEX($C$2:$C$13,6),INDEX($D$2:$D$13,6))))</f>
        <v>0.57978723404255317</v>
      </c>
      <c r="Q64">
        <f>MIN(0.999,MAX(0.001,P64+INDEX($E$2:$E$13,7)*IF(Data!C274&lt;=INDEX($B$2:$B$13,7),INDEX($C$2:$C$13,7),INDEX($D$2:$D$13,7))))</f>
        <v>0.57978723404255317</v>
      </c>
      <c r="R64">
        <f>MIN(0.999,MAX(0.001,Q64+INDEX($E$2:$E$13,8)*IF(Data!C274&lt;=INDEX($B$2:$B$13,8),INDEX($C$2:$C$13,8),INDEX($D$2:$D$13,8))))</f>
        <v>0.57978723404255317</v>
      </c>
      <c r="S64">
        <f>MIN(0.999,MAX(0.001,R64+INDEX($E$2:$E$13,9)*IF(Data!C274&lt;=INDEX($B$2:$B$13,9),INDEX($C$2:$C$13,9),INDEX($D$2:$D$13,9))))</f>
        <v>0.57978723404255317</v>
      </c>
      <c r="T64">
        <f>MIN(0.999,MAX(0.001,S64+INDEX($E$2:$E$13,10)*IF(Data!C274&lt;=INDEX($B$2:$B$13,10),INDEX($C$2:$C$13,10),INDEX($D$2:$D$13,10))))</f>
        <v>0.57978723404255317</v>
      </c>
      <c r="U64">
        <f>MIN(0.999,MAX(0.001,T64+INDEX($E$2:$E$13,11)*IF(Data!C274&lt;=INDEX($B$2:$B$13,11),INDEX($C$2:$C$13,11),INDEX($D$2:$D$13,11))))</f>
        <v>0.57978723404255317</v>
      </c>
      <c r="V64">
        <f>MIN(0.999,MAX(0.001,U64+INDEX($E$2:$E$13,12)*IF(Data!C274&lt;=INDEX($B$2:$B$13,12),INDEX($C$2:$C$13,12),INDEX($D$2:$D$13,12))))</f>
        <v>0.57978723404255317</v>
      </c>
      <c r="W64">
        <f>IF(V64&gt;=Controls!$B$2,1,0)</f>
        <v>1</v>
      </c>
      <c r="X64">
        <f t="shared" si="3"/>
        <v>1</v>
      </c>
    </row>
    <row r="65" spans="8:24" x14ac:dyDescent="0.2">
      <c r="H65">
        <f>Data!A275</f>
        <v>274</v>
      </c>
      <c r="I65">
        <f>Data!L275</f>
        <v>1</v>
      </c>
      <c r="J65">
        <f>IF(Data!C275&lt;=ClassTree!$L$2,ClassTree!$L$4,ClassTree!$L$6)</f>
        <v>0.57978723404255317</v>
      </c>
      <c r="K65">
        <f>MIN(0.999,MAX(0.001,J65+INDEX($E$2:$E$13,1)*IF(Data!C275&lt;=INDEX($B$2:$B$13,1),INDEX($C$2:$C$13,1),INDEX($D$2:$D$13,1))))</f>
        <v>0.57978723404255317</v>
      </c>
      <c r="L65">
        <f>MIN(0.999,MAX(0.001,K65+INDEX($E$2:$E$13,2)*IF(Data!C275&lt;=INDEX($B$2:$B$13,2),INDEX($C$2:$C$13,2),INDEX($D$2:$D$13,2))))</f>
        <v>0.57978723404255317</v>
      </c>
      <c r="M65">
        <f>MIN(0.999,MAX(0.001,L65+INDEX($E$2:$E$13,3)*IF(Data!C275&lt;=INDEX($B$2:$B$13,3),INDEX($C$2:$C$13,3),INDEX($D$2:$D$13,3))))</f>
        <v>0.57978723404255317</v>
      </c>
      <c r="N65">
        <f>MIN(0.999,MAX(0.001,M65+INDEX($E$2:$E$13,4)*IF(Data!C275&lt;=INDEX($B$2:$B$13,4),INDEX($C$2:$C$13,4),INDEX($D$2:$D$13,4))))</f>
        <v>0.57978723404255317</v>
      </c>
      <c r="O65">
        <f>MIN(0.999,MAX(0.001,N65+INDEX($E$2:$E$13,5)*IF(Data!C275&lt;=INDEX($B$2:$B$13,5),INDEX($C$2:$C$13,5),INDEX($D$2:$D$13,5))))</f>
        <v>0.57978723404255317</v>
      </c>
      <c r="P65">
        <f>MIN(0.999,MAX(0.001,O65+INDEX($E$2:$E$13,6)*IF(Data!C275&lt;=INDEX($B$2:$B$13,6),INDEX($C$2:$C$13,6),INDEX($D$2:$D$13,6))))</f>
        <v>0.57978723404255317</v>
      </c>
      <c r="Q65">
        <f>MIN(0.999,MAX(0.001,P65+INDEX($E$2:$E$13,7)*IF(Data!C275&lt;=INDEX($B$2:$B$13,7),INDEX($C$2:$C$13,7),INDEX($D$2:$D$13,7))))</f>
        <v>0.57978723404255317</v>
      </c>
      <c r="R65">
        <f>MIN(0.999,MAX(0.001,Q65+INDEX($E$2:$E$13,8)*IF(Data!C275&lt;=INDEX($B$2:$B$13,8),INDEX($C$2:$C$13,8),INDEX($D$2:$D$13,8))))</f>
        <v>0.57978723404255317</v>
      </c>
      <c r="S65">
        <f>MIN(0.999,MAX(0.001,R65+INDEX($E$2:$E$13,9)*IF(Data!C275&lt;=INDEX($B$2:$B$13,9),INDEX($C$2:$C$13,9),INDEX($D$2:$D$13,9))))</f>
        <v>0.57978723404255317</v>
      </c>
      <c r="T65">
        <f>MIN(0.999,MAX(0.001,S65+INDEX($E$2:$E$13,10)*IF(Data!C275&lt;=INDEX($B$2:$B$13,10),INDEX($C$2:$C$13,10),INDEX($D$2:$D$13,10))))</f>
        <v>0.57978723404255317</v>
      </c>
      <c r="U65">
        <f>MIN(0.999,MAX(0.001,T65+INDEX($E$2:$E$13,11)*IF(Data!C275&lt;=INDEX($B$2:$B$13,11),INDEX($C$2:$C$13,11),INDEX($D$2:$D$13,11))))</f>
        <v>0.57978723404255317</v>
      </c>
      <c r="V65">
        <f>MIN(0.999,MAX(0.001,U65+INDEX($E$2:$E$13,12)*IF(Data!C275&lt;=INDEX($B$2:$B$13,12),INDEX($C$2:$C$13,12),INDEX($D$2:$D$13,12))))</f>
        <v>0.57978723404255317</v>
      </c>
      <c r="W65">
        <f>IF(V65&gt;=Controls!$B$2,1,0)</f>
        <v>1</v>
      </c>
      <c r="X65">
        <f t="shared" si="3"/>
        <v>1</v>
      </c>
    </row>
    <row r="66" spans="8:24" x14ac:dyDescent="0.2">
      <c r="H66">
        <f>Data!A276</f>
        <v>275</v>
      </c>
      <c r="I66">
        <f>Data!L276</f>
        <v>1</v>
      </c>
      <c r="J66">
        <f>IF(Data!C276&lt;=ClassTree!$L$2,ClassTree!$L$4,ClassTree!$L$6)</f>
        <v>0.57978723404255317</v>
      </c>
      <c r="K66">
        <f>MIN(0.999,MAX(0.001,J66+INDEX($E$2:$E$13,1)*IF(Data!C276&lt;=INDEX($B$2:$B$13,1),INDEX($C$2:$C$13,1),INDEX($D$2:$D$13,1))))</f>
        <v>0.57978723404255317</v>
      </c>
      <c r="L66">
        <f>MIN(0.999,MAX(0.001,K66+INDEX($E$2:$E$13,2)*IF(Data!C276&lt;=INDEX($B$2:$B$13,2),INDEX($C$2:$C$13,2),INDEX($D$2:$D$13,2))))</f>
        <v>0.57978723404255317</v>
      </c>
      <c r="M66">
        <f>MIN(0.999,MAX(0.001,L66+INDEX($E$2:$E$13,3)*IF(Data!C276&lt;=INDEX($B$2:$B$13,3),INDEX($C$2:$C$13,3),INDEX($D$2:$D$13,3))))</f>
        <v>0.57978723404255317</v>
      </c>
      <c r="N66">
        <f>MIN(0.999,MAX(0.001,M66+INDEX($E$2:$E$13,4)*IF(Data!C276&lt;=INDEX($B$2:$B$13,4),INDEX($C$2:$C$13,4),INDEX($D$2:$D$13,4))))</f>
        <v>0.57978723404255317</v>
      </c>
      <c r="O66">
        <f>MIN(0.999,MAX(0.001,N66+INDEX($E$2:$E$13,5)*IF(Data!C276&lt;=INDEX($B$2:$B$13,5),INDEX($C$2:$C$13,5),INDEX($D$2:$D$13,5))))</f>
        <v>0.57978723404255317</v>
      </c>
      <c r="P66">
        <f>MIN(0.999,MAX(0.001,O66+INDEX($E$2:$E$13,6)*IF(Data!C276&lt;=INDEX($B$2:$B$13,6),INDEX($C$2:$C$13,6),INDEX($D$2:$D$13,6))))</f>
        <v>0.57978723404255317</v>
      </c>
      <c r="Q66">
        <f>MIN(0.999,MAX(0.001,P66+INDEX($E$2:$E$13,7)*IF(Data!C276&lt;=INDEX($B$2:$B$13,7),INDEX($C$2:$C$13,7),INDEX($D$2:$D$13,7))))</f>
        <v>0.57978723404255317</v>
      </c>
      <c r="R66">
        <f>MIN(0.999,MAX(0.001,Q66+INDEX($E$2:$E$13,8)*IF(Data!C276&lt;=INDEX($B$2:$B$13,8),INDEX($C$2:$C$13,8),INDEX($D$2:$D$13,8))))</f>
        <v>0.57978723404255317</v>
      </c>
      <c r="S66">
        <f>MIN(0.999,MAX(0.001,R66+INDEX($E$2:$E$13,9)*IF(Data!C276&lt;=INDEX($B$2:$B$13,9),INDEX($C$2:$C$13,9),INDEX($D$2:$D$13,9))))</f>
        <v>0.57978723404255317</v>
      </c>
      <c r="T66">
        <f>MIN(0.999,MAX(0.001,S66+INDEX($E$2:$E$13,10)*IF(Data!C276&lt;=INDEX($B$2:$B$13,10),INDEX($C$2:$C$13,10),INDEX($D$2:$D$13,10))))</f>
        <v>0.57978723404255317</v>
      </c>
      <c r="U66">
        <f>MIN(0.999,MAX(0.001,T66+INDEX($E$2:$E$13,11)*IF(Data!C276&lt;=INDEX($B$2:$B$13,11),INDEX($C$2:$C$13,11),INDEX($D$2:$D$13,11))))</f>
        <v>0.57978723404255317</v>
      </c>
      <c r="V66">
        <f>MIN(0.999,MAX(0.001,U66+INDEX($E$2:$E$13,12)*IF(Data!C276&lt;=INDEX($B$2:$B$13,12),INDEX($C$2:$C$13,12),INDEX($D$2:$D$13,12))))</f>
        <v>0.57978723404255317</v>
      </c>
      <c r="W66">
        <f>IF(V66&gt;=Controls!$B$2,1,0)</f>
        <v>1</v>
      </c>
      <c r="X66">
        <f t="shared" ref="X66:X97" si="4">--(W66=I66)</f>
        <v>1</v>
      </c>
    </row>
    <row r="67" spans="8:24" x14ac:dyDescent="0.2">
      <c r="H67">
        <f>Data!A277</f>
        <v>276</v>
      </c>
      <c r="I67">
        <f>Data!L277</f>
        <v>0</v>
      </c>
      <c r="J67">
        <f>IF(Data!C277&lt;=ClassTree!$L$2,ClassTree!$L$4,ClassTree!$L$6)</f>
        <v>0.57978723404255317</v>
      </c>
      <c r="K67">
        <f>MIN(0.999,MAX(0.001,J67+INDEX($E$2:$E$13,1)*IF(Data!C277&lt;=INDEX($B$2:$B$13,1),INDEX($C$2:$C$13,1),INDEX($D$2:$D$13,1))))</f>
        <v>0.57978723404255317</v>
      </c>
      <c r="L67">
        <f>MIN(0.999,MAX(0.001,K67+INDEX($E$2:$E$13,2)*IF(Data!C277&lt;=INDEX($B$2:$B$13,2),INDEX($C$2:$C$13,2),INDEX($D$2:$D$13,2))))</f>
        <v>0.57978723404255317</v>
      </c>
      <c r="M67">
        <f>MIN(0.999,MAX(0.001,L67+INDEX($E$2:$E$13,3)*IF(Data!C277&lt;=INDEX($B$2:$B$13,3),INDEX($C$2:$C$13,3),INDEX($D$2:$D$13,3))))</f>
        <v>0.57978723404255317</v>
      </c>
      <c r="N67">
        <f>MIN(0.999,MAX(0.001,M67+INDEX($E$2:$E$13,4)*IF(Data!C277&lt;=INDEX($B$2:$B$13,4),INDEX($C$2:$C$13,4),INDEX($D$2:$D$13,4))))</f>
        <v>0.57978723404255317</v>
      </c>
      <c r="O67">
        <f>MIN(0.999,MAX(0.001,N67+INDEX($E$2:$E$13,5)*IF(Data!C277&lt;=INDEX($B$2:$B$13,5),INDEX($C$2:$C$13,5),INDEX($D$2:$D$13,5))))</f>
        <v>0.57978723404255317</v>
      </c>
      <c r="P67">
        <f>MIN(0.999,MAX(0.001,O67+INDEX($E$2:$E$13,6)*IF(Data!C277&lt;=INDEX($B$2:$B$13,6),INDEX($C$2:$C$13,6),INDEX($D$2:$D$13,6))))</f>
        <v>0.57978723404255317</v>
      </c>
      <c r="Q67">
        <f>MIN(0.999,MAX(0.001,P67+INDEX($E$2:$E$13,7)*IF(Data!C277&lt;=INDEX($B$2:$B$13,7),INDEX($C$2:$C$13,7),INDEX($D$2:$D$13,7))))</f>
        <v>0.57978723404255317</v>
      </c>
      <c r="R67">
        <f>MIN(0.999,MAX(0.001,Q67+INDEX($E$2:$E$13,8)*IF(Data!C277&lt;=INDEX($B$2:$B$13,8),INDEX($C$2:$C$13,8),INDEX($D$2:$D$13,8))))</f>
        <v>0.57978723404255317</v>
      </c>
      <c r="S67">
        <f>MIN(0.999,MAX(0.001,R67+INDEX($E$2:$E$13,9)*IF(Data!C277&lt;=INDEX($B$2:$B$13,9),INDEX($C$2:$C$13,9),INDEX($D$2:$D$13,9))))</f>
        <v>0.57978723404255317</v>
      </c>
      <c r="T67">
        <f>MIN(0.999,MAX(0.001,S67+INDEX($E$2:$E$13,10)*IF(Data!C277&lt;=INDEX($B$2:$B$13,10),INDEX($C$2:$C$13,10),INDEX($D$2:$D$13,10))))</f>
        <v>0.57978723404255317</v>
      </c>
      <c r="U67">
        <f>MIN(0.999,MAX(0.001,T67+INDEX($E$2:$E$13,11)*IF(Data!C277&lt;=INDEX($B$2:$B$13,11),INDEX($C$2:$C$13,11),INDEX($D$2:$D$13,11))))</f>
        <v>0.57978723404255317</v>
      </c>
      <c r="V67">
        <f>MIN(0.999,MAX(0.001,U67+INDEX($E$2:$E$13,12)*IF(Data!C277&lt;=INDEX($B$2:$B$13,12),INDEX($C$2:$C$13,12),INDEX($D$2:$D$13,12))))</f>
        <v>0.57978723404255317</v>
      </c>
      <c r="W67">
        <f>IF(V67&gt;=Controls!$B$2,1,0)</f>
        <v>1</v>
      </c>
      <c r="X67">
        <f t="shared" si="4"/>
        <v>0</v>
      </c>
    </row>
    <row r="68" spans="8:24" x14ac:dyDescent="0.2">
      <c r="H68">
        <f>Data!A278</f>
        <v>277</v>
      </c>
      <c r="I68">
        <f>Data!L278</f>
        <v>1</v>
      </c>
      <c r="J68">
        <f>IF(Data!C278&lt;=ClassTree!$L$2,ClassTree!$L$4,ClassTree!$L$6)</f>
        <v>0.57978723404255317</v>
      </c>
      <c r="K68">
        <f>MIN(0.999,MAX(0.001,J68+INDEX($E$2:$E$13,1)*IF(Data!C278&lt;=INDEX($B$2:$B$13,1),INDEX($C$2:$C$13,1),INDEX($D$2:$D$13,1))))</f>
        <v>0.57978723404255317</v>
      </c>
      <c r="L68">
        <f>MIN(0.999,MAX(0.001,K68+INDEX($E$2:$E$13,2)*IF(Data!C278&lt;=INDEX($B$2:$B$13,2),INDEX($C$2:$C$13,2),INDEX($D$2:$D$13,2))))</f>
        <v>0.57978723404255317</v>
      </c>
      <c r="M68">
        <f>MIN(0.999,MAX(0.001,L68+INDEX($E$2:$E$13,3)*IF(Data!C278&lt;=INDEX($B$2:$B$13,3),INDEX($C$2:$C$13,3),INDEX($D$2:$D$13,3))))</f>
        <v>0.57978723404255317</v>
      </c>
      <c r="N68">
        <f>MIN(0.999,MAX(0.001,M68+INDEX($E$2:$E$13,4)*IF(Data!C278&lt;=INDEX($B$2:$B$13,4),INDEX($C$2:$C$13,4),INDEX($D$2:$D$13,4))))</f>
        <v>0.57978723404255317</v>
      </c>
      <c r="O68">
        <f>MIN(0.999,MAX(0.001,N68+INDEX($E$2:$E$13,5)*IF(Data!C278&lt;=INDEX($B$2:$B$13,5),INDEX($C$2:$C$13,5),INDEX($D$2:$D$13,5))))</f>
        <v>0.57978723404255317</v>
      </c>
      <c r="P68">
        <f>MIN(0.999,MAX(0.001,O68+INDEX($E$2:$E$13,6)*IF(Data!C278&lt;=INDEX($B$2:$B$13,6),INDEX($C$2:$C$13,6),INDEX($D$2:$D$13,6))))</f>
        <v>0.57978723404255317</v>
      </c>
      <c r="Q68">
        <f>MIN(0.999,MAX(0.001,P68+INDEX($E$2:$E$13,7)*IF(Data!C278&lt;=INDEX($B$2:$B$13,7),INDEX($C$2:$C$13,7),INDEX($D$2:$D$13,7))))</f>
        <v>0.57978723404255317</v>
      </c>
      <c r="R68">
        <f>MIN(0.999,MAX(0.001,Q68+INDEX($E$2:$E$13,8)*IF(Data!C278&lt;=INDEX($B$2:$B$13,8),INDEX($C$2:$C$13,8),INDEX($D$2:$D$13,8))))</f>
        <v>0.57978723404255317</v>
      </c>
      <c r="S68">
        <f>MIN(0.999,MAX(0.001,R68+INDEX($E$2:$E$13,9)*IF(Data!C278&lt;=INDEX($B$2:$B$13,9),INDEX($C$2:$C$13,9),INDEX($D$2:$D$13,9))))</f>
        <v>0.57978723404255317</v>
      </c>
      <c r="T68">
        <f>MIN(0.999,MAX(0.001,S68+INDEX($E$2:$E$13,10)*IF(Data!C278&lt;=INDEX($B$2:$B$13,10),INDEX($C$2:$C$13,10),INDEX($D$2:$D$13,10))))</f>
        <v>0.57978723404255317</v>
      </c>
      <c r="U68">
        <f>MIN(0.999,MAX(0.001,T68+INDEX($E$2:$E$13,11)*IF(Data!C278&lt;=INDEX($B$2:$B$13,11),INDEX($C$2:$C$13,11),INDEX($D$2:$D$13,11))))</f>
        <v>0.57978723404255317</v>
      </c>
      <c r="V68">
        <f>MIN(0.999,MAX(0.001,U68+INDEX($E$2:$E$13,12)*IF(Data!C278&lt;=INDEX($B$2:$B$13,12),INDEX($C$2:$C$13,12),INDEX($D$2:$D$13,12))))</f>
        <v>0.57978723404255317</v>
      </c>
      <c r="W68">
        <f>IF(V68&gt;=Controls!$B$2,1,0)</f>
        <v>1</v>
      </c>
      <c r="X68">
        <f t="shared" si="4"/>
        <v>1</v>
      </c>
    </row>
    <row r="69" spans="8:24" x14ac:dyDescent="0.2">
      <c r="H69">
        <f>Data!A279</f>
        <v>278</v>
      </c>
      <c r="I69">
        <f>Data!L279</f>
        <v>1</v>
      </c>
      <c r="J69">
        <f>IF(Data!C279&lt;=ClassTree!$L$2,ClassTree!$L$4,ClassTree!$L$6)</f>
        <v>0.57978723404255317</v>
      </c>
      <c r="K69">
        <f>MIN(0.999,MAX(0.001,J69+INDEX($E$2:$E$13,1)*IF(Data!C279&lt;=INDEX($B$2:$B$13,1),INDEX($C$2:$C$13,1),INDEX($D$2:$D$13,1))))</f>
        <v>0.57978723404255317</v>
      </c>
      <c r="L69">
        <f>MIN(0.999,MAX(0.001,K69+INDEX($E$2:$E$13,2)*IF(Data!C279&lt;=INDEX($B$2:$B$13,2),INDEX($C$2:$C$13,2),INDEX($D$2:$D$13,2))))</f>
        <v>0.57978723404255317</v>
      </c>
      <c r="M69">
        <f>MIN(0.999,MAX(0.001,L69+INDEX($E$2:$E$13,3)*IF(Data!C279&lt;=INDEX($B$2:$B$13,3),INDEX($C$2:$C$13,3),INDEX($D$2:$D$13,3))))</f>
        <v>0.57978723404255317</v>
      </c>
      <c r="N69">
        <f>MIN(0.999,MAX(0.001,M69+INDEX($E$2:$E$13,4)*IF(Data!C279&lt;=INDEX($B$2:$B$13,4),INDEX($C$2:$C$13,4),INDEX($D$2:$D$13,4))))</f>
        <v>0.57978723404255317</v>
      </c>
      <c r="O69">
        <f>MIN(0.999,MAX(0.001,N69+INDEX($E$2:$E$13,5)*IF(Data!C279&lt;=INDEX($B$2:$B$13,5),INDEX($C$2:$C$13,5),INDEX($D$2:$D$13,5))))</f>
        <v>0.57978723404255317</v>
      </c>
      <c r="P69">
        <f>MIN(0.999,MAX(0.001,O69+INDEX($E$2:$E$13,6)*IF(Data!C279&lt;=INDEX($B$2:$B$13,6),INDEX($C$2:$C$13,6),INDEX($D$2:$D$13,6))))</f>
        <v>0.57978723404255317</v>
      </c>
      <c r="Q69">
        <f>MIN(0.999,MAX(0.001,P69+INDEX($E$2:$E$13,7)*IF(Data!C279&lt;=INDEX($B$2:$B$13,7),INDEX($C$2:$C$13,7),INDEX($D$2:$D$13,7))))</f>
        <v>0.57978723404255317</v>
      </c>
      <c r="R69">
        <f>MIN(0.999,MAX(0.001,Q69+INDEX($E$2:$E$13,8)*IF(Data!C279&lt;=INDEX($B$2:$B$13,8),INDEX($C$2:$C$13,8),INDEX($D$2:$D$13,8))))</f>
        <v>0.57978723404255317</v>
      </c>
      <c r="S69">
        <f>MIN(0.999,MAX(0.001,R69+INDEX($E$2:$E$13,9)*IF(Data!C279&lt;=INDEX($B$2:$B$13,9),INDEX($C$2:$C$13,9),INDEX($D$2:$D$13,9))))</f>
        <v>0.57978723404255317</v>
      </c>
      <c r="T69">
        <f>MIN(0.999,MAX(0.001,S69+INDEX($E$2:$E$13,10)*IF(Data!C279&lt;=INDEX($B$2:$B$13,10),INDEX($C$2:$C$13,10),INDEX($D$2:$D$13,10))))</f>
        <v>0.57978723404255317</v>
      </c>
      <c r="U69">
        <f>MIN(0.999,MAX(0.001,T69+INDEX($E$2:$E$13,11)*IF(Data!C279&lt;=INDEX($B$2:$B$13,11),INDEX($C$2:$C$13,11),INDEX($D$2:$D$13,11))))</f>
        <v>0.57978723404255317</v>
      </c>
      <c r="V69">
        <f>MIN(0.999,MAX(0.001,U69+INDEX($E$2:$E$13,12)*IF(Data!C279&lt;=INDEX($B$2:$B$13,12),INDEX($C$2:$C$13,12),INDEX($D$2:$D$13,12))))</f>
        <v>0.57978723404255317</v>
      </c>
      <c r="W69">
        <f>IF(V69&gt;=Controls!$B$2,1,0)</f>
        <v>1</v>
      </c>
      <c r="X69">
        <f t="shared" si="4"/>
        <v>1</v>
      </c>
    </row>
    <row r="70" spans="8:24" x14ac:dyDescent="0.2">
      <c r="H70">
        <f>Data!A280</f>
        <v>279</v>
      </c>
      <c r="I70">
        <f>Data!L280</f>
        <v>1</v>
      </c>
      <c r="J70">
        <f>IF(Data!C280&lt;=ClassTree!$L$2,ClassTree!$L$4,ClassTree!$L$6)</f>
        <v>0.57978723404255317</v>
      </c>
      <c r="K70">
        <f>MIN(0.999,MAX(0.001,J70+INDEX($E$2:$E$13,1)*IF(Data!C280&lt;=INDEX($B$2:$B$13,1),INDEX($C$2:$C$13,1),INDEX($D$2:$D$13,1))))</f>
        <v>0.57978723404255317</v>
      </c>
      <c r="L70">
        <f>MIN(0.999,MAX(0.001,K70+INDEX($E$2:$E$13,2)*IF(Data!C280&lt;=INDEX($B$2:$B$13,2),INDEX($C$2:$C$13,2),INDEX($D$2:$D$13,2))))</f>
        <v>0.57978723404255317</v>
      </c>
      <c r="M70">
        <f>MIN(0.999,MAX(0.001,L70+INDEX($E$2:$E$13,3)*IF(Data!C280&lt;=INDEX($B$2:$B$13,3),INDEX($C$2:$C$13,3),INDEX($D$2:$D$13,3))))</f>
        <v>0.57978723404255317</v>
      </c>
      <c r="N70">
        <f>MIN(0.999,MAX(0.001,M70+INDEX($E$2:$E$13,4)*IF(Data!C280&lt;=INDEX($B$2:$B$13,4),INDEX($C$2:$C$13,4),INDEX($D$2:$D$13,4))))</f>
        <v>0.57978723404255317</v>
      </c>
      <c r="O70">
        <f>MIN(0.999,MAX(0.001,N70+INDEX($E$2:$E$13,5)*IF(Data!C280&lt;=INDEX($B$2:$B$13,5),INDEX($C$2:$C$13,5),INDEX($D$2:$D$13,5))))</f>
        <v>0.57978723404255317</v>
      </c>
      <c r="P70">
        <f>MIN(0.999,MAX(0.001,O70+INDEX($E$2:$E$13,6)*IF(Data!C280&lt;=INDEX($B$2:$B$13,6),INDEX($C$2:$C$13,6),INDEX($D$2:$D$13,6))))</f>
        <v>0.57978723404255317</v>
      </c>
      <c r="Q70">
        <f>MIN(0.999,MAX(0.001,P70+INDEX($E$2:$E$13,7)*IF(Data!C280&lt;=INDEX($B$2:$B$13,7),INDEX($C$2:$C$13,7),INDEX($D$2:$D$13,7))))</f>
        <v>0.57978723404255317</v>
      </c>
      <c r="R70">
        <f>MIN(0.999,MAX(0.001,Q70+INDEX($E$2:$E$13,8)*IF(Data!C280&lt;=INDEX($B$2:$B$13,8),INDEX($C$2:$C$13,8),INDEX($D$2:$D$13,8))))</f>
        <v>0.57978723404255317</v>
      </c>
      <c r="S70">
        <f>MIN(0.999,MAX(0.001,R70+INDEX($E$2:$E$13,9)*IF(Data!C280&lt;=INDEX($B$2:$B$13,9),INDEX($C$2:$C$13,9),INDEX($D$2:$D$13,9))))</f>
        <v>0.57978723404255317</v>
      </c>
      <c r="T70">
        <f>MIN(0.999,MAX(0.001,S70+INDEX($E$2:$E$13,10)*IF(Data!C280&lt;=INDEX($B$2:$B$13,10),INDEX($C$2:$C$13,10),INDEX($D$2:$D$13,10))))</f>
        <v>0.57978723404255317</v>
      </c>
      <c r="U70">
        <f>MIN(0.999,MAX(0.001,T70+INDEX($E$2:$E$13,11)*IF(Data!C280&lt;=INDEX($B$2:$B$13,11),INDEX($C$2:$C$13,11),INDEX($D$2:$D$13,11))))</f>
        <v>0.57978723404255317</v>
      </c>
      <c r="V70">
        <f>MIN(0.999,MAX(0.001,U70+INDEX($E$2:$E$13,12)*IF(Data!C280&lt;=INDEX($B$2:$B$13,12),INDEX($C$2:$C$13,12),INDEX($D$2:$D$13,12))))</f>
        <v>0.57978723404255317</v>
      </c>
      <c r="W70">
        <f>IF(V70&gt;=Controls!$B$2,1,0)</f>
        <v>1</v>
      </c>
      <c r="X70">
        <f t="shared" si="4"/>
        <v>1</v>
      </c>
    </row>
    <row r="71" spans="8:24" x14ac:dyDescent="0.2">
      <c r="H71">
        <f>Data!A281</f>
        <v>280</v>
      </c>
      <c r="I71">
        <f>Data!L281</f>
        <v>0</v>
      </c>
      <c r="J71">
        <f>IF(Data!C281&lt;=ClassTree!$L$2,ClassTree!$L$4,ClassTree!$L$6)</f>
        <v>0.57978723404255317</v>
      </c>
      <c r="K71">
        <f>MIN(0.999,MAX(0.001,J71+INDEX($E$2:$E$13,1)*IF(Data!C281&lt;=INDEX($B$2:$B$13,1),INDEX($C$2:$C$13,1),INDEX($D$2:$D$13,1))))</f>
        <v>0.57978723404255317</v>
      </c>
      <c r="L71">
        <f>MIN(0.999,MAX(0.001,K71+INDEX($E$2:$E$13,2)*IF(Data!C281&lt;=INDEX($B$2:$B$13,2),INDEX($C$2:$C$13,2),INDEX($D$2:$D$13,2))))</f>
        <v>0.57978723404255317</v>
      </c>
      <c r="M71">
        <f>MIN(0.999,MAX(0.001,L71+INDEX($E$2:$E$13,3)*IF(Data!C281&lt;=INDEX($B$2:$B$13,3),INDEX($C$2:$C$13,3),INDEX($D$2:$D$13,3))))</f>
        <v>0.57978723404255317</v>
      </c>
      <c r="N71">
        <f>MIN(0.999,MAX(0.001,M71+INDEX($E$2:$E$13,4)*IF(Data!C281&lt;=INDEX($B$2:$B$13,4),INDEX($C$2:$C$13,4),INDEX($D$2:$D$13,4))))</f>
        <v>0.57978723404255317</v>
      </c>
      <c r="O71">
        <f>MIN(0.999,MAX(0.001,N71+INDEX($E$2:$E$13,5)*IF(Data!C281&lt;=INDEX($B$2:$B$13,5),INDEX($C$2:$C$13,5),INDEX($D$2:$D$13,5))))</f>
        <v>0.57978723404255317</v>
      </c>
      <c r="P71">
        <f>MIN(0.999,MAX(0.001,O71+INDEX($E$2:$E$13,6)*IF(Data!C281&lt;=INDEX($B$2:$B$13,6),INDEX($C$2:$C$13,6),INDEX($D$2:$D$13,6))))</f>
        <v>0.57978723404255317</v>
      </c>
      <c r="Q71">
        <f>MIN(0.999,MAX(0.001,P71+INDEX($E$2:$E$13,7)*IF(Data!C281&lt;=INDEX($B$2:$B$13,7),INDEX($C$2:$C$13,7),INDEX($D$2:$D$13,7))))</f>
        <v>0.57978723404255317</v>
      </c>
      <c r="R71">
        <f>MIN(0.999,MAX(0.001,Q71+INDEX($E$2:$E$13,8)*IF(Data!C281&lt;=INDEX($B$2:$B$13,8),INDEX($C$2:$C$13,8),INDEX($D$2:$D$13,8))))</f>
        <v>0.57978723404255317</v>
      </c>
      <c r="S71">
        <f>MIN(0.999,MAX(0.001,R71+INDEX($E$2:$E$13,9)*IF(Data!C281&lt;=INDEX($B$2:$B$13,9),INDEX($C$2:$C$13,9),INDEX($D$2:$D$13,9))))</f>
        <v>0.57978723404255317</v>
      </c>
      <c r="T71">
        <f>MIN(0.999,MAX(0.001,S71+INDEX($E$2:$E$13,10)*IF(Data!C281&lt;=INDEX($B$2:$B$13,10),INDEX($C$2:$C$13,10),INDEX($D$2:$D$13,10))))</f>
        <v>0.57978723404255317</v>
      </c>
      <c r="U71">
        <f>MIN(0.999,MAX(0.001,T71+INDEX($E$2:$E$13,11)*IF(Data!C281&lt;=INDEX($B$2:$B$13,11),INDEX($C$2:$C$13,11),INDEX($D$2:$D$13,11))))</f>
        <v>0.57978723404255317</v>
      </c>
      <c r="V71">
        <f>MIN(0.999,MAX(0.001,U71+INDEX($E$2:$E$13,12)*IF(Data!C281&lt;=INDEX($B$2:$B$13,12),INDEX($C$2:$C$13,12),INDEX($D$2:$D$13,12))))</f>
        <v>0.57978723404255317</v>
      </c>
      <c r="W71">
        <f>IF(V71&gt;=Controls!$B$2,1,0)</f>
        <v>1</v>
      </c>
      <c r="X71">
        <f t="shared" si="4"/>
        <v>0</v>
      </c>
    </row>
    <row r="72" spans="8:24" x14ac:dyDescent="0.2">
      <c r="H72">
        <f>Data!A282</f>
        <v>281</v>
      </c>
      <c r="I72">
        <f>Data!L282</f>
        <v>0</v>
      </c>
      <c r="J72">
        <f>IF(Data!C282&lt;=ClassTree!$L$2,ClassTree!$L$4,ClassTree!$L$6)</f>
        <v>4.5454545454545456E-2</v>
      </c>
      <c r="K72">
        <f>MIN(0.999,MAX(0.001,J72+INDEX($E$2:$E$13,1)*IF(Data!C282&lt;=INDEX($B$2:$B$13,1),INDEX($C$2:$C$13,1),INDEX($D$2:$D$13,1))))</f>
        <v>4.5454545454545456E-2</v>
      </c>
      <c r="L72">
        <f>MIN(0.999,MAX(0.001,K72+INDEX($E$2:$E$13,2)*IF(Data!C282&lt;=INDEX($B$2:$B$13,2),INDEX($C$2:$C$13,2),INDEX($D$2:$D$13,2))))</f>
        <v>4.5454545454545456E-2</v>
      </c>
      <c r="M72">
        <f>MIN(0.999,MAX(0.001,L72+INDEX($E$2:$E$13,3)*IF(Data!C282&lt;=INDEX($B$2:$B$13,3),INDEX($C$2:$C$13,3),INDEX($D$2:$D$13,3))))</f>
        <v>4.5454545454545456E-2</v>
      </c>
      <c r="N72">
        <f>MIN(0.999,MAX(0.001,M72+INDEX($E$2:$E$13,4)*IF(Data!C282&lt;=INDEX($B$2:$B$13,4),INDEX($C$2:$C$13,4),INDEX($D$2:$D$13,4))))</f>
        <v>4.5454545454545456E-2</v>
      </c>
      <c r="O72">
        <f>MIN(0.999,MAX(0.001,N72+INDEX($E$2:$E$13,5)*IF(Data!C282&lt;=INDEX($B$2:$B$13,5),INDEX($C$2:$C$13,5),INDEX($D$2:$D$13,5))))</f>
        <v>4.5454545454545456E-2</v>
      </c>
      <c r="P72">
        <f>MIN(0.999,MAX(0.001,O72+INDEX($E$2:$E$13,6)*IF(Data!C282&lt;=INDEX($B$2:$B$13,6),INDEX($C$2:$C$13,6),INDEX($D$2:$D$13,6))))</f>
        <v>4.5454545454545456E-2</v>
      </c>
      <c r="Q72">
        <f>MIN(0.999,MAX(0.001,P72+INDEX($E$2:$E$13,7)*IF(Data!C282&lt;=INDEX($B$2:$B$13,7),INDEX($C$2:$C$13,7),INDEX($D$2:$D$13,7))))</f>
        <v>4.5454545454545456E-2</v>
      </c>
      <c r="R72">
        <f>MIN(0.999,MAX(0.001,Q72+INDEX($E$2:$E$13,8)*IF(Data!C282&lt;=INDEX($B$2:$B$13,8),INDEX($C$2:$C$13,8),INDEX($D$2:$D$13,8))))</f>
        <v>4.5454545454545456E-2</v>
      </c>
      <c r="S72">
        <f>MIN(0.999,MAX(0.001,R72+INDEX($E$2:$E$13,9)*IF(Data!C282&lt;=INDEX($B$2:$B$13,9),INDEX($C$2:$C$13,9),INDEX($D$2:$D$13,9))))</f>
        <v>4.5454545454545456E-2</v>
      </c>
      <c r="T72">
        <f>MIN(0.999,MAX(0.001,S72+INDEX($E$2:$E$13,10)*IF(Data!C282&lt;=INDEX($B$2:$B$13,10),INDEX($C$2:$C$13,10),INDEX($D$2:$D$13,10))))</f>
        <v>4.5454545454545456E-2</v>
      </c>
      <c r="U72">
        <f>MIN(0.999,MAX(0.001,T72+INDEX($E$2:$E$13,11)*IF(Data!C282&lt;=INDEX($B$2:$B$13,11),INDEX($C$2:$C$13,11),INDEX($D$2:$D$13,11))))</f>
        <v>4.5454545454545456E-2</v>
      </c>
      <c r="V72">
        <f>MIN(0.999,MAX(0.001,U72+INDEX($E$2:$E$13,12)*IF(Data!C282&lt;=INDEX($B$2:$B$13,12),INDEX($C$2:$C$13,12),INDEX($D$2:$D$13,12))))</f>
        <v>4.5454545454545456E-2</v>
      </c>
      <c r="W72">
        <f>IF(V72&gt;=Controls!$B$2,1,0)</f>
        <v>0</v>
      </c>
      <c r="X72">
        <f t="shared" si="4"/>
        <v>1</v>
      </c>
    </row>
    <row r="73" spans="8:24" x14ac:dyDescent="0.2">
      <c r="H73">
        <f>Data!A283</f>
        <v>282</v>
      </c>
      <c r="I73">
        <f>Data!L283</f>
        <v>1</v>
      </c>
      <c r="J73">
        <f>IF(Data!C283&lt;=ClassTree!$L$2,ClassTree!$L$4,ClassTree!$L$6)</f>
        <v>0.57978723404255317</v>
      </c>
      <c r="K73">
        <f>MIN(0.999,MAX(0.001,J73+INDEX($E$2:$E$13,1)*IF(Data!C283&lt;=INDEX($B$2:$B$13,1),INDEX($C$2:$C$13,1),INDEX($D$2:$D$13,1))))</f>
        <v>0.57978723404255317</v>
      </c>
      <c r="L73">
        <f>MIN(0.999,MAX(0.001,K73+INDEX($E$2:$E$13,2)*IF(Data!C283&lt;=INDEX($B$2:$B$13,2),INDEX($C$2:$C$13,2),INDEX($D$2:$D$13,2))))</f>
        <v>0.57978723404255317</v>
      </c>
      <c r="M73">
        <f>MIN(0.999,MAX(0.001,L73+INDEX($E$2:$E$13,3)*IF(Data!C283&lt;=INDEX($B$2:$B$13,3),INDEX($C$2:$C$13,3),INDEX($D$2:$D$13,3))))</f>
        <v>0.57978723404255317</v>
      </c>
      <c r="N73">
        <f>MIN(0.999,MAX(0.001,M73+INDEX($E$2:$E$13,4)*IF(Data!C283&lt;=INDEX($B$2:$B$13,4),INDEX($C$2:$C$13,4),INDEX($D$2:$D$13,4))))</f>
        <v>0.57978723404255317</v>
      </c>
      <c r="O73">
        <f>MIN(0.999,MAX(0.001,N73+INDEX($E$2:$E$13,5)*IF(Data!C283&lt;=INDEX($B$2:$B$13,5),INDEX($C$2:$C$13,5),INDEX($D$2:$D$13,5))))</f>
        <v>0.57978723404255317</v>
      </c>
      <c r="P73">
        <f>MIN(0.999,MAX(0.001,O73+INDEX($E$2:$E$13,6)*IF(Data!C283&lt;=INDEX($B$2:$B$13,6),INDEX($C$2:$C$13,6),INDEX($D$2:$D$13,6))))</f>
        <v>0.57978723404255317</v>
      </c>
      <c r="Q73">
        <f>MIN(0.999,MAX(0.001,P73+INDEX($E$2:$E$13,7)*IF(Data!C283&lt;=INDEX($B$2:$B$13,7),INDEX($C$2:$C$13,7),INDEX($D$2:$D$13,7))))</f>
        <v>0.57978723404255317</v>
      </c>
      <c r="R73">
        <f>MIN(0.999,MAX(0.001,Q73+INDEX($E$2:$E$13,8)*IF(Data!C283&lt;=INDEX($B$2:$B$13,8),INDEX($C$2:$C$13,8),INDEX($D$2:$D$13,8))))</f>
        <v>0.57978723404255317</v>
      </c>
      <c r="S73">
        <f>MIN(0.999,MAX(0.001,R73+INDEX($E$2:$E$13,9)*IF(Data!C283&lt;=INDEX($B$2:$B$13,9),INDEX($C$2:$C$13,9),INDEX($D$2:$D$13,9))))</f>
        <v>0.57978723404255317</v>
      </c>
      <c r="T73">
        <f>MIN(0.999,MAX(0.001,S73+INDEX($E$2:$E$13,10)*IF(Data!C283&lt;=INDEX($B$2:$B$13,10),INDEX($C$2:$C$13,10),INDEX($D$2:$D$13,10))))</f>
        <v>0.57978723404255317</v>
      </c>
      <c r="U73">
        <f>MIN(0.999,MAX(0.001,T73+INDEX($E$2:$E$13,11)*IF(Data!C283&lt;=INDEX($B$2:$B$13,11),INDEX($C$2:$C$13,11),INDEX($D$2:$D$13,11))))</f>
        <v>0.57978723404255317</v>
      </c>
      <c r="V73">
        <f>MIN(0.999,MAX(0.001,U73+INDEX($E$2:$E$13,12)*IF(Data!C283&lt;=INDEX($B$2:$B$13,12),INDEX($C$2:$C$13,12),INDEX($D$2:$D$13,12))))</f>
        <v>0.57978723404255317</v>
      </c>
      <c r="W73">
        <f>IF(V73&gt;=Controls!$B$2,1,0)</f>
        <v>1</v>
      </c>
      <c r="X73">
        <f t="shared" si="4"/>
        <v>1</v>
      </c>
    </row>
    <row r="74" spans="8:24" x14ac:dyDescent="0.2">
      <c r="H74">
        <f>Data!A284</f>
        <v>283</v>
      </c>
      <c r="I74">
        <f>Data!L284</f>
        <v>1</v>
      </c>
      <c r="J74">
        <f>IF(Data!C284&lt;=ClassTree!$L$2,ClassTree!$L$4,ClassTree!$L$6)</f>
        <v>0.57978723404255317</v>
      </c>
      <c r="K74">
        <f>MIN(0.999,MAX(0.001,J74+INDEX($E$2:$E$13,1)*IF(Data!C284&lt;=INDEX($B$2:$B$13,1),INDEX($C$2:$C$13,1),INDEX($D$2:$D$13,1))))</f>
        <v>0.57978723404255317</v>
      </c>
      <c r="L74">
        <f>MIN(0.999,MAX(0.001,K74+INDEX($E$2:$E$13,2)*IF(Data!C284&lt;=INDEX($B$2:$B$13,2),INDEX($C$2:$C$13,2),INDEX($D$2:$D$13,2))))</f>
        <v>0.57978723404255317</v>
      </c>
      <c r="M74">
        <f>MIN(0.999,MAX(0.001,L74+INDEX($E$2:$E$13,3)*IF(Data!C284&lt;=INDEX($B$2:$B$13,3),INDEX($C$2:$C$13,3),INDEX($D$2:$D$13,3))))</f>
        <v>0.57978723404255317</v>
      </c>
      <c r="N74">
        <f>MIN(0.999,MAX(0.001,M74+INDEX($E$2:$E$13,4)*IF(Data!C284&lt;=INDEX($B$2:$B$13,4),INDEX($C$2:$C$13,4),INDEX($D$2:$D$13,4))))</f>
        <v>0.57978723404255317</v>
      </c>
      <c r="O74">
        <f>MIN(0.999,MAX(0.001,N74+INDEX($E$2:$E$13,5)*IF(Data!C284&lt;=INDEX($B$2:$B$13,5),INDEX($C$2:$C$13,5),INDEX($D$2:$D$13,5))))</f>
        <v>0.57978723404255317</v>
      </c>
      <c r="P74">
        <f>MIN(0.999,MAX(0.001,O74+INDEX($E$2:$E$13,6)*IF(Data!C284&lt;=INDEX($B$2:$B$13,6),INDEX($C$2:$C$13,6),INDEX($D$2:$D$13,6))))</f>
        <v>0.57978723404255317</v>
      </c>
      <c r="Q74">
        <f>MIN(0.999,MAX(0.001,P74+INDEX($E$2:$E$13,7)*IF(Data!C284&lt;=INDEX($B$2:$B$13,7),INDEX($C$2:$C$13,7),INDEX($D$2:$D$13,7))))</f>
        <v>0.57978723404255317</v>
      </c>
      <c r="R74">
        <f>MIN(0.999,MAX(0.001,Q74+INDEX($E$2:$E$13,8)*IF(Data!C284&lt;=INDEX($B$2:$B$13,8),INDEX($C$2:$C$13,8),INDEX($D$2:$D$13,8))))</f>
        <v>0.57978723404255317</v>
      </c>
      <c r="S74">
        <f>MIN(0.999,MAX(0.001,R74+INDEX($E$2:$E$13,9)*IF(Data!C284&lt;=INDEX($B$2:$B$13,9),INDEX($C$2:$C$13,9),INDEX($D$2:$D$13,9))))</f>
        <v>0.57978723404255317</v>
      </c>
      <c r="T74">
        <f>MIN(0.999,MAX(0.001,S74+INDEX($E$2:$E$13,10)*IF(Data!C284&lt;=INDEX($B$2:$B$13,10),INDEX($C$2:$C$13,10),INDEX($D$2:$D$13,10))))</f>
        <v>0.57978723404255317</v>
      </c>
      <c r="U74">
        <f>MIN(0.999,MAX(0.001,T74+INDEX($E$2:$E$13,11)*IF(Data!C284&lt;=INDEX($B$2:$B$13,11),INDEX($C$2:$C$13,11),INDEX($D$2:$D$13,11))))</f>
        <v>0.57978723404255317</v>
      </c>
      <c r="V74">
        <f>MIN(0.999,MAX(0.001,U74+INDEX($E$2:$E$13,12)*IF(Data!C284&lt;=INDEX($B$2:$B$13,12),INDEX($C$2:$C$13,12),INDEX($D$2:$D$13,12))))</f>
        <v>0.57978723404255317</v>
      </c>
      <c r="W74">
        <f>IF(V74&gt;=Controls!$B$2,1,0)</f>
        <v>1</v>
      </c>
      <c r="X74">
        <f t="shared" si="4"/>
        <v>1</v>
      </c>
    </row>
    <row r="75" spans="8:24" x14ac:dyDescent="0.2">
      <c r="H75">
        <f>Data!A285</f>
        <v>284</v>
      </c>
      <c r="I75">
        <f>Data!L285</f>
        <v>1</v>
      </c>
      <c r="J75">
        <f>IF(Data!C285&lt;=ClassTree!$L$2,ClassTree!$L$4,ClassTree!$L$6)</f>
        <v>0.57978723404255317</v>
      </c>
      <c r="K75">
        <f>MIN(0.999,MAX(0.001,J75+INDEX($E$2:$E$13,1)*IF(Data!C285&lt;=INDEX($B$2:$B$13,1),INDEX($C$2:$C$13,1),INDEX($D$2:$D$13,1))))</f>
        <v>0.57978723404255317</v>
      </c>
      <c r="L75">
        <f>MIN(0.999,MAX(0.001,K75+INDEX($E$2:$E$13,2)*IF(Data!C285&lt;=INDEX($B$2:$B$13,2),INDEX($C$2:$C$13,2),INDEX($D$2:$D$13,2))))</f>
        <v>0.57978723404255317</v>
      </c>
      <c r="M75">
        <f>MIN(0.999,MAX(0.001,L75+INDEX($E$2:$E$13,3)*IF(Data!C285&lt;=INDEX($B$2:$B$13,3),INDEX($C$2:$C$13,3),INDEX($D$2:$D$13,3))))</f>
        <v>0.57978723404255317</v>
      </c>
      <c r="N75">
        <f>MIN(0.999,MAX(0.001,M75+INDEX($E$2:$E$13,4)*IF(Data!C285&lt;=INDEX($B$2:$B$13,4),INDEX($C$2:$C$13,4),INDEX($D$2:$D$13,4))))</f>
        <v>0.57978723404255317</v>
      </c>
      <c r="O75">
        <f>MIN(0.999,MAX(0.001,N75+INDEX($E$2:$E$13,5)*IF(Data!C285&lt;=INDEX($B$2:$B$13,5),INDEX($C$2:$C$13,5),INDEX($D$2:$D$13,5))))</f>
        <v>0.57978723404255317</v>
      </c>
      <c r="P75">
        <f>MIN(0.999,MAX(0.001,O75+INDEX($E$2:$E$13,6)*IF(Data!C285&lt;=INDEX($B$2:$B$13,6),INDEX($C$2:$C$13,6),INDEX($D$2:$D$13,6))))</f>
        <v>0.57978723404255317</v>
      </c>
      <c r="Q75">
        <f>MIN(0.999,MAX(0.001,P75+INDEX($E$2:$E$13,7)*IF(Data!C285&lt;=INDEX($B$2:$B$13,7),INDEX($C$2:$C$13,7),INDEX($D$2:$D$13,7))))</f>
        <v>0.57978723404255317</v>
      </c>
      <c r="R75">
        <f>MIN(0.999,MAX(0.001,Q75+INDEX($E$2:$E$13,8)*IF(Data!C285&lt;=INDEX($B$2:$B$13,8),INDEX($C$2:$C$13,8),INDEX($D$2:$D$13,8))))</f>
        <v>0.57978723404255317</v>
      </c>
      <c r="S75">
        <f>MIN(0.999,MAX(0.001,R75+INDEX($E$2:$E$13,9)*IF(Data!C285&lt;=INDEX($B$2:$B$13,9),INDEX($C$2:$C$13,9),INDEX($D$2:$D$13,9))))</f>
        <v>0.57978723404255317</v>
      </c>
      <c r="T75">
        <f>MIN(0.999,MAX(0.001,S75+INDEX($E$2:$E$13,10)*IF(Data!C285&lt;=INDEX($B$2:$B$13,10),INDEX($C$2:$C$13,10),INDEX($D$2:$D$13,10))))</f>
        <v>0.57978723404255317</v>
      </c>
      <c r="U75">
        <f>MIN(0.999,MAX(0.001,T75+INDEX($E$2:$E$13,11)*IF(Data!C285&lt;=INDEX($B$2:$B$13,11),INDEX($C$2:$C$13,11),INDEX($D$2:$D$13,11))))</f>
        <v>0.57978723404255317</v>
      </c>
      <c r="V75">
        <f>MIN(0.999,MAX(0.001,U75+INDEX($E$2:$E$13,12)*IF(Data!C285&lt;=INDEX($B$2:$B$13,12),INDEX($C$2:$C$13,12),INDEX($D$2:$D$13,12))))</f>
        <v>0.57978723404255317</v>
      </c>
      <c r="W75">
        <f>IF(V75&gt;=Controls!$B$2,1,0)</f>
        <v>1</v>
      </c>
      <c r="X75">
        <f t="shared" si="4"/>
        <v>1</v>
      </c>
    </row>
    <row r="76" spans="8:24" x14ac:dyDescent="0.2">
      <c r="H76">
        <f>Data!A286</f>
        <v>285</v>
      </c>
      <c r="I76">
        <f>Data!L286</f>
        <v>1</v>
      </c>
      <c r="J76">
        <f>IF(Data!C286&lt;=ClassTree!$L$2,ClassTree!$L$4,ClassTree!$L$6)</f>
        <v>0.57978723404255317</v>
      </c>
      <c r="K76">
        <f>MIN(0.999,MAX(0.001,J76+INDEX($E$2:$E$13,1)*IF(Data!C286&lt;=INDEX($B$2:$B$13,1),INDEX($C$2:$C$13,1),INDEX($D$2:$D$13,1))))</f>
        <v>0.57978723404255317</v>
      </c>
      <c r="L76">
        <f>MIN(0.999,MAX(0.001,K76+INDEX($E$2:$E$13,2)*IF(Data!C286&lt;=INDEX($B$2:$B$13,2),INDEX($C$2:$C$13,2),INDEX($D$2:$D$13,2))))</f>
        <v>0.57978723404255317</v>
      </c>
      <c r="M76">
        <f>MIN(0.999,MAX(0.001,L76+INDEX($E$2:$E$13,3)*IF(Data!C286&lt;=INDEX($B$2:$B$13,3),INDEX($C$2:$C$13,3),INDEX($D$2:$D$13,3))))</f>
        <v>0.57978723404255317</v>
      </c>
      <c r="N76">
        <f>MIN(0.999,MAX(0.001,M76+INDEX($E$2:$E$13,4)*IF(Data!C286&lt;=INDEX($B$2:$B$13,4),INDEX($C$2:$C$13,4),INDEX($D$2:$D$13,4))))</f>
        <v>0.57978723404255317</v>
      </c>
      <c r="O76">
        <f>MIN(0.999,MAX(0.001,N76+INDEX($E$2:$E$13,5)*IF(Data!C286&lt;=INDEX($B$2:$B$13,5),INDEX($C$2:$C$13,5),INDEX($D$2:$D$13,5))))</f>
        <v>0.57978723404255317</v>
      </c>
      <c r="P76">
        <f>MIN(0.999,MAX(0.001,O76+INDEX($E$2:$E$13,6)*IF(Data!C286&lt;=INDEX($B$2:$B$13,6),INDEX($C$2:$C$13,6),INDEX($D$2:$D$13,6))))</f>
        <v>0.57978723404255317</v>
      </c>
      <c r="Q76">
        <f>MIN(0.999,MAX(0.001,P76+INDEX($E$2:$E$13,7)*IF(Data!C286&lt;=INDEX($B$2:$B$13,7),INDEX($C$2:$C$13,7),INDEX($D$2:$D$13,7))))</f>
        <v>0.57978723404255317</v>
      </c>
      <c r="R76">
        <f>MIN(0.999,MAX(0.001,Q76+INDEX($E$2:$E$13,8)*IF(Data!C286&lt;=INDEX($B$2:$B$13,8),INDEX($C$2:$C$13,8),INDEX($D$2:$D$13,8))))</f>
        <v>0.57978723404255317</v>
      </c>
      <c r="S76">
        <f>MIN(0.999,MAX(0.001,R76+INDEX($E$2:$E$13,9)*IF(Data!C286&lt;=INDEX($B$2:$B$13,9),INDEX($C$2:$C$13,9),INDEX($D$2:$D$13,9))))</f>
        <v>0.57978723404255317</v>
      </c>
      <c r="T76">
        <f>MIN(0.999,MAX(0.001,S76+INDEX($E$2:$E$13,10)*IF(Data!C286&lt;=INDEX($B$2:$B$13,10),INDEX($C$2:$C$13,10),INDEX($D$2:$D$13,10))))</f>
        <v>0.57978723404255317</v>
      </c>
      <c r="U76">
        <f>MIN(0.999,MAX(0.001,T76+INDEX($E$2:$E$13,11)*IF(Data!C286&lt;=INDEX($B$2:$B$13,11),INDEX($C$2:$C$13,11),INDEX($D$2:$D$13,11))))</f>
        <v>0.57978723404255317</v>
      </c>
      <c r="V76">
        <f>MIN(0.999,MAX(0.001,U76+INDEX($E$2:$E$13,12)*IF(Data!C286&lt;=INDEX($B$2:$B$13,12),INDEX($C$2:$C$13,12),INDEX($D$2:$D$13,12))))</f>
        <v>0.57978723404255317</v>
      </c>
      <c r="W76">
        <f>IF(V76&gt;=Controls!$B$2,1,0)</f>
        <v>1</v>
      </c>
      <c r="X76">
        <f t="shared" si="4"/>
        <v>1</v>
      </c>
    </row>
    <row r="77" spans="8:24" x14ac:dyDescent="0.2">
      <c r="H77">
        <f>Data!A287</f>
        <v>286</v>
      </c>
      <c r="I77">
        <f>Data!L287</f>
        <v>0</v>
      </c>
      <c r="J77">
        <f>IF(Data!C287&lt;=ClassTree!$L$2,ClassTree!$L$4,ClassTree!$L$6)</f>
        <v>4.5454545454545456E-2</v>
      </c>
      <c r="K77">
        <f>MIN(0.999,MAX(0.001,J77+INDEX($E$2:$E$13,1)*IF(Data!C287&lt;=INDEX($B$2:$B$13,1),INDEX($C$2:$C$13,1),INDEX($D$2:$D$13,1))))</f>
        <v>4.5454545454545456E-2</v>
      </c>
      <c r="L77">
        <f>MIN(0.999,MAX(0.001,K77+INDEX($E$2:$E$13,2)*IF(Data!C287&lt;=INDEX($B$2:$B$13,2),INDEX($C$2:$C$13,2),INDEX($D$2:$D$13,2))))</f>
        <v>4.5454545454545456E-2</v>
      </c>
      <c r="M77">
        <f>MIN(0.999,MAX(0.001,L77+INDEX($E$2:$E$13,3)*IF(Data!C287&lt;=INDEX($B$2:$B$13,3),INDEX($C$2:$C$13,3),INDEX($D$2:$D$13,3))))</f>
        <v>4.5454545454545456E-2</v>
      </c>
      <c r="N77">
        <f>MIN(0.999,MAX(0.001,M77+INDEX($E$2:$E$13,4)*IF(Data!C287&lt;=INDEX($B$2:$B$13,4),INDEX($C$2:$C$13,4),INDEX($D$2:$D$13,4))))</f>
        <v>4.5454545454545456E-2</v>
      </c>
      <c r="O77">
        <f>MIN(0.999,MAX(0.001,N77+INDEX($E$2:$E$13,5)*IF(Data!C287&lt;=INDEX($B$2:$B$13,5),INDEX($C$2:$C$13,5),INDEX($D$2:$D$13,5))))</f>
        <v>4.5454545454545456E-2</v>
      </c>
      <c r="P77">
        <f>MIN(0.999,MAX(0.001,O77+INDEX($E$2:$E$13,6)*IF(Data!C287&lt;=INDEX($B$2:$B$13,6),INDEX($C$2:$C$13,6),INDEX($D$2:$D$13,6))))</f>
        <v>4.5454545454545456E-2</v>
      </c>
      <c r="Q77">
        <f>MIN(0.999,MAX(0.001,P77+INDEX($E$2:$E$13,7)*IF(Data!C287&lt;=INDEX($B$2:$B$13,7),INDEX($C$2:$C$13,7),INDEX($D$2:$D$13,7))))</f>
        <v>4.5454545454545456E-2</v>
      </c>
      <c r="R77">
        <f>MIN(0.999,MAX(0.001,Q77+INDEX($E$2:$E$13,8)*IF(Data!C287&lt;=INDEX($B$2:$B$13,8),INDEX($C$2:$C$13,8),INDEX($D$2:$D$13,8))))</f>
        <v>4.5454545454545456E-2</v>
      </c>
      <c r="S77">
        <f>MIN(0.999,MAX(0.001,R77+INDEX($E$2:$E$13,9)*IF(Data!C287&lt;=INDEX($B$2:$B$13,9),INDEX($C$2:$C$13,9),INDEX($D$2:$D$13,9))))</f>
        <v>4.5454545454545456E-2</v>
      </c>
      <c r="T77">
        <f>MIN(0.999,MAX(0.001,S77+INDEX($E$2:$E$13,10)*IF(Data!C287&lt;=INDEX($B$2:$B$13,10),INDEX($C$2:$C$13,10),INDEX($D$2:$D$13,10))))</f>
        <v>4.5454545454545456E-2</v>
      </c>
      <c r="U77">
        <f>MIN(0.999,MAX(0.001,T77+INDEX($E$2:$E$13,11)*IF(Data!C287&lt;=INDEX($B$2:$B$13,11),INDEX($C$2:$C$13,11),INDEX($D$2:$D$13,11))))</f>
        <v>4.5454545454545456E-2</v>
      </c>
      <c r="V77">
        <f>MIN(0.999,MAX(0.001,U77+INDEX($E$2:$E$13,12)*IF(Data!C287&lt;=INDEX($B$2:$B$13,12),INDEX($C$2:$C$13,12),INDEX($D$2:$D$13,12))))</f>
        <v>4.5454545454545456E-2</v>
      </c>
      <c r="W77">
        <f>IF(V77&gt;=Controls!$B$2,1,0)</f>
        <v>0</v>
      </c>
      <c r="X77">
        <f t="shared" si="4"/>
        <v>1</v>
      </c>
    </row>
    <row r="78" spans="8:24" x14ac:dyDescent="0.2">
      <c r="H78">
        <f>Data!A288</f>
        <v>287</v>
      </c>
      <c r="I78">
        <f>Data!L288</f>
        <v>0</v>
      </c>
      <c r="J78">
        <f>IF(Data!C288&lt;=ClassTree!$L$2,ClassTree!$L$4,ClassTree!$L$6)</f>
        <v>0.57978723404255317</v>
      </c>
      <c r="K78">
        <f>MIN(0.999,MAX(0.001,J78+INDEX($E$2:$E$13,1)*IF(Data!C288&lt;=INDEX($B$2:$B$13,1),INDEX($C$2:$C$13,1),INDEX($D$2:$D$13,1))))</f>
        <v>0.57978723404255317</v>
      </c>
      <c r="L78">
        <f>MIN(0.999,MAX(0.001,K78+INDEX($E$2:$E$13,2)*IF(Data!C288&lt;=INDEX($B$2:$B$13,2),INDEX($C$2:$C$13,2),INDEX($D$2:$D$13,2))))</f>
        <v>0.57978723404255317</v>
      </c>
      <c r="M78">
        <f>MIN(0.999,MAX(0.001,L78+INDEX($E$2:$E$13,3)*IF(Data!C288&lt;=INDEX($B$2:$B$13,3),INDEX($C$2:$C$13,3),INDEX($D$2:$D$13,3))))</f>
        <v>0.57978723404255317</v>
      </c>
      <c r="N78">
        <f>MIN(0.999,MAX(0.001,M78+INDEX($E$2:$E$13,4)*IF(Data!C288&lt;=INDEX($B$2:$B$13,4),INDEX($C$2:$C$13,4),INDEX($D$2:$D$13,4))))</f>
        <v>0.57978723404255317</v>
      </c>
      <c r="O78">
        <f>MIN(0.999,MAX(0.001,N78+INDEX($E$2:$E$13,5)*IF(Data!C288&lt;=INDEX($B$2:$B$13,5),INDEX($C$2:$C$13,5),INDEX($D$2:$D$13,5))))</f>
        <v>0.57978723404255317</v>
      </c>
      <c r="P78">
        <f>MIN(0.999,MAX(0.001,O78+INDEX($E$2:$E$13,6)*IF(Data!C288&lt;=INDEX($B$2:$B$13,6),INDEX($C$2:$C$13,6),INDEX($D$2:$D$13,6))))</f>
        <v>0.57978723404255317</v>
      </c>
      <c r="Q78">
        <f>MIN(0.999,MAX(0.001,P78+INDEX($E$2:$E$13,7)*IF(Data!C288&lt;=INDEX($B$2:$B$13,7),INDEX($C$2:$C$13,7),INDEX($D$2:$D$13,7))))</f>
        <v>0.57978723404255317</v>
      </c>
      <c r="R78">
        <f>MIN(0.999,MAX(0.001,Q78+INDEX($E$2:$E$13,8)*IF(Data!C288&lt;=INDEX($B$2:$B$13,8),INDEX($C$2:$C$13,8),INDEX($D$2:$D$13,8))))</f>
        <v>0.57978723404255317</v>
      </c>
      <c r="S78">
        <f>MIN(0.999,MAX(0.001,R78+INDEX($E$2:$E$13,9)*IF(Data!C288&lt;=INDEX($B$2:$B$13,9),INDEX($C$2:$C$13,9),INDEX($D$2:$D$13,9))))</f>
        <v>0.57978723404255317</v>
      </c>
      <c r="T78">
        <f>MIN(0.999,MAX(0.001,S78+INDEX($E$2:$E$13,10)*IF(Data!C288&lt;=INDEX($B$2:$B$13,10),INDEX($C$2:$C$13,10),INDEX($D$2:$D$13,10))))</f>
        <v>0.57978723404255317</v>
      </c>
      <c r="U78">
        <f>MIN(0.999,MAX(0.001,T78+INDEX($E$2:$E$13,11)*IF(Data!C288&lt;=INDEX($B$2:$B$13,11),INDEX($C$2:$C$13,11),INDEX($D$2:$D$13,11))))</f>
        <v>0.57978723404255317</v>
      </c>
      <c r="V78">
        <f>MIN(0.999,MAX(0.001,U78+INDEX($E$2:$E$13,12)*IF(Data!C288&lt;=INDEX($B$2:$B$13,12),INDEX($C$2:$C$13,12),INDEX($D$2:$D$13,12))))</f>
        <v>0.57978723404255317</v>
      </c>
      <c r="W78">
        <f>IF(V78&gt;=Controls!$B$2,1,0)</f>
        <v>1</v>
      </c>
      <c r="X78">
        <f t="shared" si="4"/>
        <v>0</v>
      </c>
    </row>
    <row r="79" spans="8:24" x14ac:dyDescent="0.2">
      <c r="H79">
        <f>Data!A289</f>
        <v>288</v>
      </c>
      <c r="I79">
        <f>Data!L289</f>
        <v>1</v>
      </c>
      <c r="J79">
        <f>IF(Data!C289&lt;=ClassTree!$L$2,ClassTree!$L$4,ClassTree!$L$6)</f>
        <v>0.57978723404255317</v>
      </c>
      <c r="K79">
        <f>MIN(0.999,MAX(0.001,J79+INDEX($E$2:$E$13,1)*IF(Data!C289&lt;=INDEX($B$2:$B$13,1),INDEX($C$2:$C$13,1),INDEX($D$2:$D$13,1))))</f>
        <v>0.57978723404255317</v>
      </c>
      <c r="L79">
        <f>MIN(0.999,MAX(0.001,K79+INDEX($E$2:$E$13,2)*IF(Data!C289&lt;=INDEX($B$2:$B$13,2),INDEX($C$2:$C$13,2),INDEX($D$2:$D$13,2))))</f>
        <v>0.57978723404255317</v>
      </c>
      <c r="M79">
        <f>MIN(0.999,MAX(0.001,L79+INDEX($E$2:$E$13,3)*IF(Data!C289&lt;=INDEX($B$2:$B$13,3),INDEX($C$2:$C$13,3),INDEX($D$2:$D$13,3))))</f>
        <v>0.57978723404255317</v>
      </c>
      <c r="N79">
        <f>MIN(0.999,MAX(0.001,M79+INDEX($E$2:$E$13,4)*IF(Data!C289&lt;=INDEX($B$2:$B$13,4),INDEX($C$2:$C$13,4),INDEX($D$2:$D$13,4))))</f>
        <v>0.57978723404255317</v>
      </c>
      <c r="O79">
        <f>MIN(0.999,MAX(0.001,N79+INDEX($E$2:$E$13,5)*IF(Data!C289&lt;=INDEX($B$2:$B$13,5),INDEX($C$2:$C$13,5),INDEX($D$2:$D$13,5))))</f>
        <v>0.57978723404255317</v>
      </c>
      <c r="P79">
        <f>MIN(0.999,MAX(0.001,O79+INDEX($E$2:$E$13,6)*IF(Data!C289&lt;=INDEX($B$2:$B$13,6),INDEX($C$2:$C$13,6),INDEX($D$2:$D$13,6))))</f>
        <v>0.57978723404255317</v>
      </c>
      <c r="Q79">
        <f>MIN(0.999,MAX(0.001,P79+INDEX($E$2:$E$13,7)*IF(Data!C289&lt;=INDEX($B$2:$B$13,7),INDEX($C$2:$C$13,7),INDEX($D$2:$D$13,7))))</f>
        <v>0.57978723404255317</v>
      </c>
      <c r="R79">
        <f>MIN(0.999,MAX(0.001,Q79+INDEX($E$2:$E$13,8)*IF(Data!C289&lt;=INDEX($B$2:$B$13,8),INDEX($C$2:$C$13,8),INDEX($D$2:$D$13,8))))</f>
        <v>0.57978723404255317</v>
      </c>
      <c r="S79">
        <f>MIN(0.999,MAX(0.001,R79+INDEX($E$2:$E$13,9)*IF(Data!C289&lt;=INDEX($B$2:$B$13,9),INDEX($C$2:$C$13,9),INDEX($D$2:$D$13,9))))</f>
        <v>0.57978723404255317</v>
      </c>
      <c r="T79">
        <f>MIN(0.999,MAX(0.001,S79+INDEX($E$2:$E$13,10)*IF(Data!C289&lt;=INDEX($B$2:$B$13,10),INDEX($C$2:$C$13,10),INDEX($D$2:$D$13,10))))</f>
        <v>0.57978723404255317</v>
      </c>
      <c r="U79">
        <f>MIN(0.999,MAX(0.001,T79+INDEX($E$2:$E$13,11)*IF(Data!C289&lt;=INDEX($B$2:$B$13,11),INDEX($C$2:$C$13,11),INDEX($D$2:$D$13,11))))</f>
        <v>0.57978723404255317</v>
      </c>
      <c r="V79">
        <f>MIN(0.999,MAX(0.001,U79+INDEX($E$2:$E$13,12)*IF(Data!C289&lt;=INDEX($B$2:$B$13,12),INDEX($C$2:$C$13,12),INDEX($D$2:$D$13,12))))</f>
        <v>0.57978723404255317</v>
      </c>
      <c r="W79">
        <f>IF(V79&gt;=Controls!$B$2,1,0)</f>
        <v>1</v>
      </c>
      <c r="X79">
        <f t="shared" si="4"/>
        <v>1</v>
      </c>
    </row>
    <row r="80" spans="8:24" x14ac:dyDescent="0.2">
      <c r="H80">
        <f>Data!A290</f>
        <v>289</v>
      </c>
      <c r="I80">
        <f>Data!L290</f>
        <v>0</v>
      </c>
      <c r="J80">
        <f>IF(Data!C290&lt;=ClassTree!$L$2,ClassTree!$L$4,ClassTree!$L$6)</f>
        <v>0.57978723404255317</v>
      </c>
      <c r="K80">
        <f>MIN(0.999,MAX(0.001,J80+INDEX($E$2:$E$13,1)*IF(Data!C290&lt;=INDEX($B$2:$B$13,1),INDEX($C$2:$C$13,1),INDEX($D$2:$D$13,1))))</f>
        <v>0.57978723404255317</v>
      </c>
      <c r="L80">
        <f>MIN(0.999,MAX(0.001,K80+INDEX($E$2:$E$13,2)*IF(Data!C290&lt;=INDEX($B$2:$B$13,2),INDEX($C$2:$C$13,2),INDEX($D$2:$D$13,2))))</f>
        <v>0.57978723404255317</v>
      </c>
      <c r="M80">
        <f>MIN(0.999,MAX(0.001,L80+INDEX($E$2:$E$13,3)*IF(Data!C290&lt;=INDEX($B$2:$B$13,3),INDEX($C$2:$C$13,3),INDEX($D$2:$D$13,3))))</f>
        <v>0.57978723404255317</v>
      </c>
      <c r="N80">
        <f>MIN(0.999,MAX(0.001,M80+INDEX($E$2:$E$13,4)*IF(Data!C290&lt;=INDEX($B$2:$B$13,4),INDEX($C$2:$C$13,4),INDEX($D$2:$D$13,4))))</f>
        <v>0.57978723404255317</v>
      </c>
      <c r="O80">
        <f>MIN(0.999,MAX(0.001,N80+INDEX($E$2:$E$13,5)*IF(Data!C290&lt;=INDEX($B$2:$B$13,5),INDEX($C$2:$C$13,5),INDEX($D$2:$D$13,5))))</f>
        <v>0.57978723404255317</v>
      </c>
      <c r="P80">
        <f>MIN(0.999,MAX(0.001,O80+INDEX($E$2:$E$13,6)*IF(Data!C290&lt;=INDEX($B$2:$B$13,6),INDEX($C$2:$C$13,6),INDEX($D$2:$D$13,6))))</f>
        <v>0.57978723404255317</v>
      </c>
      <c r="Q80">
        <f>MIN(0.999,MAX(0.001,P80+INDEX($E$2:$E$13,7)*IF(Data!C290&lt;=INDEX($B$2:$B$13,7),INDEX($C$2:$C$13,7),INDEX($D$2:$D$13,7))))</f>
        <v>0.57978723404255317</v>
      </c>
      <c r="R80">
        <f>MIN(0.999,MAX(0.001,Q80+INDEX($E$2:$E$13,8)*IF(Data!C290&lt;=INDEX($B$2:$B$13,8),INDEX($C$2:$C$13,8),INDEX($D$2:$D$13,8))))</f>
        <v>0.57978723404255317</v>
      </c>
      <c r="S80">
        <f>MIN(0.999,MAX(0.001,R80+INDEX($E$2:$E$13,9)*IF(Data!C290&lt;=INDEX($B$2:$B$13,9),INDEX($C$2:$C$13,9),INDEX($D$2:$D$13,9))))</f>
        <v>0.57978723404255317</v>
      </c>
      <c r="T80">
        <f>MIN(0.999,MAX(0.001,S80+INDEX($E$2:$E$13,10)*IF(Data!C290&lt;=INDEX($B$2:$B$13,10),INDEX($C$2:$C$13,10),INDEX($D$2:$D$13,10))))</f>
        <v>0.57978723404255317</v>
      </c>
      <c r="U80">
        <f>MIN(0.999,MAX(0.001,T80+INDEX($E$2:$E$13,11)*IF(Data!C290&lt;=INDEX($B$2:$B$13,11),INDEX($C$2:$C$13,11),INDEX($D$2:$D$13,11))))</f>
        <v>0.57978723404255317</v>
      </c>
      <c r="V80">
        <f>MIN(0.999,MAX(0.001,U80+INDEX($E$2:$E$13,12)*IF(Data!C290&lt;=INDEX($B$2:$B$13,12),INDEX($C$2:$C$13,12),INDEX($D$2:$D$13,12))))</f>
        <v>0.57978723404255317</v>
      </c>
      <c r="W80">
        <f>IF(V80&gt;=Controls!$B$2,1,0)</f>
        <v>1</v>
      </c>
      <c r="X80">
        <f t="shared" si="4"/>
        <v>0</v>
      </c>
    </row>
    <row r="81" spans="8:24" x14ac:dyDescent="0.2">
      <c r="H81">
        <f>Data!A291</f>
        <v>290</v>
      </c>
      <c r="I81">
        <f>Data!L291</f>
        <v>1</v>
      </c>
      <c r="J81">
        <f>IF(Data!C291&lt;=ClassTree!$L$2,ClassTree!$L$4,ClassTree!$L$6)</f>
        <v>0.57978723404255317</v>
      </c>
      <c r="K81">
        <f>MIN(0.999,MAX(0.001,J81+INDEX($E$2:$E$13,1)*IF(Data!C291&lt;=INDEX($B$2:$B$13,1),INDEX($C$2:$C$13,1),INDEX($D$2:$D$13,1))))</f>
        <v>0.57978723404255317</v>
      </c>
      <c r="L81">
        <f>MIN(0.999,MAX(0.001,K81+INDEX($E$2:$E$13,2)*IF(Data!C291&lt;=INDEX($B$2:$B$13,2),INDEX($C$2:$C$13,2),INDEX($D$2:$D$13,2))))</f>
        <v>0.57978723404255317</v>
      </c>
      <c r="M81">
        <f>MIN(0.999,MAX(0.001,L81+INDEX($E$2:$E$13,3)*IF(Data!C291&lt;=INDEX($B$2:$B$13,3),INDEX($C$2:$C$13,3),INDEX($D$2:$D$13,3))))</f>
        <v>0.57978723404255317</v>
      </c>
      <c r="N81">
        <f>MIN(0.999,MAX(0.001,M81+INDEX($E$2:$E$13,4)*IF(Data!C291&lt;=INDEX($B$2:$B$13,4),INDEX($C$2:$C$13,4),INDEX($D$2:$D$13,4))))</f>
        <v>0.57978723404255317</v>
      </c>
      <c r="O81">
        <f>MIN(0.999,MAX(0.001,N81+INDEX($E$2:$E$13,5)*IF(Data!C291&lt;=INDEX($B$2:$B$13,5),INDEX($C$2:$C$13,5),INDEX($D$2:$D$13,5))))</f>
        <v>0.57978723404255317</v>
      </c>
      <c r="P81">
        <f>MIN(0.999,MAX(0.001,O81+INDEX($E$2:$E$13,6)*IF(Data!C291&lt;=INDEX($B$2:$B$13,6),INDEX($C$2:$C$13,6),INDEX($D$2:$D$13,6))))</f>
        <v>0.57978723404255317</v>
      </c>
      <c r="Q81">
        <f>MIN(0.999,MAX(0.001,P81+INDEX($E$2:$E$13,7)*IF(Data!C291&lt;=INDEX($B$2:$B$13,7),INDEX($C$2:$C$13,7),INDEX($D$2:$D$13,7))))</f>
        <v>0.57978723404255317</v>
      </c>
      <c r="R81">
        <f>MIN(0.999,MAX(0.001,Q81+INDEX($E$2:$E$13,8)*IF(Data!C291&lt;=INDEX($B$2:$B$13,8),INDEX($C$2:$C$13,8),INDEX($D$2:$D$13,8))))</f>
        <v>0.57978723404255317</v>
      </c>
      <c r="S81">
        <f>MIN(0.999,MAX(0.001,R81+INDEX($E$2:$E$13,9)*IF(Data!C291&lt;=INDEX($B$2:$B$13,9),INDEX($C$2:$C$13,9),INDEX($D$2:$D$13,9))))</f>
        <v>0.57978723404255317</v>
      </c>
      <c r="T81">
        <f>MIN(0.999,MAX(0.001,S81+INDEX($E$2:$E$13,10)*IF(Data!C291&lt;=INDEX($B$2:$B$13,10),INDEX($C$2:$C$13,10),INDEX($D$2:$D$13,10))))</f>
        <v>0.57978723404255317</v>
      </c>
      <c r="U81">
        <f>MIN(0.999,MAX(0.001,T81+INDEX($E$2:$E$13,11)*IF(Data!C291&lt;=INDEX($B$2:$B$13,11),INDEX($C$2:$C$13,11),INDEX($D$2:$D$13,11))))</f>
        <v>0.57978723404255317</v>
      </c>
      <c r="V81">
        <f>MIN(0.999,MAX(0.001,U81+INDEX($E$2:$E$13,12)*IF(Data!C291&lt;=INDEX($B$2:$B$13,12),INDEX($C$2:$C$13,12),INDEX($D$2:$D$13,12))))</f>
        <v>0.57978723404255317</v>
      </c>
      <c r="W81">
        <f>IF(V81&gt;=Controls!$B$2,1,0)</f>
        <v>1</v>
      </c>
      <c r="X81">
        <f t="shared" si="4"/>
        <v>1</v>
      </c>
    </row>
    <row r="82" spans="8:24" x14ac:dyDescent="0.2">
      <c r="H82">
        <f>Data!A292</f>
        <v>291</v>
      </c>
      <c r="I82">
        <f>Data!L292</f>
        <v>1</v>
      </c>
      <c r="J82">
        <f>IF(Data!C292&lt;=ClassTree!$L$2,ClassTree!$L$4,ClassTree!$L$6)</f>
        <v>0.57978723404255317</v>
      </c>
      <c r="K82">
        <f>MIN(0.999,MAX(0.001,J82+INDEX($E$2:$E$13,1)*IF(Data!C292&lt;=INDEX($B$2:$B$13,1),INDEX($C$2:$C$13,1),INDEX($D$2:$D$13,1))))</f>
        <v>0.57978723404255317</v>
      </c>
      <c r="L82">
        <f>MIN(0.999,MAX(0.001,K82+INDEX($E$2:$E$13,2)*IF(Data!C292&lt;=INDEX($B$2:$B$13,2),INDEX($C$2:$C$13,2),INDEX($D$2:$D$13,2))))</f>
        <v>0.57978723404255317</v>
      </c>
      <c r="M82">
        <f>MIN(0.999,MAX(0.001,L82+INDEX($E$2:$E$13,3)*IF(Data!C292&lt;=INDEX($B$2:$B$13,3),INDEX($C$2:$C$13,3),INDEX($D$2:$D$13,3))))</f>
        <v>0.57978723404255317</v>
      </c>
      <c r="N82">
        <f>MIN(0.999,MAX(0.001,M82+INDEX($E$2:$E$13,4)*IF(Data!C292&lt;=INDEX($B$2:$B$13,4),INDEX($C$2:$C$13,4),INDEX($D$2:$D$13,4))))</f>
        <v>0.57978723404255317</v>
      </c>
      <c r="O82">
        <f>MIN(0.999,MAX(0.001,N82+INDEX($E$2:$E$13,5)*IF(Data!C292&lt;=INDEX($B$2:$B$13,5),INDEX($C$2:$C$13,5),INDEX($D$2:$D$13,5))))</f>
        <v>0.57978723404255317</v>
      </c>
      <c r="P82">
        <f>MIN(0.999,MAX(0.001,O82+INDEX($E$2:$E$13,6)*IF(Data!C292&lt;=INDEX($B$2:$B$13,6),INDEX($C$2:$C$13,6),INDEX($D$2:$D$13,6))))</f>
        <v>0.57978723404255317</v>
      </c>
      <c r="Q82">
        <f>MIN(0.999,MAX(0.001,P82+INDEX($E$2:$E$13,7)*IF(Data!C292&lt;=INDEX($B$2:$B$13,7),INDEX($C$2:$C$13,7),INDEX($D$2:$D$13,7))))</f>
        <v>0.57978723404255317</v>
      </c>
      <c r="R82">
        <f>MIN(0.999,MAX(0.001,Q82+INDEX($E$2:$E$13,8)*IF(Data!C292&lt;=INDEX($B$2:$B$13,8),INDEX($C$2:$C$13,8),INDEX($D$2:$D$13,8))))</f>
        <v>0.57978723404255317</v>
      </c>
      <c r="S82">
        <f>MIN(0.999,MAX(0.001,R82+INDEX($E$2:$E$13,9)*IF(Data!C292&lt;=INDEX($B$2:$B$13,9),INDEX($C$2:$C$13,9),INDEX($D$2:$D$13,9))))</f>
        <v>0.57978723404255317</v>
      </c>
      <c r="T82">
        <f>MIN(0.999,MAX(0.001,S82+INDEX($E$2:$E$13,10)*IF(Data!C292&lt;=INDEX($B$2:$B$13,10),INDEX($C$2:$C$13,10),INDEX($D$2:$D$13,10))))</f>
        <v>0.57978723404255317</v>
      </c>
      <c r="U82">
        <f>MIN(0.999,MAX(0.001,T82+INDEX($E$2:$E$13,11)*IF(Data!C292&lt;=INDEX($B$2:$B$13,11),INDEX($C$2:$C$13,11),INDEX($D$2:$D$13,11))))</f>
        <v>0.57978723404255317</v>
      </c>
      <c r="V82">
        <f>MIN(0.999,MAX(0.001,U82+INDEX($E$2:$E$13,12)*IF(Data!C292&lt;=INDEX($B$2:$B$13,12),INDEX($C$2:$C$13,12),INDEX($D$2:$D$13,12))))</f>
        <v>0.57978723404255317</v>
      </c>
      <c r="W82">
        <f>IF(V82&gt;=Controls!$B$2,1,0)</f>
        <v>1</v>
      </c>
      <c r="X82">
        <f t="shared" si="4"/>
        <v>1</v>
      </c>
    </row>
    <row r="83" spans="8:24" x14ac:dyDescent="0.2">
      <c r="H83">
        <f>Data!A293</f>
        <v>292</v>
      </c>
      <c r="I83">
        <f>Data!L293</f>
        <v>1</v>
      </c>
      <c r="J83">
        <f>IF(Data!C293&lt;=ClassTree!$L$2,ClassTree!$L$4,ClassTree!$L$6)</f>
        <v>0.57978723404255317</v>
      </c>
      <c r="K83">
        <f>MIN(0.999,MAX(0.001,J83+INDEX($E$2:$E$13,1)*IF(Data!C293&lt;=INDEX($B$2:$B$13,1),INDEX($C$2:$C$13,1),INDEX($D$2:$D$13,1))))</f>
        <v>0.57978723404255317</v>
      </c>
      <c r="L83">
        <f>MIN(0.999,MAX(0.001,K83+INDEX($E$2:$E$13,2)*IF(Data!C293&lt;=INDEX($B$2:$B$13,2),INDEX($C$2:$C$13,2),INDEX($D$2:$D$13,2))))</f>
        <v>0.57978723404255317</v>
      </c>
      <c r="M83">
        <f>MIN(0.999,MAX(0.001,L83+INDEX($E$2:$E$13,3)*IF(Data!C293&lt;=INDEX($B$2:$B$13,3),INDEX($C$2:$C$13,3),INDEX($D$2:$D$13,3))))</f>
        <v>0.57978723404255317</v>
      </c>
      <c r="N83">
        <f>MIN(0.999,MAX(0.001,M83+INDEX($E$2:$E$13,4)*IF(Data!C293&lt;=INDEX($B$2:$B$13,4),INDEX($C$2:$C$13,4),INDEX($D$2:$D$13,4))))</f>
        <v>0.57978723404255317</v>
      </c>
      <c r="O83">
        <f>MIN(0.999,MAX(0.001,N83+INDEX($E$2:$E$13,5)*IF(Data!C293&lt;=INDEX($B$2:$B$13,5),INDEX($C$2:$C$13,5),INDEX($D$2:$D$13,5))))</f>
        <v>0.57978723404255317</v>
      </c>
      <c r="P83">
        <f>MIN(0.999,MAX(0.001,O83+INDEX($E$2:$E$13,6)*IF(Data!C293&lt;=INDEX($B$2:$B$13,6),INDEX($C$2:$C$13,6),INDEX($D$2:$D$13,6))))</f>
        <v>0.57978723404255317</v>
      </c>
      <c r="Q83">
        <f>MIN(0.999,MAX(0.001,P83+INDEX($E$2:$E$13,7)*IF(Data!C293&lt;=INDEX($B$2:$B$13,7),INDEX($C$2:$C$13,7),INDEX($D$2:$D$13,7))))</f>
        <v>0.57978723404255317</v>
      </c>
      <c r="R83">
        <f>MIN(0.999,MAX(0.001,Q83+INDEX($E$2:$E$13,8)*IF(Data!C293&lt;=INDEX($B$2:$B$13,8),INDEX($C$2:$C$13,8),INDEX($D$2:$D$13,8))))</f>
        <v>0.57978723404255317</v>
      </c>
      <c r="S83">
        <f>MIN(0.999,MAX(0.001,R83+INDEX($E$2:$E$13,9)*IF(Data!C293&lt;=INDEX($B$2:$B$13,9),INDEX($C$2:$C$13,9),INDEX($D$2:$D$13,9))))</f>
        <v>0.57978723404255317</v>
      </c>
      <c r="T83">
        <f>MIN(0.999,MAX(0.001,S83+INDEX($E$2:$E$13,10)*IF(Data!C293&lt;=INDEX($B$2:$B$13,10),INDEX($C$2:$C$13,10),INDEX($D$2:$D$13,10))))</f>
        <v>0.57978723404255317</v>
      </c>
      <c r="U83">
        <f>MIN(0.999,MAX(0.001,T83+INDEX($E$2:$E$13,11)*IF(Data!C293&lt;=INDEX($B$2:$B$13,11),INDEX($C$2:$C$13,11),INDEX($D$2:$D$13,11))))</f>
        <v>0.57978723404255317</v>
      </c>
      <c r="V83">
        <f>MIN(0.999,MAX(0.001,U83+INDEX($E$2:$E$13,12)*IF(Data!C293&lt;=INDEX($B$2:$B$13,12),INDEX($C$2:$C$13,12),INDEX($D$2:$D$13,12))))</f>
        <v>0.57978723404255317</v>
      </c>
      <c r="W83">
        <f>IF(V83&gt;=Controls!$B$2,1,0)</f>
        <v>1</v>
      </c>
      <c r="X83">
        <f t="shared" si="4"/>
        <v>1</v>
      </c>
    </row>
    <row r="84" spans="8:24" x14ac:dyDescent="0.2">
      <c r="H84">
        <f>Data!A294</f>
        <v>293</v>
      </c>
      <c r="I84">
        <f>Data!L294</f>
        <v>1</v>
      </c>
      <c r="J84">
        <f>IF(Data!C294&lt;=ClassTree!$L$2,ClassTree!$L$4,ClassTree!$L$6)</f>
        <v>0.57978723404255317</v>
      </c>
      <c r="K84">
        <f>MIN(0.999,MAX(0.001,J84+INDEX($E$2:$E$13,1)*IF(Data!C294&lt;=INDEX($B$2:$B$13,1),INDEX($C$2:$C$13,1),INDEX($D$2:$D$13,1))))</f>
        <v>0.57978723404255317</v>
      </c>
      <c r="L84">
        <f>MIN(0.999,MAX(0.001,K84+INDEX($E$2:$E$13,2)*IF(Data!C294&lt;=INDEX($B$2:$B$13,2),INDEX($C$2:$C$13,2),INDEX($D$2:$D$13,2))))</f>
        <v>0.57978723404255317</v>
      </c>
      <c r="M84">
        <f>MIN(0.999,MAX(0.001,L84+INDEX($E$2:$E$13,3)*IF(Data!C294&lt;=INDEX($B$2:$B$13,3),INDEX($C$2:$C$13,3),INDEX($D$2:$D$13,3))))</f>
        <v>0.57978723404255317</v>
      </c>
      <c r="N84">
        <f>MIN(0.999,MAX(0.001,M84+INDEX($E$2:$E$13,4)*IF(Data!C294&lt;=INDEX($B$2:$B$13,4),INDEX($C$2:$C$13,4),INDEX($D$2:$D$13,4))))</f>
        <v>0.57978723404255317</v>
      </c>
      <c r="O84">
        <f>MIN(0.999,MAX(0.001,N84+INDEX($E$2:$E$13,5)*IF(Data!C294&lt;=INDEX($B$2:$B$13,5),INDEX($C$2:$C$13,5),INDEX($D$2:$D$13,5))))</f>
        <v>0.57978723404255317</v>
      </c>
      <c r="P84">
        <f>MIN(0.999,MAX(0.001,O84+INDEX($E$2:$E$13,6)*IF(Data!C294&lt;=INDEX($B$2:$B$13,6),INDEX($C$2:$C$13,6),INDEX($D$2:$D$13,6))))</f>
        <v>0.57978723404255317</v>
      </c>
      <c r="Q84">
        <f>MIN(0.999,MAX(0.001,P84+INDEX($E$2:$E$13,7)*IF(Data!C294&lt;=INDEX($B$2:$B$13,7),INDEX($C$2:$C$13,7),INDEX($D$2:$D$13,7))))</f>
        <v>0.57978723404255317</v>
      </c>
      <c r="R84">
        <f>MIN(0.999,MAX(0.001,Q84+INDEX($E$2:$E$13,8)*IF(Data!C294&lt;=INDEX($B$2:$B$13,8),INDEX($C$2:$C$13,8),INDEX($D$2:$D$13,8))))</f>
        <v>0.57978723404255317</v>
      </c>
      <c r="S84">
        <f>MIN(0.999,MAX(0.001,R84+INDEX($E$2:$E$13,9)*IF(Data!C294&lt;=INDEX($B$2:$B$13,9),INDEX($C$2:$C$13,9),INDEX($D$2:$D$13,9))))</f>
        <v>0.57978723404255317</v>
      </c>
      <c r="T84">
        <f>MIN(0.999,MAX(0.001,S84+INDEX($E$2:$E$13,10)*IF(Data!C294&lt;=INDEX($B$2:$B$13,10),INDEX($C$2:$C$13,10),INDEX($D$2:$D$13,10))))</f>
        <v>0.57978723404255317</v>
      </c>
      <c r="U84">
        <f>MIN(0.999,MAX(0.001,T84+INDEX($E$2:$E$13,11)*IF(Data!C294&lt;=INDEX($B$2:$B$13,11),INDEX($C$2:$C$13,11),INDEX($D$2:$D$13,11))))</f>
        <v>0.57978723404255317</v>
      </c>
      <c r="V84">
        <f>MIN(0.999,MAX(0.001,U84+INDEX($E$2:$E$13,12)*IF(Data!C294&lt;=INDEX($B$2:$B$13,12),INDEX($C$2:$C$13,12),INDEX($D$2:$D$13,12))))</f>
        <v>0.57978723404255317</v>
      </c>
      <c r="W84">
        <f>IF(V84&gt;=Controls!$B$2,1,0)</f>
        <v>1</v>
      </c>
      <c r="X84">
        <f t="shared" si="4"/>
        <v>1</v>
      </c>
    </row>
    <row r="85" spans="8:24" x14ac:dyDescent="0.2">
      <c r="H85">
        <f>Data!A295</f>
        <v>294</v>
      </c>
      <c r="I85">
        <f>Data!L295</f>
        <v>0</v>
      </c>
      <c r="J85">
        <f>IF(Data!C295&lt;=ClassTree!$L$2,ClassTree!$L$4,ClassTree!$L$6)</f>
        <v>0.57978723404255317</v>
      </c>
      <c r="K85">
        <f>MIN(0.999,MAX(0.001,J85+INDEX($E$2:$E$13,1)*IF(Data!C295&lt;=INDEX($B$2:$B$13,1),INDEX($C$2:$C$13,1),INDEX($D$2:$D$13,1))))</f>
        <v>0.57978723404255317</v>
      </c>
      <c r="L85">
        <f>MIN(0.999,MAX(0.001,K85+INDEX($E$2:$E$13,2)*IF(Data!C295&lt;=INDEX($B$2:$B$13,2),INDEX($C$2:$C$13,2),INDEX($D$2:$D$13,2))))</f>
        <v>0.57978723404255317</v>
      </c>
      <c r="M85">
        <f>MIN(0.999,MAX(0.001,L85+INDEX($E$2:$E$13,3)*IF(Data!C295&lt;=INDEX($B$2:$B$13,3),INDEX($C$2:$C$13,3),INDEX($D$2:$D$13,3))))</f>
        <v>0.57978723404255317</v>
      </c>
      <c r="N85">
        <f>MIN(0.999,MAX(0.001,M85+INDEX($E$2:$E$13,4)*IF(Data!C295&lt;=INDEX($B$2:$B$13,4),INDEX($C$2:$C$13,4),INDEX($D$2:$D$13,4))))</f>
        <v>0.57978723404255317</v>
      </c>
      <c r="O85">
        <f>MIN(0.999,MAX(0.001,N85+INDEX($E$2:$E$13,5)*IF(Data!C295&lt;=INDEX($B$2:$B$13,5),INDEX($C$2:$C$13,5),INDEX($D$2:$D$13,5))))</f>
        <v>0.57978723404255317</v>
      </c>
      <c r="P85">
        <f>MIN(0.999,MAX(0.001,O85+INDEX($E$2:$E$13,6)*IF(Data!C295&lt;=INDEX($B$2:$B$13,6),INDEX($C$2:$C$13,6),INDEX($D$2:$D$13,6))))</f>
        <v>0.57978723404255317</v>
      </c>
      <c r="Q85">
        <f>MIN(0.999,MAX(0.001,P85+INDEX($E$2:$E$13,7)*IF(Data!C295&lt;=INDEX($B$2:$B$13,7),INDEX($C$2:$C$13,7),INDEX($D$2:$D$13,7))))</f>
        <v>0.57978723404255317</v>
      </c>
      <c r="R85">
        <f>MIN(0.999,MAX(0.001,Q85+INDEX($E$2:$E$13,8)*IF(Data!C295&lt;=INDEX($B$2:$B$13,8),INDEX($C$2:$C$13,8),INDEX($D$2:$D$13,8))))</f>
        <v>0.57978723404255317</v>
      </c>
      <c r="S85">
        <f>MIN(0.999,MAX(0.001,R85+INDEX($E$2:$E$13,9)*IF(Data!C295&lt;=INDEX($B$2:$B$13,9),INDEX($C$2:$C$13,9),INDEX($D$2:$D$13,9))))</f>
        <v>0.57978723404255317</v>
      </c>
      <c r="T85">
        <f>MIN(0.999,MAX(0.001,S85+INDEX($E$2:$E$13,10)*IF(Data!C295&lt;=INDEX($B$2:$B$13,10),INDEX($C$2:$C$13,10),INDEX($D$2:$D$13,10))))</f>
        <v>0.57978723404255317</v>
      </c>
      <c r="U85">
        <f>MIN(0.999,MAX(0.001,T85+INDEX($E$2:$E$13,11)*IF(Data!C295&lt;=INDEX($B$2:$B$13,11),INDEX($C$2:$C$13,11),INDEX($D$2:$D$13,11))))</f>
        <v>0.57978723404255317</v>
      </c>
      <c r="V85">
        <f>MIN(0.999,MAX(0.001,U85+INDEX($E$2:$E$13,12)*IF(Data!C295&lt;=INDEX($B$2:$B$13,12),INDEX($C$2:$C$13,12),INDEX($D$2:$D$13,12))))</f>
        <v>0.57978723404255317</v>
      </c>
      <c r="W85">
        <f>IF(V85&gt;=Controls!$B$2,1,0)</f>
        <v>1</v>
      </c>
      <c r="X85">
        <f t="shared" si="4"/>
        <v>0</v>
      </c>
    </row>
    <row r="86" spans="8:24" x14ac:dyDescent="0.2">
      <c r="H86">
        <f>Data!A296</f>
        <v>295</v>
      </c>
      <c r="I86">
        <f>Data!L296</f>
        <v>0</v>
      </c>
      <c r="J86">
        <f>IF(Data!C296&lt;=ClassTree!$L$2,ClassTree!$L$4,ClassTree!$L$6)</f>
        <v>0.57978723404255317</v>
      </c>
      <c r="K86">
        <f>MIN(0.999,MAX(0.001,J86+INDEX($E$2:$E$13,1)*IF(Data!C296&lt;=INDEX($B$2:$B$13,1),INDEX($C$2:$C$13,1),INDEX($D$2:$D$13,1))))</f>
        <v>0.57978723404255317</v>
      </c>
      <c r="L86">
        <f>MIN(0.999,MAX(0.001,K86+INDEX($E$2:$E$13,2)*IF(Data!C296&lt;=INDEX($B$2:$B$13,2),INDEX($C$2:$C$13,2),INDEX($D$2:$D$13,2))))</f>
        <v>0.57978723404255317</v>
      </c>
      <c r="M86">
        <f>MIN(0.999,MAX(0.001,L86+INDEX($E$2:$E$13,3)*IF(Data!C296&lt;=INDEX($B$2:$B$13,3),INDEX($C$2:$C$13,3),INDEX($D$2:$D$13,3))))</f>
        <v>0.57978723404255317</v>
      </c>
      <c r="N86">
        <f>MIN(0.999,MAX(0.001,M86+INDEX($E$2:$E$13,4)*IF(Data!C296&lt;=INDEX($B$2:$B$13,4),INDEX($C$2:$C$13,4),INDEX($D$2:$D$13,4))))</f>
        <v>0.57978723404255317</v>
      </c>
      <c r="O86">
        <f>MIN(0.999,MAX(0.001,N86+INDEX($E$2:$E$13,5)*IF(Data!C296&lt;=INDEX($B$2:$B$13,5),INDEX($C$2:$C$13,5),INDEX($D$2:$D$13,5))))</f>
        <v>0.57978723404255317</v>
      </c>
      <c r="P86">
        <f>MIN(0.999,MAX(0.001,O86+INDEX($E$2:$E$13,6)*IF(Data!C296&lt;=INDEX($B$2:$B$13,6),INDEX($C$2:$C$13,6),INDEX($D$2:$D$13,6))))</f>
        <v>0.57978723404255317</v>
      </c>
      <c r="Q86">
        <f>MIN(0.999,MAX(0.001,P86+INDEX($E$2:$E$13,7)*IF(Data!C296&lt;=INDEX($B$2:$B$13,7),INDEX($C$2:$C$13,7),INDEX($D$2:$D$13,7))))</f>
        <v>0.57978723404255317</v>
      </c>
      <c r="R86">
        <f>MIN(0.999,MAX(0.001,Q86+INDEX($E$2:$E$13,8)*IF(Data!C296&lt;=INDEX($B$2:$B$13,8),INDEX($C$2:$C$13,8),INDEX($D$2:$D$13,8))))</f>
        <v>0.57978723404255317</v>
      </c>
      <c r="S86">
        <f>MIN(0.999,MAX(0.001,R86+INDEX($E$2:$E$13,9)*IF(Data!C296&lt;=INDEX($B$2:$B$13,9),INDEX($C$2:$C$13,9),INDEX($D$2:$D$13,9))))</f>
        <v>0.57978723404255317</v>
      </c>
      <c r="T86">
        <f>MIN(0.999,MAX(0.001,S86+INDEX($E$2:$E$13,10)*IF(Data!C296&lt;=INDEX($B$2:$B$13,10),INDEX($C$2:$C$13,10),INDEX($D$2:$D$13,10))))</f>
        <v>0.57978723404255317</v>
      </c>
      <c r="U86">
        <f>MIN(0.999,MAX(0.001,T86+INDEX($E$2:$E$13,11)*IF(Data!C296&lt;=INDEX($B$2:$B$13,11),INDEX($C$2:$C$13,11),INDEX($D$2:$D$13,11))))</f>
        <v>0.57978723404255317</v>
      </c>
      <c r="V86">
        <f>MIN(0.999,MAX(0.001,U86+INDEX($E$2:$E$13,12)*IF(Data!C296&lt;=INDEX($B$2:$B$13,12),INDEX($C$2:$C$13,12),INDEX($D$2:$D$13,12))))</f>
        <v>0.57978723404255317</v>
      </c>
      <c r="W86">
        <f>IF(V86&gt;=Controls!$B$2,1,0)</f>
        <v>1</v>
      </c>
      <c r="X86">
        <f t="shared" si="4"/>
        <v>0</v>
      </c>
    </row>
    <row r="87" spans="8:24" x14ac:dyDescent="0.2">
      <c r="H87">
        <f>Data!A297</f>
        <v>296</v>
      </c>
      <c r="I87">
        <f>Data!L297</f>
        <v>0</v>
      </c>
      <c r="J87">
        <f>IF(Data!C297&lt;=ClassTree!$L$2,ClassTree!$L$4,ClassTree!$L$6)</f>
        <v>0.57978723404255317</v>
      </c>
      <c r="K87">
        <f>MIN(0.999,MAX(0.001,J87+INDEX($E$2:$E$13,1)*IF(Data!C297&lt;=INDEX($B$2:$B$13,1),INDEX($C$2:$C$13,1),INDEX($D$2:$D$13,1))))</f>
        <v>0.57978723404255317</v>
      </c>
      <c r="L87">
        <f>MIN(0.999,MAX(0.001,K87+INDEX($E$2:$E$13,2)*IF(Data!C297&lt;=INDEX($B$2:$B$13,2),INDEX($C$2:$C$13,2),INDEX($D$2:$D$13,2))))</f>
        <v>0.57978723404255317</v>
      </c>
      <c r="M87">
        <f>MIN(0.999,MAX(0.001,L87+INDEX($E$2:$E$13,3)*IF(Data!C297&lt;=INDEX($B$2:$B$13,3),INDEX($C$2:$C$13,3),INDEX($D$2:$D$13,3))))</f>
        <v>0.57978723404255317</v>
      </c>
      <c r="N87">
        <f>MIN(0.999,MAX(0.001,M87+INDEX($E$2:$E$13,4)*IF(Data!C297&lt;=INDEX($B$2:$B$13,4),INDEX($C$2:$C$13,4),INDEX($D$2:$D$13,4))))</f>
        <v>0.57978723404255317</v>
      </c>
      <c r="O87">
        <f>MIN(0.999,MAX(0.001,N87+INDEX($E$2:$E$13,5)*IF(Data!C297&lt;=INDEX($B$2:$B$13,5),INDEX($C$2:$C$13,5),INDEX($D$2:$D$13,5))))</f>
        <v>0.57978723404255317</v>
      </c>
      <c r="P87">
        <f>MIN(0.999,MAX(0.001,O87+INDEX($E$2:$E$13,6)*IF(Data!C297&lt;=INDEX($B$2:$B$13,6),INDEX($C$2:$C$13,6),INDEX($D$2:$D$13,6))))</f>
        <v>0.57978723404255317</v>
      </c>
      <c r="Q87">
        <f>MIN(0.999,MAX(0.001,P87+INDEX($E$2:$E$13,7)*IF(Data!C297&lt;=INDEX($B$2:$B$13,7),INDEX($C$2:$C$13,7),INDEX($D$2:$D$13,7))))</f>
        <v>0.57978723404255317</v>
      </c>
      <c r="R87">
        <f>MIN(0.999,MAX(0.001,Q87+INDEX($E$2:$E$13,8)*IF(Data!C297&lt;=INDEX($B$2:$B$13,8),INDEX($C$2:$C$13,8),INDEX($D$2:$D$13,8))))</f>
        <v>0.57978723404255317</v>
      </c>
      <c r="S87">
        <f>MIN(0.999,MAX(0.001,R87+INDEX($E$2:$E$13,9)*IF(Data!C297&lt;=INDEX($B$2:$B$13,9),INDEX($C$2:$C$13,9),INDEX($D$2:$D$13,9))))</f>
        <v>0.57978723404255317</v>
      </c>
      <c r="T87">
        <f>MIN(0.999,MAX(0.001,S87+INDEX($E$2:$E$13,10)*IF(Data!C297&lt;=INDEX($B$2:$B$13,10),INDEX($C$2:$C$13,10),INDEX($D$2:$D$13,10))))</f>
        <v>0.57978723404255317</v>
      </c>
      <c r="U87">
        <f>MIN(0.999,MAX(0.001,T87+INDEX($E$2:$E$13,11)*IF(Data!C297&lt;=INDEX($B$2:$B$13,11),INDEX($C$2:$C$13,11),INDEX($D$2:$D$13,11))))</f>
        <v>0.57978723404255317</v>
      </c>
      <c r="V87">
        <f>MIN(0.999,MAX(0.001,U87+INDEX($E$2:$E$13,12)*IF(Data!C297&lt;=INDEX($B$2:$B$13,12),INDEX($C$2:$C$13,12),INDEX($D$2:$D$13,12))))</f>
        <v>0.57978723404255317</v>
      </c>
      <c r="W87">
        <f>IF(V87&gt;=Controls!$B$2,1,0)</f>
        <v>1</v>
      </c>
      <c r="X87">
        <f t="shared" si="4"/>
        <v>0</v>
      </c>
    </row>
    <row r="88" spans="8:24" x14ac:dyDescent="0.2">
      <c r="H88">
        <f>Data!A298</f>
        <v>297</v>
      </c>
      <c r="I88">
        <f>Data!L298</f>
        <v>0</v>
      </c>
      <c r="J88">
        <f>IF(Data!C298&lt;=ClassTree!$L$2,ClassTree!$L$4,ClassTree!$L$6)</f>
        <v>0.57978723404255317</v>
      </c>
      <c r="K88">
        <f>MIN(0.999,MAX(0.001,J88+INDEX($E$2:$E$13,1)*IF(Data!C298&lt;=INDEX($B$2:$B$13,1),INDEX($C$2:$C$13,1),INDEX($D$2:$D$13,1))))</f>
        <v>0.57978723404255317</v>
      </c>
      <c r="L88">
        <f>MIN(0.999,MAX(0.001,K88+INDEX($E$2:$E$13,2)*IF(Data!C298&lt;=INDEX($B$2:$B$13,2),INDEX($C$2:$C$13,2),INDEX($D$2:$D$13,2))))</f>
        <v>0.57978723404255317</v>
      </c>
      <c r="M88">
        <f>MIN(0.999,MAX(0.001,L88+INDEX($E$2:$E$13,3)*IF(Data!C298&lt;=INDEX($B$2:$B$13,3),INDEX($C$2:$C$13,3),INDEX($D$2:$D$13,3))))</f>
        <v>0.57978723404255317</v>
      </c>
      <c r="N88">
        <f>MIN(0.999,MAX(0.001,M88+INDEX($E$2:$E$13,4)*IF(Data!C298&lt;=INDEX($B$2:$B$13,4),INDEX($C$2:$C$13,4),INDEX($D$2:$D$13,4))))</f>
        <v>0.57978723404255317</v>
      </c>
      <c r="O88">
        <f>MIN(0.999,MAX(0.001,N88+INDEX($E$2:$E$13,5)*IF(Data!C298&lt;=INDEX($B$2:$B$13,5),INDEX($C$2:$C$13,5),INDEX($D$2:$D$13,5))))</f>
        <v>0.57978723404255317</v>
      </c>
      <c r="P88">
        <f>MIN(0.999,MAX(0.001,O88+INDEX($E$2:$E$13,6)*IF(Data!C298&lt;=INDEX($B$2:$B$13,6),INDEX($C$2:$C$13,6),INDEX($D$2:$D$13,6))))</f>
        <v>0.57978723404255317</v>
      </c>
      <c r="Q88">
        <f>MIN(0.999,MAX(0.001,P88+INDEX($E$2:$E$13,7)*IF(Data!C298&lt;=INDEX($B$2:$B$13,7),INDEX($C$2:$C$13,7),INDEX($D$2:$D$13,7))))</f>
        <v>0.57978723404255317</v>
      </c>
      <c r="R88">
        <f>MIN(0.999,MAX(0.001,Q88+INDEX($E$2:$E$13,8)*IF(Data!C298&lt;=INDEX($B$2:$B$13,8),INDEX($C$2:$C$13,8),INDEX($D$2:$D$13,8))))</f>
        <v>0.57978723404255317</v>
      </c>
      <c r="S88">
        <f>MIN(0.999,MAX(0.001,R88+INDEX($E$2:$E$13,9)*IF(Data!C298&lt;=INDEX($B$2:$B$13,9),INDEX($C$2:$C$13,9),INDEX($D$2:$D$13,9))))</f>
        <v>0.57978723404255317</v>
      </c>
      <c r="T88">
        <f>MIN(0.999,MAX(0.001,S88+INDEX($E$2:$E$13,10)*IF(Data!C298&lt;=INDEX($B$2:$B$13,10),INDEX($C$2:$C$13,10),INDEX($D$2:$D$13,10))))</f>
        <v>0.57978723404255317</v>
      </c>
      <c r="U88">
        <f>MIN(0.999,MAX(0.001,T88+INDEX($E$2:$E$13,11)*IF(Data!C298&lt;=INDEX($B$2:$B$13,11),INDEX($C$2:$C$13,11),INDEX($D$2:$D$13,11))))</f>
        <v>0.57978723404255317</v>
      </c>
      <c r="V88">
        <f>MIN(0.999,MAX(0.001,U88+INDEX($E$2:$E$13,12)*IF(Data!C298&lt;=INDEX($B$2:$B$13,12),INDEX($C$2:$C$13,12),INDEX($D$2:$D$13,12))))</f>
        <v>0.57978723404255317</v>
      </c>
      <c r="W88">
        <f>IF(V88&gt;=Controls!$B$2,1,0)</f>
        <v>1</v>
      </c>
      <c r="X88">
        <f t="shared" si="4"/>
        <v>0</v>
      </c>
    </row>
    <row r="89" spans="8:24" x14ac:dyDescent="0.2">
      <c r="H89">
        <f>Data!A299</f>
        <v>298</v>
      </c>
      <c r="I89">
        <f>Data!L299</f>
        <v>0</v>
      </c>
      <c r="J89">
        <f>IF(Data!C299&lt;=ClassTree!$L$2,ClassTree!$L$4,ClassTree!$L$6)</f>
        <v>0.57978723404255317</v>
      </c>
      <c r="K89">
        <f>MIN(0.999,MAX(0.001,J89+INDEX($E$2:$E$13,1)*IF(Data!C299&lt;=INDEX($B$2:$B$13,1),INDEX($C$2:$C$13,1),INDEX($D$2:$D$13,1))))</f>
        <v>0.57978723404255317</v>
      </c>
      <c r="L89">
        <f>MIN(0.999,MAX(0.001,K89+INDEX($E$2:$E$13,2)*IF(Data!C299&lt;=INDEX($B$2:$B$13,2),INDEX($C$2:$C$13,2),INDEX($D$2:$D$13,2))))</f>
        <v>0.57978723404255317</v>
      </c>
      <c r="M89">
        <f>MIN(0.999,MAX(0.001,L89+INDEX($E$2:$E$13,3)*IF(Data!C299&lt;=INDEX($B$2:$B$13,3),INDEX($C$2:$C$13,3),INDEX($D$2:$D$13,3))))</f>
        <v>0.57978723404255317</v>
      </c>
      <c r="N89">
        <f>MIN(0.999,MAX(0.001,M89+INDEX($E$2:$E$13,4)*IF(Data!C299&lt;=INDEX($B$2:$B$13,4),INDEX($C$2:$C$13,4),INDEX($D$2:$D$13,4))))</f>
        <v>0.57978723404255317</v>
      </c>
      <c r="O89">
        <f>MIN(0.999,MAX(0.001,N89+INDEX($E$2:$E$13,5)*IF(Data!C299&lt;=INDEX($B$2:$B$13,5),INDEX($C$2:$C$13,5),INDEX($D$2:$D$13,5))))</f>
        <v>0.57978723404255317</v>
      </c>
      <c r="P89">
        <f>MIN(0.999,MAX(0.001,O89+INDEX($E$2:$E$13,6)*IF(Data!C299&lt;=INDEX($B$2:$B$13,6),INDEX($C$2:$C$13,6),INDEX($D$2:$D$13,6))))</f>
        <v>0.57978723404255317</v>
      </c>
      <c r="Q89">
        <f>MIN(0.999,MAX(0.001,P89+INDEX($E$2:$E$13,7)*IF(Data!C299&lt;=INDEX($B$2:$B$13,7),INDEX($C$2:$C$13,7),INDEX($D$2:$D$13,7))))</f>
        <v>0.57978723404255317</v>
      </c>
      <c r="R89">
        <f>MIN(0.999,MAX(0.001,Q89+INDEX($E$2:$E$13,8)*IF(Data!C299&lt;=INDEX($B$2:$B$13,8),INDEX($C$2:$C$13,8),INDEX($D$2:$D$13,8))))</f>
        <v>0.57978723404255317</v>
      </c>
      <c r="S89">
        <f>MIN(0.999,MAX(0.001,R89+INDEX($E$2:$E$13,9)*IF(Data!C299&lt;=INDEX($B$2:$B$13,9),INDEX($C$2:$C$13,9),INDEX($D$2:$D$13,9))))</f>
        <v>0.57978723404255317</v>
      </c>
      <c r="T89">
        <f>MIN(0.999,MAX(0.001,S89+INDEX($E$2:$E$13,10)*IF(Data!C299&lt;=INDEX($B$2:$B$13,10),INDEX($C$2:$C$13,10),INDEX($D$2:$D$13,10))))</f>
        <v>0.57978723404255317</v>
      </c>
      <c r="U89">
        <f>MIN(0.999,MAX(0.001,T89+INDEX($E$2:$E$13,11)*IF(Data!C299&lt;=INDEX($B$2:$B$13,11),INDEX($C$2:$C$13,11),INDEX($D$2:$D$13,11))))</f>
        <v>0.57978723404255317</v>
      </c>
      <c r="V89">
        <f>MIN(0.999,MAX(0.001,U89+INDEX($E$2:$E$13,12)*IF(Data!C299&lt;=INDEX($B$2:$B$13,12),INDEX($C$2:$C$13,12),INDEX($D$2:$D$13,12))))</f>
        <v>0.57978723404255317</v>
      </c>
      <c r="W89">
        <f>IF(V89&gt;=Controls!$B$2,1,0)</f>
        <v>1</v>
      </c>
      <c r="X89">
        <f t="shared" si="4"/>
        <v>0</v>
      </c>
    </row>
    <row r="90" spans="8:24" x14ac:dyDescent="0.2">
      <c r="H90">
        <f>Data!A300</f>
        <v>299</v>
      </c>
      <c r="I90">
        <f>Data!L300</f>
        <v>1</v>
      </c>
      <c r="J90">
        <f>IF(Data!C300&lt;=ClassTree!$L$2,ClassTree!$L$4,ClassTree!$L$6)</f>
        <v>0.57978723404255317</v>
      </c>
      <c r="K90">
        <f>MIN(0.999,MAX(0.001,J90+INDEX($E$2:$E$13,1)*IF(Data!C300&lt;=INDEX($B$2:$B$13,1),INDEX($C$2:$C$13,1),INDEX($D$2:$D$13,1))))</f>
        <v>0.57978723404255317</v>
      </c>
      <c r="L90">
        <f>MIN(0.999,MAX(0.001,K90+INDEX($E$2:$E$13,2)*IF(Data!C300&lt;=INDEX($B$2:$B$13,2),INDEX($C$2:$C$13,2),INDEX($D$2:$D$13,2))))</f>
        <v>0.57978723404255317</v>
      </c>
      <c r="M90">
        <f>MIN(0.999,MAX(0.001,L90+INDEX($E$2:$E$13,3)*IF(Data!C300&lt;=INDEX($B$2:$B$13,3),INDEX($C$2:$C$13,3),INDEX($D$2:$D$13,3))))</f>
        <v>0.57978723404255317</v>
      </c>
      <c r="N90">
        <f>MIN(0.999,MAX(0.001,M90+INDEX($E$2:$E$13,4)*IF(Data!C300&lt;=INDEX($B$2:$B$13,4),INDEX($C$2:$C$13,4),INDEX($D$2:$D$13,4))))</f>
        <v>0.57978723404255317</v>
      </c>
      <c r="O90">
        <f>MIN(0.999,MAX(0.001,N90+INDEX($E$2:$E$13,5)*IF(Data!C300&lt;=INDEX($B$2:$B$13,5),INDEX($C$2:$C$13,5),INDEX($D$2:$D$13,5))))</f>
        <v>0.57978723404255317</v>
      </c>
      <c r="P90">
        <f>MIN(0.999,MAX(0.001,O90+INDEX($E$2:$E$13,6)*IF(Data!C300&lt;=INDEX($B$2:$B$13,6),INDEX($C$2:$C$13,6),INDEX($D$2:$D$13,6))))</f>
        <v>0.57978723404255317</v>
      </c>
      <c r="Q90">
        <f>MIN(0.999,MAX(0.001,P90+INDEX($E$2:$E$13,7)*IF(Data!C300&lt;=INDEX($B$2:$B$13,7),INDEX($C$2:$C$13,7),INDEX($D$2:$D$13,7))))</f>
        <v>0.57978723404255317</v>
      </c>
      <c r="R90">
        <f>MIN(0.999,MAX(0.001,Q90+INDEX($E$2:$E$13,8)*IF(Data!C300&lt;=INDEX($B$2:$B$13,8),INDEX($C$2:$C$13,8),INDEX($D$2:$D$13,8))))</f>
        <v>0.57978723404255317</v>
      </c>
      <c r="S90">
        <f>MIN(0.999,MAX(0.001,R90+INDEX($E$2:$E$13,9)*IF(Data!C300&lt;=INDEX($B$2:$B$13,9),INDEX($C$2:$C$13,9),INDEX($D$2:$D$13,9))))</f>
        <v>0.57978723404255317</v>
      </c>
      <c r="T90">
        <f>MIN(0.999,MAX(0.001,S90+INDEX($E$2:$E$13,10)*IF(Data!C300&lt;=INDEX($B$2:$B$13,10),INDEX($C$2:$C$13,10),INDEX($D$2:$D$13,10))))</f>
        <v>0.57978723404255317</v>
      </c>
      <c r="U90">
        <f>MIN(0.999,MAX(0.001,T90+INDEX($E$2:$E$13,11)*IF(Data!C300&lt;=INDEX($B$2:$B$13,11),INDEX($C$2:$C$13,11),INDEX($D$2:$D$13,11))))</f>
        <v>0.57978723404255317</v>
      </c>
      <c r="V90">
        <f>MIN(0.999,MAX(0.001,U90+INDEX($E$2:$E$13,12)*IF(Data!C300&lt;=INDEX($B$2:$B$13,12),INDEX($C$2:$C$13,12),INDEX($D$2:$D$13,12))))</f>
        <v>0.57978723404255317</v>
      </c>
      <c r="W90">
        <f>IF(V90&gt;=Controls!$B$2,1,0)</f>
        <v>1</v>
      </c>
      <c r="X90">
        <f t="shared" si="4"/>
        <v>1</v>
      </c>
    </row>
    <row r="91" spans="8:24" x14ac:dyDescent="0.2">
      <c r="H91">
        <f>Data!A301</f>
        <v>300</v>
      </c>
      <c r="I91">
        <f>Data!L301</f>
        <v>0</v>
      </c>
      <c r="J91">
        <f>IF(Data!C301&lt;=ClassTree!$L$2,ClassTree!$L$4,ClassTree!$L$6)</f>
        <v>0.57978723404255317</v>
      </c>
      <c r="K91">
        <f>MIN(0.999,MAX(0.001,J91+INDEX($E$2:$E$13,1)*IF(Data!C301&lt;=INDEX($B$2:$B$13,1),INDEX($C$2:$C$13,1),INDEX($D$2:$D$13,1))))</f>
        <v>0.57978723404255317</v>
      </c>
      <c r="L91">
        <f>MIN(0.999,MAX(0.001,K91+INDEX($E$2:$E$13,2)*IF(Data!C301&lt;=INDEX($B$2:$B$13,2),INDEX($C$2:$C$13,2),INDEX($D$2:$D$13,2))))</f>
        <v>0.57978723404255317</v>
      </c>
      <c r="M91">
        <f>MIN(0.999,MAX(0.001,L91+INDEX($E$2:$E$13,3)*IF(Data!C301&lt;=INDEX($B$2:$B$13,3),INDEX($C$2:$C$13,3),INDEX($D$2:$D$13,3))))</f>
        <v>0.57978723404255317</v>
      </c>
      <c r="N91">
        <f>MIN(0.999,MAX(0.001,M91+INDEX($E$2:$E$13,4)*IF(Data!C301&lt;=INDEX($B$2:$B$13,4),INDEX($C$2:$C$13,4),INDEX($D$2:$D$13,4))))</f>
        <v>0.57978723404255317</v>
      </c>
      <c r="O91">
        <f>MIN(0.999,MAX(0.001,N91+INDEX($E$2:$E$13,5)*IF(Data!C301&lt;=INDEX($B$2:$B$13,5),INDEX($C$2:$C$13,5),INDEX($D$2:$D$13,5))))</f>
        <v>0.57978723404255317</v>
      </c>
      <c r="P91">
        <f>MIN(0.999,MAX(0.001,O91+INDEX($E$2:$E$13,6)*IF(Data!C301&lt;=INDEX($B$2:$B$13,6),INDEX($C$2:$C$13,6),INDEX($D$2:$D$13,6))))</f>
        <v>0.57978723404255317</v>
      </c>
      <c r="Q91">
        <f>MIN(0.999,MAX(0.001,P91+INDEX($E$2:$E$13,7)*IF(Data!C301&lt;=INDEX($B$2:$B$13,7),INDEX($C$2:$C$13,7),INDEX($D$2:$D$13,7))))</f>
        <v>0.57978723404255317</v>
      </c>
      <c r="R91">
        <f>MIN(0.999,MAX(0.001,Q91+INDEX($E$2:$E$13,8)*IF(Data!C301&lt;=INDEX($B$2:$B$13,8),INDEX($C$2:$C$13,8),INDEX($D$2:$D$13,8))))</f>
        <v>0.57978723404255317</v>
      </c>
      <c r="S91">
        <f>MIN(0.999,MAX(0.001,R91+INDEX($E$2:$E$13,9)*IF(Data!C301&lt;=INDEX($B$2:$B$13,9),INDEX($C$2:$C$13,9),INDEX($D$2:$D$13,9))))</f>
        <v>0.57978723404255317</v>
      </c>
      <c r="T91">
        <f>MIN(0.999,MAX(0.001,S91+INDEX($E$2:$E$13,10)*IF(Data!C301&lt;=INDEX($B$2:$B$13,10),INDEX($C$2:$C$13,10),INDEX($D$2:$D$13,10))))</f>
        <v>0.57978723404255317</v>
      </c>
      <c r="U91">
        <f>MIN(0.999,MAX(0.001,T91+INDEX($E$2:$E$13,11)*IF(Data!C301&lt;=INDEX($B$2:$B$13,11),INDEX($C$2:$C$13,11),INDEX($D$2:$D$13,11))))</f>
        <v>0.57978723404255317</v>
      </c>
      <c r="V91">
        <f>MIN(0.999,MAX(0.001,U91+INDEX($E$2:$E$13,12)*IF(Data!C301&lt;=INDEX($B$2:$B$13,12),INDEX($C$2:$C$13,12),INDEX($D$2:$D$13,12))))</f>
        <v>0.57978723404255317</v>
      </c>
      <c r="W91">
        <f>IF(V91&gt;=Controls!$B$2,1,0)</f>
        <v>1</v>
      </c>
      <c r="X91">
        <f t="shared" si="4"/>
        <v>0</v>
      </c>
    </row>
    <row r="94" spans="8:24" x14ac:dyDescent="0.2">
      <c r="H94" t="s">
        <v>166</v>
      </c>
      <c r="I94">
        <f>AVERAGE(X2:X91)</f>
        <v>0.57777777777777772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51"/>
  <sheetViews>
    <sheetView workbookViewId="0"/>
  </sheetViews>
  <sheetFormatPr baseColWidth="10" defaultColWidth="8.83203125" defaultRowHeight="15" x14ac:dyDescent="0.2"/>
  <cols>
    <col min="1" max="6" width="13" customWidth="1"/>
    <col min="8" max="8" width="15" customWidth="1"/>
    <col min="12" max="12" width="26" customWidth="1"/>
    <col min="13" max="13" width="18" customWidth="1"/>
    <col min="14" max="14" width="19" customWidth="1"/>
    <col min="15" max="15" width="15" customWidth="1"/>
    <col min="16" max="16" width="21" customWidth="1"/>
    <col min="18" max="18" width="17" customWidth="1"/>
  </cols>
  <sheetData>
    <row r="1" spans="1:18" x14ac:dyDescent="0.2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H1" t="s">
        <v>173</v>
      </c>
      <c r="L1" t="s">
        <v>174</v>
      </c>
      <c r="M1" t="s">
        <v>175</v>
      </c>
      <c r="N1" t="s">
        <v>176</v>
      </c>
      <c r="O1" t="s">
        <v>91</v>
      </c>
      <c r="P1" t="s">
        <v>177</v>
      </c>
      <c r="R1" t="s">
        <v>178</v>
      </c>
    </row>
    <row r="2" spans="1:18" x14ac:dyDescent="0.2">
      <c r="A2" t="s">
        <v>179</v>
      </c>
      <c r="B2">
        <v>0</v>
      </c>
      <c r="C2">
        <v>1</v>
      </c>
      <c r="D2">
        <f>1-COUNTIFS(Data!$M$2:$M$301,"Test",Data!$L$2:$L$301,IF(AVERAGEIFS(Data!$L$2:$L$301,Data!$M$2:$M$301,"Train")&gt;=0.5,1,0))/COUNTIF(Data!$M$2:$M$301,"Test")</f>
        <v>0.47777777777777775</v>
      </c>
      <c r="E2">
        <f>SQRT(D2*(1-D2)/COUNTIF(Data!$M$2:$M$301,"Test"))</f>
        <v>5.2652547985143572E-2</v>
      </c>
      <c r="F2">
        <f>1</f>
        <v>1</v>
      </c>
      <c r="H2">
        <f>INDEX(F2:F4,MATCH(MIN(D2:D4),D2:D4,0))</f>
        <v>5.5555555555555469E-2</v>
      </c>
      <c r="L2">
        <f>Data!B2</f>
        <v>2006</v>
      </c>
      <c r="M2">
        <f>IF(COUNTIFS(Data!$M$2:$M$301,"Train",Data!$C$2:$C$301,"&lt;="&amp;ClassTree!$L$2,Data!$B$2:$B$301,"&lt;="&amp;L2)=0,0,1-(SUMIFS(Data!$L$2:$L$301,Data!$M$2:$M$301,"Train",Data!$C$2:$C$301,"&lt;="&amp;ClassTree!$L$2,Data!$B$2:$B$301,"&lt;="&amp;L2)/COUNTIFS(Data!$M$2:$M$301,"Train",Data!$C$2:$C$301,"&lt;="&amp;ClassTree!$L$2,Data!$B$2:$B$301,"&lt;="&amp;L2))^2-(1-SUMIFS(Data!$L$2:$L$301,Data!$M$2:$M$301,"Train",Data!$C$2:$C$301,"&lt;="&amp;ClassTree!$L$2,Data!$B$2:$B$301,"&lt;="&amp;L2)/COUNTIFS(Data!$M$2:$M$301,"Train",Data!$C$2:$C$301,"&lt;="&amp;ClassTree!$L$2,Data!$B$2:$B$301,"&lt;="&amp;L2))^2)</f>
        <v>9.9722991689750629E-2</v>
      </c>
      <c r="N2">
        <f>IF(COUNTIFS(Data!$M$2:$M$301,"Train",Data!$C$2:$C$301,"&gt;"&amp;ClassTree!$L$2,Data!$B$2:$B$301,"&gt;"&amp;L2)=0,0,1-(SUMIFS(Data!$L$2:$L$301,Data!$M$2:$M$301,"Train",Data!$C$2:$C$301,"&gt;"&amp;ClassTree!$L$2,Data!$B$2:$B$301,"&gt;"&amp;L2)/COUNTIFS(Data!$M$2:$M$301,"Train",Data!$C$2:$C$301,"&gt;"&amp;ClassTree!$L$2,Data!$B$2:$B$301,"&gt;"&amp;L2))^2-(1-SUMIFS(Data!$L$2:$L$301,Data!$M$2:$M$301,"Train",Data!$C$2:$C$301,"&gt;"&amp;ClassTree!$L$2,Data!$B$2:$B$301,"&gt;"&amp;L2)/COUNTIFS(Data!$M$2:$M$301,"Train",Data!$C$2:$C$301,"&gt;"&amp;ClassTree!$L$2,Data!$B$2:$B$301,"&gt;"&amp;L2))^2)</f>
        <v>0.46208779668136946</v>
      </c>
      <c r="O2">
        <f>((COUNTIFS(Data!$M$2:$M$301,"Train",Data!$C$2:$C$301,"&lt;="&amp;ClassTree!$L$2)*M2)+(COUNTIFS(Data!$M$2:$M$301,"Train",Data!$C$2:$C$301,"&gt;"&amp;ClassTree!$L$2)*N2))/COUNTIF(Data!$M$2:$M$301,"Train")</f>
        <v>0.42412576949177128</v>
      </c>
      <c r="P2">
        <f>IF(AND(COUNTIFS(Data!$M$2:$M$301,"Train",Data!$B$2:$B$301,"&lt;="&amp;L2)&gt;0,COUNTIFS(Data!$M$2:$M$301,"Train",Data!$B$2:$B$301,"&gt;"&amp;L2)&gt;0),O2,1E+99)</f>
        <v>0.42412576949177128</v>
      </c>
      <c r="R2">
        <f>INDEX(L2:L151,MATCH(MIN(P2:P151),P2:P151,0))</f>
        <v>2006</v>
      </c>
    </row>
    <row r="3" spans="1:18" x14ac:dyDescent="0.2">
      <c r="A3" t="s">
        <v>180</v>
      </c>
      <c r="B3">
        <v>1</v>
      </c>
      <c r="C3">
        <f>1-ClassTree!O94</f>
        <v>0.42222222222222228</v>
      </c>
      <c r="D3">
        <f>1-ClassTree!O94</f>
        <v>0.42222222222222228</v>
      </c>
      <c r="E3">
        <f>SQRT(D3*(1-D3)/COUNTIF(Data!$M$2:$M$301,"Test"))</f>
        <v>5.2063061898683198E-2</v>
      </c>
      <c r="F3">
        <f>MAX(0.0001,D2-D3)</f>
        <v>5.5555555555555469E-2</v>
      </c>
      <c r="H3" t="s">
        <v>181</v>
      </c>
      <c r="L3">
        <f>Data!B3</f>
        <v>2004</v>
      </c>
      <c r="M3">
        <f>IF(COUNTIFS(Data!$M$2:$M$301,"Train",Data!$C$2:$C$301,"&lt;="&amp;ClassTree!$L$2,Data!$B$2:$B$301,"&lt;="&amp;L3)=0,0,1-(SUMIFS(Data!$L$2:$L$301,Data!$M$2:$M$301,"Train",Data!$C$2:$C$301,"&lt;="&amp;ClassTree!$L$2,Data!$B$2:$B$301,"&lt;="&amp;L3)/COUNTIFS(Data!$M$2:$M$301,"Train",Data!$C$2:$C$301,"&lt;="&amp;ClassTree!$L$2,Data!$B$2:$B$301,"&lt;="&amp;L3))^2-(1-SUMIFS(Data!$L$2:$L$301,Data!$M$2:$M$301,"Train",Data!$C$2:$C$301,"&lt;="&amp;ClassTree!$L$2,Data!$B$2:$B$301,"&lt;="&amp;L3)/COUNTIFS(Data!$M$2:$M$301,"Train",Data!$C$2:$C$301,"&lt;="&amp;ClassTree!$L$2,Data!$B$2:$B$301,"&lt;="&amp;L3))^2)</f>
        <v>0.17999999999999994</v>
      </c>
      <c r="N3">
        <f>IF(COUNTIFS(Data!$M$2:$M$301,"Train",Data!$C$2:$C$301,"&gt;"&amp;ClassTree!$L$2,Data!$B$2:$B$301,"&gt;"&amp;L3)=0,0,1-(SUMIFS(Data!$L$2:$L$301,Data!$M$2:$M$301,"Train",Data!$C$2:$C$301,"&gt;"&amp;ClassTree!$L$2,Data!$B$2:$B$301,"&gt;"&amp;L3)/COUNTIFS(Data!$M$2:$M$301,"Train",Data!$C$2:$C$301,"&gt;"&amp;ClassTree!$L$2,Data!$B$2:$B$301,"&gt;"&amp;L3))^2-(1-SUMIFS(Data!$L$2:$L$301,Data!$M$2:$M$301,"Train",Data!$C$2:$C$301,"&gt;"&amp;ClassTree!$L$2,Data!$B$2:$B$301,"&gt;"&amp;L3)/COUNTIFS(Data!$M$2:$M$301,"Train",Data!$C$2:$C$301,"&gt;"&amp;ClassTree!$L$2,Data!$B$2:$B$301,"&gt;"&amp;L3))^2)</f>
        <v>0.46924800000000005</v>
      </c>
      <c r="O3">
        <f>((COUNTIFS(Data!$M$2:$M$301,"Train",Data!$C$2:$C$301,"&lt;="&amp;ClassTree!$L$2)*M3)+(COUNTIFS(Data!$M$2:$M$301,"Train",Data!$C$2:$C$301,"&gt;"&amp;ClassTree!$L$2)*N3))/COUNTIF(Data!$M$2:$M$301,"Train")</f>
        <v>0.43894582857142855</v>
      </c>
      <c r="P3">
        <f>IF(AND(COUNTIFS(Data!$M$2:$M$301,"Train",Data!$B$2:$B$301,"&lt;="&amp;L3)&gt;0,COUNTIFS(Data!$M$2:$M$301,"Train",Data!$B$2:$B$301,"&gt;"&amp;L3)&gt;0),O3,1E+99)</f>
        <v>0.43894582857142855</v>
      </c>
      <c r="R3" t="s">
        <v>182</v>
      </c>
    </row>
    <row r="4" spans="1:18" x14ac:dyDescent="0.2">
      <c r="A4" t="s">
        <v>183</v>
      </c>
      <c r="B4">
        <v>3</v>
      </c>
      <c r="C4">
        <f>MAX(0.0001,C3*0.9)</f>
        <v>0.38000000000000006</v>
      </c>
      <c r="D4">
        <f>1-R4</f>
        <v>1</v>
      </c>
      <c r="E4">
        <f>SQRT(D4*(1-D4)/COUNTIF(Data!$M$2:$M$301,"Test"))</f>
        <v>0</v>
      </c>
      <c r="F4">
        <f>MAX(0.0001,(D3-D4)/2)</f>
        <v>1E-4</v>
      </c>
      <c r="H4" t="str">
        <f>INDEX(A2:A4,MATCH(MIN(D2:D4),D2:D4,0))</f>
        <v>stump</v>
      </c>
      <c r="L4">
        <f>Data!B4</f>
        <v>2003</v>
      </c>
      <c r="M4">
        <f>IF(COUNTIFS(Data!$M$2:$M$301,"Train",Data!$C$2:$C$301,"&lt;="&amp;ClassTree!$L$2,Data!$B$2:$B$301,"&lt;="&amp;L4)=0,0,1-(SUMIFS(Data!$L$2:$L$301,Data!$M$2:$M$301,"Train",Data!$C$2:$C$301,"&lt;="&amp;ClassTree!$L$2,Data!$B$2:$B$301,"&lt;="&amp;L4)/COUNTIFS(Data!$M$2:$M$301,"Train",Data!$C$2:$C$301,"&lt;="&amp;ClassTree!$L$2,Data!$B$2:$B$301,"&lt;="&amp;L4))^2-(1-SUMIFS(Data!$L$2:$L$301,Data!$M$2:$M$301,"Train",Data!$C$2:$C$301,"&lt;="&amp;ClassTree!$L$2,Data!$B$2:$B$301,"&lt;="&amp;L4)/COUNTIFS(Data!$M$2:$M$301,"Train",Data!$C$2:$C$301,"&lt;="&amp;ClassTree!$L$2,Data!$B$2:$B$301,"&lt;="&amp;L4))^2)</f>
        <v>0</v>
      </c>
      <c r="N4">
        <f>IF(COUNTIFS(Data!$M$2:$M$301,"Train",Data!$C$2:$C$301,"&gt;"&amp;ClassTree!$L$2,Data!$B$2:$B$301,"&gt;"&amp;L4)=0,0,1-(SUMIFS(Data!$L$2:$L$301,Data!$M$2:$M$301,"Train",Data!$C$2:$C$301,"&gt;"&amp;ClassTree!$L$2,Data!$B$2:$B$301,"&gt;"&amp;L4)/COUNTIFS(Data!$M$2:$M$301,"Train",Data!$C$2:$C$301,"&gt;"&amp;ClassTree!$L$2,Data!$B$2:$B$301,"&gt;"&amp;L4))^2-(1-SUMIFS(Data!$L$2:$L$301,Data!$M$2:$M$301,"Train",Data!$C$2:$C$301,"&gt;"&amp;ClassTree!$L$2,Data!$B$2:$B$301,"&gt;"&amp;L4)/COUNTIFS(Data!$M$2:$M$301,"Train",Data!$C$2:$C$301,"&gt;"&amp;ClassTree!$L$2,Data!$B$2:$B$301,"&gt;"&amp;L4))^2)</f>
        <v>0.48347107438016523</v>
      </c>
      <c r="O4">
        <f>((COUNTIFS(Data!$M$2:$M$301,"Train",Data!$C$2:$C$301,"&lt;="&amp;ClassTree!$L$2)*M4)+(COUNTIFS(Data!$M$2:$M$301,"Train",Data!$C$2:$C$301,"&gt;"&amp;ClassTree!$L$2)*N4))/COUNTIF(Data!$M$2:$M$301,"Train")</f>
        <v>0.43282172373081462</v>
      </c>
      <c r="P4">
        <f>IF(AND(COUNTIFS(Data!$M$2:$M$301,"Train",Data!$B$2:$B$301,"&lt;="&amp;L4)&gt;0,COUNTIFS(Data!$M$2:$M$301,"Train",Data!$B$2:$B$301,"&gt;"&amp;L4)&gt;0),O4,1E+99)</f>
        <v>0.43282172373081462</v>
      </c>
    </row>
    <row r="5" spans="1:18" x14ac:dyDescent="0.2">
      <c r="H5" t="s">
        <v>184</v>
      </c>
      <c r="L5">
        <f>Data!B5</f>
        <v>2003</v>
      </c>
      <c r="M5">
        <f>IF(COUNTIFS(Data!$M$2:$M$301,"Train",Data!$C$2:$C$301,"&lt;="&amp;ClassTree!$L$2,Data!$B$2:$B$301,"&lt;="&amp;L5)=0,0,1-(SUMIFS(Data!$L$2:$L$301,Data!$M$2:$M$301,"Train",Data!$C$2:$C$301,"&lt;="&amp;ClassTree!$L$2,Data!$B$2:$B$301,"&lt;="&amp;L5)/COUNTIFS(Data!$M$2:$M$301,"Train",Data!$C$2:$C$301,"&lt;="&amp;ClassTree!$L$2,Data!$B$2:$B$301,"&lt;="&amp;L5))^2-(1-SUMIFS(Data!$L$2:$L$301,Data!$M$2:$M$301,"Train",Data!$C$2:$C$301,"&lt;="&amp;ClassTree!$L$2,Data!$B$2:$B$301,"&lt;="&amp;L5)/COUNTIFS(Data!$M$2:$M$301,"Train",Data!$C$2:$C$301,"&lt;="&amp;ClassTree!$L$2,Data!$B$2:$B$301,"&lt;="&amp;L5))^2)</f>
        <v>0</v>
      </c>
      <c r="N5">
        <f>IF(COUNTIFS(Data!$M$2:$M$301,"Train",Data!$C$2:$C$301,"&gt;"&amp;ClassTree!$L$2,Data!$B$2:$B$301,"&gt;"&amp;L5)=0,0,1-(SUMIFS(Data!$L$2:$L$301,Data!$M$2:$M$301,"Train",Data!$C$2:$C$301,"&gt;"&amp;ClassTree!$L$2,Data!$B$2:$B$301,"&gt;"&amp;L5)/COUNTIFS(Data!$M$2:$M$301,"Train",Data!$C$2:$C$301,"&gt;"&amp;ClassTree!$L$2,Data!$B$2:$B$301,"&gt;"&amp;L5))^2-(1-SUMIFS(Data!$L$2:$L$301,Data!$M$2:$M$301,"Train",Data!$C$2:$C$301,"&gt;"&amp;ClassTree!$L$2,Data!$B$2:$B$301,"&gt;"&amp;L5)/COUNTIFS(Data!$M$2:$M$301,"Train",Data!$C$2:$C$301,"&gt;"&amp;ClassTree!$L$2,Data!$B$2:$B$301,"&gt;"&amp;L5))^2)</f>
        <v>0.48347107438016523</v>
      </c>
      <c r="O5">
        <f>((COUNTIFS(Data!$M$2:$M$301,"Train",Data!$C$2:$C$301,"&lt;="&amp;ClassTree!$L$2)*M5)+(COUNTIFS(Data!$M$2:$M$301,"Train",Data!$C$2:$C$301,"&gt;"&amp;ClassTree!$L$2)*N5))/COUNTIF(Data!$M$2:$M$301,"Train")</f>
        <v>0.43282172373081462</v>
      </c>
      <c r="P5">
        <f>IF(AND(COUNTIFS(Data!$M$2:$M$301,"Train",Data!$B$2:$B$301,"&lt;="&amp;L5)&gt;0,COUNTIFS(Data!$M$2:$M$301,"Train",Data!$B$2:$B$301,"&gt;"&amp;L5)&gt;0),O5,1E+99)</f>
        <v>0.43282172373081462</v>
      </c>
    </row>
    <row r="6" spans="1:18" x14ac:dyDescent="0.2">
      <c r="H6" t="str">
        <f>IF(Controls!$B$7="",H4,IF(Controls!$B$7&gt;=F2,"root",IF(Controls!$B$7&gt;=F3,"stump","depth2_age_year")))</f>
        <v>stump</v>
      </c>
      <c r="L6">
        <f>Data!B6</f>
        <v>2005</v>
      </c>
      <c r="M6">
        <f>IF(COUNTIFS(Data!$M$2:$M$301,"Train",Data!$C$2:$C$301,"&lt;="&amp;ClassTree!$L$2,Data!$B$2:$B$301,"&lt;="&amp;L6)=0,0,1-(SUMIFS(Data!$L$2:$L$301,Data!$M$2:$M$301,"Train",Data!$C$2:$C$301,"&lt;="&amp;ClassTree!$L$2,Data!$B$2:$B$301,"&lt;="&amp;L6)/COUNTIFS(Data!$M$2:$M$301,"Train",Data!$C$2:$C$301,"&lt;="&amp;ClassTree!$L$2,Data!$B$2:$B$301,"&lt;="&amp;L6))^2-(1-SUMIFS(Data!$L$2:$L$301,Data!$M$2:$M$301,"Train",Data!$C$2:$C$301,"&lt;="&amp;ClassTree!$L$2,Data!$B$2:$B$301,"&lt;="&amp;L6)/COUNTIFS(Data!$M$2:$M$301,"Train",Data!$C$2:$C$301,"&lt;="&amp;ClassTree!$L$2,Data!$B$2:$B$301,"&lt;="&amp;L6))^2)</f>
        <v>0.1527777777777779</v>
      </c>
      <c r="N6">
        <f>IF(COUNTIFS(Data!$M$2:$M$301,"Train",Data!$C$2:$C$301,"&gt;"&amp;ClassTree!$L$2,Data!$B$2:$B$301,"&gt;"&amp;L6)=0,0,1-(SUMIFS(Data!$L$2:$L$301,Data!$M$2:$M$301,"Train",Data!$C$2:$C$301,"&gt;"&amp;ClassTree!$L$2,Data!$B$2:$B$301,"&gt;"&amp;L6)/COUNTIFS(Data!$M$2:$M$301,"Train",Data!$C$2:$C$301,"&gt;"&amp;ClassTree!$L$2,Data!$B$2:$B$301,"&gt;"&amp;L6))^2-(1-SUMIFS(Data!$L$2:$L$301,Data!$M$2:$M$301,"Train",Data!$C$2:$C$301,"&gt;"&amp;ClassTree!$L$2,Data!$B$2:$B$301,"&gt;"&amp;L6)/COUNTIFS(Data!$M$2:$M$301,"Train",Data!$C$2:$C$301,"&gt;"&amp;ClassTree!$L$2,Data!$B$2:$B$301,"&gt;"&amp;L6))^2)</f>
        <v>0.45877855112243893</v>
      </c>
      <c r="O6">
        <f>((COUNTIFS(Data!$M$2:$M$301,"Train",Data!$C$2:$C$301,"&lt;="&amp;ClassTree!$L$2)*M6)+(COUNTIFS(Data!$M$2:$M$301,"Train",Data!$C$2:$C$301,"&gt;"&amp;ClassTree!$L$2)*N6))/COUNTIF(Data!$M$2:$M$301,"Train")</f>
        <v>0.42672132724823636</v>
      </c>
      <c r="P6">
        <f>IF(AND(COUNTIFS(Data!$M$2:$M$301,"Train",Data!$B$2:$B$301,"&lt;="&amp;L6)&gt;0,COUNTIFS(Data!$M$2:$M$301,"Train",Data!$B$2:$B$301,"&gt;"&amp;L6)&gt;0),O6,1E+99)</f>
        <v>0.42672132724823636</v>
      </c>
    </row>
    <row r="7" spans="1:18" x14ac:dyDescent="0.2">
      <c r="L7">
        <f>Data!B7</f>
        <v>2008</v>
      </c>
      <c r="M7">
        <f>IF(COUNTIFS(Data!$M$2:$M$301,"Train",Data!$C$2:$C$301,"&lt;="&amp;ClassTree!$L$2,Data!$B$2:$B$301,"&lt;="&amp;L7)=0,0,1-(SUMIFS(Data!$L$2:$L$301,Data!$M$2:$M$301,"Train",Data!$C$2:$C$301,"&lt;="&amp;ClassTree!$L$2,Data!$B$2:$B$301,"&lt;="&amp;L7)/COUNTIFS(Data!$M$2:$M$301,"Train",Data!$C$2:$C$301,"&lt;="&amp;ClassTree!$L$2,Data!$B$2:$B$301,"&lt;="&amp;L7))^2-(1-SUMIFS(Data!$L$2:$L$301,Data!$M$2:$M$301,"Train",Data!$C$2:$C$301,"&lt;="&amp;ClassTree!$L$2,Data!$B$2:$B$301,"&lt;="&amp;L7)/COUNTIFS(Data!$M$2:$M$301,"Train",Data!$C$2:$C$301,"&lt;="&amp;ClassTree!$L$2,Data!$B$2:$B$301,"&lt;="&amp;L7))^2)</f>
        <v>8.6776859504132053E-2</v>
      </c>
      <c r="N7">
        <f>IF(COUNTIFS(Data!$M$2:$M$301,"Train",Data!$C$2:$C$301,"&gt;"&amp;ClassTree!$L$2,Data!$B$2:$B$301,"&gt;"&amp;L7)=0,0,1-(SUMIFS(Data!$L$2:$L$301,Data!$M$2:$M$301,"Train",Data!$C$2:$C$301,"&gt;"&amp;ClassTree!$L$2,Data!$B$2:$B$301,"&gt;"&amp;L7)/COUNTIFS(Data!$M$2:$M$301,"Train",Data!$C$2:$C$301,"&gt;"&amp;ClassTree!$L$2,Data!$B$2:$B$301,"&gt;"&amp;L7))^2-(1-SUMIFS(Data!$L$2:$L$301,Data!$M$2:$M$301,"Train",Data!$C$2:$C$301,"&gt;"&amp;ClassTree!$L$2,Data!$B$2:$B$301,"&gt;"&amp;L7)/COUNTIFS(Data!$M$2:$M$301,"Train",Data!$C$2:$C$301,"&gt;"&amp;ClassTree!$L$2,Data!$B$2:$B$301,"&gt;"&amp;L7))^2)</f>
        <v>0.47337278106508873</v>
      </c>
      <c r="O7">
        <f>((COUNTIFS(Data!$M$2:$M$301,"Train",Data!$C$2:$C$301,"&lt;="&amp;ClassTree!$L$2)*M7)+(COUNTIFS(Data!$M$2:$M$301,"Train",Data!$C$2:$C$301,"&gt;"&amp;ClassTree!$L$2)*N7))/COUNTIF(Data!$M$2:$M$301,"Train")</f>
        <v>0.432872255949179</v>
      </c>
      <c r="P7">
        <f>IF(AND(COUNTIFS(Data!$M$2:$M$301,"Train",Data!$B$2:$B$301,"&lt;="&amp;L7)&gt;0,COUNTIFS(Data!$M$2:$M$301,"Train",Data!$B$2:$B$301,"&gt;"&amp;L7)&gt;0),O7,1E+99)</f>
        <v>0.432872255949179</v>
      </c>
    </row>
    <row r="8" spans="1:18" x14ac:dyDescent="0.2">
      <c r="L8">
        <f>Data!B8</f>
        <v>2009</v>
      </c>
      <c r="M8">
        <f>IF(COUNTIFS(Data!$M$2:$M$301,"Train",Data!$C$2:$C$301,"&lt;="&amp;ClassTree!$L$2,Data!$B$2:$B$301,"&lt;="&amp;L8)=0,0,1-(SUMIFS(Data!$L$2:$L$301,Data!$M$2:$M$301,"Train",Data!$C$2:$C$301,"&lt;="&amp;ClassTree!$L$2,Data!$B$2:$B$301,"&lt;="&amp;L8)/COUNTIFS(Data!$M$2:$M$301,"Train",Data!$C$2:$C$301,"&lt;="&amp;ClassTree!$L$2,Data!$B$2:$B$301,"&lt;="&amp;L8))^2-(1-SUMIFS(Data!$L$2:$L$301,Data!$M$2:$M$301,"Train",Data!$C$2:$C$301,"&lt;="&amp;ClassTree!$L$2,Data!$B$2:$B$301,"&lt;="&amp;L8)/COUNTIFS(Data!$M$2:$M$301,"Train",Data!$C$2:$C$301,"&lt;="&amp;ClassTree!$L$2,Data!$B$2:$B$301,"&lt;="&amp;L8))^2)</f>
        <v>8.6776859504132053E-2</v>
      </c>
      <c r="N8">
        <f>IF(COUNTIFS(Data!$M$2:$M$301,"Train",Data!$C$2:$C$301,"&gt;"&amp;ClassTree!$L$2,Data!$B$2:$B$301,"&gt;"&amp;L8)=0,0,1-(SUMIFS(Data!$L$2:$L$301,Data!$M$2:$M$301,"Train",Data!$C$2:$C$301,"&gt;"&amp;ClassTree!$L$2,Data!$B$2:$B$301,"&gt;"&amp;L8)/COUNTIFS(Data!$M$2:$M$301,"Train",Data!$C$2:$C$301,"&gt;"&amp;ClassTree!$L$2,Data!$B$2:$B$301,"&gt;"&amp;L8))^2-(1-SUMIFS(Data!$L$2:$L$301,Data!$M$2:$M$301,"Train",Data!$C$2:$C$301,"&gt;"&amp;ClassTree!$L$2,Data!$B$2:$B$301,"&gt;"&amp;L8)/COUNTIFS(Data!$M$2:$M$301,"Train",Data!$C$2:$C$301,"&gt;"&amp;ClassTree!$L$2,Data!$B$2:$B$301,"&gt;"&amp;L8))^2)</f>
        <v>0</v>
      </c>
      <c r="O8">
        <f>((COUNTIFS(Data!$M$2:$M$301,"Train",Data!$C$2:$C$301,"&lt;="&amp;ClassTree!$L$2)*M8)+(COUNTIFS(Data!$M$2:$M$301,"Train",Data!$C$2:$C$301,"&gt;"&amp;ClassTree!$L$2)*N8))/COUNTIF(Data!$M$2:$M$301,"Train")</f>
        <v>9.0909090909090731E-3</v>
      </c>
      <c r="P8">
        <f>IF(AND(COUNTIFS(Data!$M$2:$M$301,"Train",Data!$B$2:$B$301,"&lt;="&amp;L8)&gt;0,COUNTIFS(Data!$M$2:$M$301,"Train",Data!$B$2:$B$301,"&gt;"&amp;L8)&gt;0),O8,1E+99)</f>
        <v>9.9999999999999997E+98</v>
      </c>
    </row>
    <row r="9" spans="1:18" x14ac:dyDescent="0.2">
      <c r="L9">
        <f>Data!B9</f>
        <v>2008</v>
      </c>
      <c r="M9">
        <f>IF(COUNTIFS(Data!$M$2:$M$301,"Train",Data!$C$2:$C$301,"&lt;="&amp;ClassTree!$L$2,Data!$B$2:$B$301,"&lt;="&amp;L9)=0,0,1-(SUMIFS(Data!$L$2:$L$301,Data!$M$2:$M$301,"Train",Data!$C$2:$C$301,"&lt;="&amp;ClassTree!$L$2,Data!$B$2:$B$301,"&lt;="&amp;L9)/COUNTIFS(Data!$M$2:$M$301,"Train",Data!$C$2:$C$301,"&lt;="&amp;ClassTree!$L$2,Data!$B$2:$B$301,"&lt;="&amp;L9))^2-(1-SUMIFS(Data!$L$2:$L$301,Data!$M$2:$M$301,"Train",Data!$C$2:$C$301,"&lt;="&amp;ClassTree!$L$2,Data!$B$2:$B$301,"&lt;="&amp;L9)/COUNTIFS(Data!$M$2:$M$301,"Train",Data!$C$2:$C$301,"&lt;="&amp;ClassTree!$L$2,Data!$B$2:$B$301,"&lt;="&amp;L9))^2)</f>
        <v>8.6776859504132053E-2</v>
      </c>
      <c r="N9">
        <f>IF(COUNTIFS(Data!$M$2:$M$301,"Train",Data!$C$2:$C$301,"&gt;"&amp;ClassTree!$L$2,Data!$B$2:$B$301,"&gt;"&amp;L9)=0,0,1-(SUMIFS(Data!$L$2:$L$301,Data!$M$2:$M$301,"Train",Data!$C$2:$C$301,"&gt;"&amp;ClassTree!$L$2,Data!$B$2:$B$301,"&gt;"&amp;L9)/COUNTIFS(Data!$M$2:$M$301,"Train",Data!$C$2:$C$301,"&gt;"&amp;ClassTree!$L$2,Data!$B$2:$B$301,"&gt;"&amp;L9))^2-(1-SUMIFS(Data!$L$2:$L$301,Data!$M$2:$M$301,"Train",Data!$C$2:$C$301,"&gt;"&amp;ClassTree!$L$2,Data!$B$2:$B$301,"&gt;"&amp;L9)/COUNTIFS(Data!$M$2:$M$301,"Train",Data!$C$2:$C$301,"&gt;"&amp;ClassTree!$L$2,Data!$B$2:$B$301,"&gt;"&amp;L9))^2)</f>
        <v>0.47337278106508873</v>
      </c>
      <c r="O9">
        <f>((COUNTIFS(Data!$M$2:$M$301,"Train",Data!$C$2:$C$301,"&lt;="&amp;ClassTree!$L$2)*M9)+(COUNTIFS(Data!$M$2:$M$301,"Train",Data!$C$2:$C$301,"&gt;"&amp;ClassTree!$L$2)*N9))/COUNTIF(Data!$M$2:$M$301,"Train")</f>
        <v>0.432872255949179</v>
      </c>
      <c r="P9">
        <f>IF(AND(COUNTIFS(Data!$M$2:$M$301,"Train",Data!$B$2:$B$301,"&lt;="&amp;L9)&gt;0,COUNTIFS(Data!$M$2:$M$301,"Train",Data!$B$2:$B$301,"&gt;"&amp;L9)&gt;0),O9,1E+99)</f>
        <v>0.432872255949179</v>
      </c>
    </row>
    <row r="10" spans="1:18" x14ac:dyDescent="0.2">
      <c r="L10">
        <f>Data!B10</f>
        <v>2006</v>
      </c>
      <c r="M10">
        <f>IF(COUNTIFS(Data!$M$2:$M$301,"Train",Data!$C$2:$C$301,"&lt;="&amp;ClassTree!$L$2,Data!$B$2:$B$301,"&lt;="&amp;L10)=0,0,1-(SUMIFS(Data!$L$2:$L$301,Data!$M$2:$M$301,"Train",Data!$C$2:$C$301,"&lt;="&amp;ClassTree!$L$2,Data!$B$2:$B$301,"&lt;="&amp;L10)/COUNTIFS(Data!$M$2:$M$301,"Train",Data!$C$2:$C$301,"&lt;="&amp;ClassTree!$L$2,Data!$B$2:$B$301,"&lt;="&amp;L10))^2-(1-SUMIFS(Data!$L$2:$L$301,Data!$M$2:$M$301,"Train",Data!$C$2:$C$301,"&lt;="&amp;ClassTree!$L$2,Data!$B$2:$B$301,"&lt;="&amp;L10)/COUNTIFS(Data!$M$2:$M$301,"Train",Data!$C$2:$C$301,"&lt;="&amp;ClassTree!$L$2,Data!$B$2:$B$301,"&lt;="&amp;L10))^2)</f>
        <v>9.9722991689750629E-2</v>
      </c>
      <c r="N10">
        <f>IF(COUNTIFS(Data!$M$2:$M$301,"Train",Data!$C$2:$C$301,"&gt;"&amp;ClassTree!$L$2,Data!$B$2:$B$301,"&gt;"&amp;L10)=0,0,1-(SUMIFS(Data!$L$2:$L$301,Data!$M$2:$M$301,"Train",Data!$C$2:$C$301,"&gt;"&amp;ClassTree!$L$2,Data!$B$2:$B$301,"&gt;"&amp;L10)/COUNTIFS(Data!$M$2:$M$301,"Train",Data!$C$2:$C$301,"&gt;"&amp;ClassTree!$L$2,Data!$B$2:$B$301,"&gt;"&amp;L10))^2-(1-SUMIFS(Data!$L$2:$L$301,Data!$M$2:$M$301,"Train",Data!$C$2:$C$301,"&gt;"&amp;ClassTree!$L$2,Data!$B$2:$B$301,"&gt;"&amp;L10)/COUNTIFS(Data!$M$2:$M$301,"Train",Data!$C$2:$C$301,"&gt;"&amp;ClassTree!$L$2,Data!$B$2:$B$301,"&gt;"&amp;L10))^2)</f>
        <v>0.46208779668136946</v>
      </c>
      <c r="O10">
        <f>((COUNTIFS(Data!$M$2:$M$301,"Train",Data!$C$2:$C$301,"&lt;="&amp;ClassTree!$L$2)*M10)+(COUNTIFS(Data!$M$2:$M$301,"Train",Data!$C$2:$C$301,"&gt;"&amp;ClassTree!$L$2)*N10))/COUNTIF(Data!$M$2:$M$301,"Train")</f>
        <v>0.42412576949177128</v>
      </c>
      <c r="P10">
        <f>IF(AND(COUNTIFS(Data!$M$2:$M$301,"Train",Data!$B$2:$B$301,"&lt;="&amp;L10)&gt;0,COUNTIFS(Data!$M$2:$M$301,"Train",Data!$B$2:$B$301,"&gt;"&amp;L10)&gt;0),O10,1E+99)</f>
        <v>0.42412576949177128</v>
      </c>
    </row>
    <row r="11" spans="1:18" x14ac:dyDescent="0.2">
      <c r="L11">
        <f>Data!B11</f>
        <v>2004</v>
      </c>
      <c r="M11">
        <f>IF(COUNTIFS(Data!$M$2:$M$301,"Train",Data!$C$2:$C$301,"&lt;="&amp;ClassTree!$L$2,Data!$B$2:$B$301,"&lt;="&amp;L11)=0,0,1-(SUMIFS(Data!$L$2:$L$301,Data!$M$2:$M$301,"Train",Data!$C$2:$C$301,"&lt;="&amp;ClassTree!$L$2,Data!$B$2:$B$301,"&lt;="&amp;L11)/COUNTIFS(Data!$M$2:$M$301,"Train",Data!$C$2:$C$301,"&lt;="&amp;ClassTree!$L$2,Data!$B$2:$B$301,"&lt;="&amp;L11))^2-(1-SUMIFS(Data!$L$2:$L$301,Data!$M$2:$M$301,"Train",Data!$C$2:$C$301,"&lt;="&amp;ClassTree!$L$2,Data!$B$2:$B$301,"&lt;="&amp;L11)/COUNTIFS(Data!$M$2:$M$301,"Train",Data!$C$2:$C$301,"&lt;="&amp;ClassTree!$L$2,Data!$B$2:$B$301,"&lt;="&amp;L11))^2)</f>
        <v>0.17999999999999994</v>
      </c>
      <c r="N11">
        <f>IF(COUNTIFS(Data!$M$2:$M$301,"Train",Data!$C$2:$C$301,"&gt;"&amp;ClassTree!$L$2,Data!$B$2:$B$301,"&gt;"&amp;L11)=0,0,1-(SUMIFS(Data!$L$2:$L$301,Data!$M$2:$M$301,"Train",Data!$C$2:$C$301,"&gt;"&amp;ClassTree!$L$2,Data!$B$2:$B$301,"&gt;"&amp;L11)/COUNTIFS(Data!$M$2:$M$301,"Train",Data!$C$2:$C$301,"&gt;"&amp;ClassTree!$L$2,Data!$B$2:$B$301,"&gt;"&amp;L11))^2-(1-SUMIFS(Data!$L$2:$L$301,Data!$M$2:$M$301,"Train",Data!$C$2:$C$301,"&gt;"&amp;ClassTree!$L$2,Data!$B$2:$B$301,"&gt;"&amp;L11)/COUNTIFS(Data!$M$2:$M$301,"Train",Data!$C$2:$C$301,"&gt;"&amp;ClassTree!$L$2,Data!$B$2:$B$301,"&gt;"&amp;L11))^2)</f>
        <v>0.46924800000000005</v>
      </c>
      <c r="O11">
        <f>((COUNTIFS(Data!$M$2:$M$301,"Train",Data!$C$2:$C$301,"&lt;="&amp;ClassTree!$L$2)*M11)+(COUNTIFS(Data!$M$2:$M$301,"Train",Data!$C$2:$C$301,"&gt;"&amp;ClassTree!$L$2)*N11))/COUNTIF(Data!$M$2:$M$301,"Train")</f>
        <v>0.43894582857142855</v>
      </c>
      <c r="P11">
        <f>IF(AND(COUNTIFS(Data!$M$2:$M$301,"Train",Data!$B$2:$B$301,"&lt;="&amp;L11)&gt;0,COUNTIFS(Data!$M$2:$M$301,"Train",Data!$B$2:$B$301,"&gt;"&amp;L11)&gt;0),O11,1E+99)</f>
        <v>0.43894582857142855</v>
      </c>
    </row>
    <row r="12" spans="1:18" x14ac:dyDescent="0.2">
      <c r="L12">
        <f>Data!B12</f>
        <v>2007</v>
      </c>
      <c r="M12">
        <f>IF(COUNTIFS(Data!$M$2:$M$301,"Train",Data!$C$2:$C$301,"&lt;="&amp;ClassTree!$L$2,Data!$B$2:$B$301,"&lt;="&amp;L12)=0,0,1-(SUMIFS(Data!$L$2:$L$301,Data!$M$2:$M$301,"Train",Data!$C$2:$C$301,"&lt;="&amp;ClassTree!$L$2,Data!$B$2:$B$301,"&lt;="&amp;L12)/COUNTIFS(Data!$M$2:$M$301,"Train",Data!$C$2:$C$301,"&lt;="&amp;ClassTree!$L$2,Data!$B$2:$B$301,"&lt;="&amp;L12))^2-(1-SUMIFS(Data!$L$2:$L$301,Data!$M$2:$M$301,"Train",Data!$C$2:$C$301,"&lt;="&amp;ClassTree!$L$2,Data!$B$2:$B$301,"&lt;="&amp;L12)/COUNTIFS(Data!$M$2:$M$301,"Train",Data!$C$2:$C$301,"&lt;="&amp;ClassTree!$L$2,Data!$B$2:$B$301,"&lt;="&amp;L12))^2)</f>
        <v>9.0702947845805015E-2</v>
      </c>
      <c r="N12">
        <f>IF(COUNTIFS(Data!$M$2:$M$301,"Train",Data!$C$2:$C$301,"&gt;"&amp;ClassTree!$L$2,Data!$B$2:$B$301,"&gt;"&amp;L12)=0,0,1-(SUMIFS(Data!$L$2:$L$301,Data!$M$2:$M$301,"Train",Data!$C$2:$C$301,"&gt;"&amp;ClassTree!$L$2,Data!$B$2:$B$301,"&gt;"&amp;L12)/COUNTIFS(Data!$M$2:$M$301,"Train",Data!$C$2:$C$301,"&gt;"&amp;ClassTree!$L$2,Data!$B$2:$B$301,"&gt;"&amp;L12))^2-(1-SUMIFS(Data!$L$2:$L$301,Data!$M$2:$M$301,"Train",Data!$C$2:$C$301,"&gt;"&amp;ClassTree!$L$2,Data!$B$2:$B$301,"&gt;"&amp;L12)/COUNTIFS(Data!$M$2:$M$301,"Train",Data!$C$2:$C$301,"&gt;"&amp;ClassTree!$L$2,Data!$B$2:$B$301,"&gt;"&amp;L12))^2)</f>
        <v>0.46480633069554356</v>
      </c>
      <c r="O12">
        <f>((COUNTIFS(Data!$M$2:$M$301,"Train",Data!$C$2:$C$301,"&lt;="&amp;ClassTree!$L$2)*M12)+(COUNTIFS(Data!$M$2:$M$301,"Train",Data!$C$2:$C$301,"&gt;"&amp;ClassTree!$L$2)*N12))/COUNTIF(Data!$M$2:$M$301,"Train")</f>
        <v>0.42561454773033286</v>
      </c>
      <c r="P12">
        <f>IF(AND(COUNTIFS(Data!$M$2:$M$301,"Train",Data!$B$2:$B$301,"&lt;="&amp;L12)&gt;0,COUNTIFS(Data!$M$2:$M$301,"Train",Data!$B$2:$B$301,"&gt;"&amp;L12)&gt;0),O12,1E+99)</f>
        <v>0.42561454773033286</v>
      </c>
    </row>
    <row r="13" spans="1:18" x14ac:dyDescent="0.2">
      <c r="L13">
        <f>Data!B13</f>
        <v>2007</v>
      </c>
      <c r="M13">
        <f>IF(COUNTIFS(Data!$M$2:$M$301,"Train",Data!$C$2:$C$301,"&lt;="&amp;ClassTree!$L$2,Data!$B$2:$B$301,"&lt;="&amp;L13)=0,0,1-(SUMIFS(Data!$L$2:$L$301,Data!$M$2:$M$301,"Train",Data!$C$2:$C$301,"&lt;="&amp;ClassTree!$L$2,Data!$B$2:$B$301,"&lt;="&amp;L13)/COUNTIFS(Data!$M$2:$M$301,"Train",Data!$C$2:$C$301,"&lt;="&amp;ClassTree!$L$2,Data!$B$2:$B$301,"&lt;="&amp;L13))^2-(1-SUMIFS(Data!$L$2:$L$301,Data!$M$2:$M$301,"Train",Data!$C$2:$C$301,"&lt;="&amp;ClassTree!$L$2,Data!$B$2:$B$301,"&lt;="&amp;L13)/COUNTIFS(Data!$M$2:$M$301,"Train",Data!$C$2:$C$301,"&lt;="&amp;ClassTree!$L$2,Data!$B$2:$B$301,"&lt;="&amp;L13))^2)</f>
        <v>9.0702947845805015E-2</v>
      </c>
      <c r="N13">
        <f>IF(COUNTIFS(Data!$M$2:$M$301,"Train",Data!$C$2:$C$301,"&gt;"&amp;ClassTree!$L$2,Data!$B$2:$B$301,"&gt;"&amp;L13)=0,0,1-(SUMIFS(Data!$L$2:$L$301,Data!$M$2:$M$301,"Train",Data!$C$2:$C$301,"&gt;"&amp;ClassTree!$L$2,Data!$B$2:$B$301,"&gt;"&amp;L13)/COUNTIFS(Data!$M$2:$M$301,"Train",Data!$C$2:$C$301,"&gt;"&amp;ClassTree!$L$2,Data!$B$2:$B$301,"&gt;"&amp;L13))^2-(1-SUMIFS(Data!$L$2:$L$301,Data!$M$2:$M$301,"Train",Data!$C$2:$C$301,"&gt;"&amp;ClassTree!$L$2,Data!$B$2:$B$301,"&gt;"&amp;L13)/COUNTIFS(Data!$M$2:$M$301,"Train",Data!$C$2:$C$301,"&gt;"&amp;ClassTree!$L$2,Data!$B$2:$B$301,"&gt;"&amp;L13))^2)</f>
        <v>0.46480633069554356</v>
      </c>
      <c r="O13">
        <f>((COUNTIFS(Data!$M$2:$M$301,"Train",Data!$C$2:$C$301,"&lt;="&amp;ClassTree!$L$2)*M13)+(COUNTIFS(Data!$M$2:$M$301,"Train",Data!$C$2:$C$301,"&gt;"&amp;ClassTree!$L$2)*N13))/COUNTIF(Data!$M$2:$M$301,"Train")</f>
        <v>0.42561454773033286</v>
      </c>
      <c r="P13">
        <f>IF(AND(COUNTIFS(Data!$M$2:$M$301,"Train",Data!$B$2:$B$301,"&lt;="&amp;L13)&gt;0,COUNTIFS(Data!$M$2:$M$301,"Train",Data!$B$2:$B$301,"&gt;"&amp;L13)&gt;0),O13,1E+99)</f>
        <v>0.42561454773033286</v>
      </c>
    </row>
    <row r="14" spans="1:18" x14ac:dyDescent="0.2">
      <c r="L14">
        <f>Data!B14</f>
        <v>2005</v>
      </c>
      <c r="M14">
        <f>IF(COUNTIFS(Data!$M$2:$M$301,"Train",Data!$C$2:$C$301,"&lt;="&amp;ClassTree!$L$2,Data!$B$2:$B$301,"&lt;="&amp;L14)=0,0,1-(SUMIFS(Data!$L$2:$L$301,Data!$M$2:$M$301,"Train",Data!$C$2:$C$301,"&lt;="&amp;ClassTree!$L$2,Data!$B$2:$B$301,"&lt;="&amp;L14)/COUNTIFS(Data!$M$2:$M$301,"Train",Data!$C$2:$C$301,"&lt;="&amp;ClassTree!$L$2,Data!$B$2:$B$301,"&lt;="&amp;L14))^2-(1-SUMIFS(Data!$L$2:$L$301,Data!$M$2:$M$301,"Train",Data!$C$2:$C$301,"&lt;="&amp;ClassTree!$L$2,Data!$B$2:$B$301,"&lt;="&amp;L14)/COUNTIFS(Data!$M$2:$M$301,"Train",Data!$C$2:$C$301,"&lt;="&amp;ClassTree!$L$2,Data!$B$2:$B$301,"&lt;="&amp;L14))^2)</f>
        <v>0.1527777777777779</v>
      </c>
      <c r="N14">
        <f>IF(COUNTIFS(Data!$M$2:$M$301,"Train",Data!$C$2:$C$301,"&gt;"&amp;ClassTree!$L$2,Data!$B$2:$B$301,"&gt;"&amp;L14)=0,0,1-(SUMIFS(Data!$L$2:$L$301,Data!$M$2:$M$301,"Train",Data!$C$2:$C$301,"&gt;"&amp;ClassTree!$L$2,Data!$B$2:$B$301,"&gt;"&amp;L14)/COUNTIFS(Data!$M$2:$M$301,"Train",Data!$C$2:$C$301,"&gt;"&amp;ClassTree!$L$2,Data!$B$2:$B$301,"&gt;"&amp;L14))^2-(1-SUMIFS(Data!$L$2:$L$301,Data!$M$2:$M$301,"Train",Data!$C$2:$C$301,"&gt;"&amp;ClassTree!$L$2,Data!$B$2:$B$301,"&gt;"&amp;L14)/COUNTIFS(Data!$M$2:$M$301,"Train",Data!$C$2:$C$301,"&gt;"&amp;ClassTree!$L$2,Data!$B$2:$B$301,"&gt;"&amp;L14))^2)</f>
        <v>0.45877855112243893</v>
      </c>
      <c r="O14">
        <f>((COUNTIFS(Data!$M$2:$M$301,"Train",Data!$C$2:$C$301,"&lt;="&amp;ClassTree!$L$2)*M14)+(COUNTIFS(Data!$M$2:$M$301,"Train",Data!$C$2:$C$301,"&gt;"&amp;ClassTree!$L$2)*N14))/COUNTIF(Data!$M$2:$M$301,"Train")</f>
        <v>0.42672132724823636</v>
      </c>
      <c r="P14">
        <f>IF(AND(COUNTIFS(Data!$M$2:$M$301,"Train",Data!$B$2:$B$301,"&lt;="&amp;L14)&gt;0,COUNTIFS(Data!$M$2:$M$301,"Train",Data!$B$2:$B$301,"&gt;"&amp;L14)&gt;0),O14,1E+99)</f>
        <v>0.42672132724823636</v>
      </c>
    </row>
    <row r="15" spans="1:18" x14ac:dyDescent="0.2">
      <c r="L15">
        <f>Data!B15</f>
        <v>2003</v>
      </c>
      <c r="M15">
        <f>IF(COUNTIFS(Data!$M$2:$M$301,"Train",Data!$C$2:$C$301,"&lt;="&amp;ClassTree!$L$2,Data!$B$2:$B$301,"&lt;="&amp;L15)=0,0,1-(SUMIFS(Data!$L$2:$L$301,Data!$M$2:$M$301,"Train",Data!$C$2:$C$301,"&lt;="&amp;ClassTree!$L$2,Data!$B$2:$B$301,"&lt;="&amp;L15)/COUNTIFS(Data!$M$2:$M$301,"Train",Data!$C$2:$C$301,"&lt;="&amp;ClassTree!$L$2,Data!$B$2:$B$301,"&lt;="&amp;L15))^2-(1-SUMIFS(Data!$L$2:$L$301,Data!$M$2:$M$301,"Train",Data!$C$2:$C$301,"&lt;="&amp;ClassTree!$L$2,Data!$B$2:$B$301,"&lt;="&amp;L15)/COUNTIFS(Data!$M$2:$M$301,"Train",Data!$C$2:$C$301,"&lt;="&amp;ClassTree!$L$2,Data!$B$2:$B$301,"&lt;="&amp;L15))^2)</f>
        <v>0</v>
      </c>
      <c r="N15">
        <f>IF(COUNTIFS(Data!$M$2:$M$301,"Train",Data!$C$2:$C$301,"&gt;"&amp;ClassTree!$L$2,Data!$B$2:$B$301,"&gt;"&amp;L15)=0,0,1-(SUMIFS(Data!$L$2:$L$301,Data!$M$2:$M$301,"Train",Data!$C$2:$C$301,"&gt;"&amp;ClassTree!$L$2,Data!$B$2:$B$301,"&gt;"&amp;L15)/COUNTIFS(Data!$M$2:$M$301,"Train",Data!$C$2:$C$301,"&gt;"&amp;ClassTree!$L$2,Data!$B$2:$B$301,"&gt;"&amp;L15))^2-(1-SUMIFS(Data!$L$2:$L$301,Data!$M$2:$M$301,"Train",Data!$C$2:$C$301,"&gt;"&amp;ClassTree!$L$2,Data!$B$2:$B$301,"&gt;"&amp;L15)/COUNTIFS(Data!$M$2:$M$301,"Train",Data!$C$2:$C$301,"&gt;"&amp;ClassTree!$L$2,Data!$B$2:$B$301,"&gt;"&amp;L15))^2)</f>
        <v>0.48347107438016523</v>
      </c>
      <c r="O15">
        <f>((COUNTIFS(Data!$M$2:$M$301,"Train",Data!$C$2:$C$301,"&lt;="&amp;ClassTree!$L$2)*M15)+(COUNTIFS(Data!$M$2:$M$301,"Train",Data!$C$2:$C$301,"&gt;"&amp;ClassTree!$L$2)*N15))/COUNTIF(Data!$M$2:$M$301,"Train")</f>
        <v>0.43282172373081462</v>
      </c>
      <c r="P15">
        <f>IF(AND(COUNTIFS(Data!$M$2:$M$301,"Train",Data!$B$2:$B$301,"&lt;="&amp;L15)&gt;0,COUNTIFS(Data!$M$2:$M$301,"Train",Data!$B$2:$B$301,"&gt;"&amp;L15)&gt;0),O15,1E+99)</f>
        <v>0.43282172373081462</v>
      </c>
    </row>
    <row r="16" spans="1:18" x14ac:dyDescent="0.2">
      <c r="L16">
        <f>Data!B16</f>
        <v>2009</v>
      </c>
      <c r="M16">
        <f>IF(COUNTIFS(Data!$M$2:$M$301,"Train",Data!$C$2:$C$301,"&lt;="&amp;ClassTree!$L$2,Data!$B$2:$B$301,"&lt;="&amp;L16)=0,0,1-(SUMIFS(Data!$L$2:$L$301,Data!$M$2:$M$301,"Train",Data!$C$2:$C$301,"&lt;="&amp;ClassTree!$L$2,Data!$B$2:$B$301,"&lt;="&amp;L16)/COUNTIFS(Data!$M$2:$M$301,"Train",Data!$C$2:$C$301,"&lt;="&amp;ClassTree!$L$2,Data!$B$2:$B$301,"&lt;="&amp;L16))^2-(1-SUMIFS(Data!$L$2:$L$301,Data!$M$2:$M$301,"Train",Data!$C$2:$C$301,"&lt;="&amp;ClassTree!$L$2,Data!$B$2:$B$301,"&lt;="&amp;L16)/COUNTIFS(Data!$M$2:$M$301,"Train",Data!$C$2:$C$301,"&lt;="&amp;ClassTree!$L$2,Data!$B$2:$B$301,"&lt;="&amp;L16))^2)</f>
        <v>8.6776859504132053E-2</v>
      </c>
      <c r="N16">
        <f>IF(COUNTIFS(Data!$M$2:$M$301,"Train",Data!$C$2:$C$301,"&gt;"&amp;ClassTree!$L$2,Data!$B$2:$B$301,"&gt;"&amp;L16)=0,0,1-(SUMIFS(Data!$L$2:$L$301,Data!$M$2:$M$301,"Train",Data!$C$2:$C$301,"&gt;"&amp;ClassTree!$L$2,Data!$B$2:$B$301,"&gt;"&amp;L16)/COUNTIFS(Data!$M$2:$M$301,"Train",Data!$C$2:$C$301,"&gt;"&amp;ClassTree!$L$2,Data!$B$2:$B$301,"&gt;"&amp;L16))^2-(1-SUMIFS(Data!$L$2:$L$301,Data!$M$2:$M$301,"Train",Data!$C$2:$C$301,"&gt;"&amp;ClassTree!$L$2,Data!$B$2:$B$301,"&gt;"&amp;L16)/COUNTIFS(Data!$M$2:$M$301,"Train",Data!$C$2:$C$301,"&gt;"&amp;ClassTree!$L$2,Data!$B$2:$B$301,"&gt;"&amp;L16))^2)</f>
        <v>0</v>
      </c>
      <c r="O16">
        <f>((COUNTIFS(Data!$M$2:$M$301,"Train",Data!$C$2:$C$301,"&lt;="&amp;ClassTree!$L$2)*M16)+(COUNTIFS(Data!$M$2:$M$301,"Train",Data!$C$2:$C$301,"&gt;"&amp;ClassTree!$L$2)*N16))/COUNTIF(Data!$M$2:$M$301,"Train")</f>
        <v>9.0909090909090731E-3</v>
      </c>
      <c r="P16">
        <f>IF(AND(COUNTIFS(Data!$M$2:$M$301,"Train",Data!$B$2:$B$301,"&lt;="&amp;L16)&gt;0,COUNTIFS(Data!$M$2:$M$301,"Train",Data!$B$2:$B$301,"&gt;"&amp;L16)&gt;0),O16,1E+99)</f>
        <v>9.9999999999999997E+98</v>
      </c>
    </row>
    <row r="17" spans="12:16" x14ac:dyDescent="0.2">
      <c r="L17">
        <f>Data!B17</f>
        <v>2009</v>
      </c>
      <c r="M17">
        <f>IF(COUNTIFS(Data!$M$2:$M$301,"Train",Data!$C$2:$C$301,"&lt;="&amp;ClassTree!$L$2,Data!$B$2:$B$301,"&lt;="&amp;L17)=0,0,1-(SUMIFS(Data!$L$2:$L$301,Data!$M$2:$M$301,"Train",Data!$C$2:$C$301,"&lt;="&amp;ClassTree!$L$2,Data!$B$2:$B$301,"&lt;="&amp;L17)/COUNTIFS(Data!$M$2:$M$301,"Train",Data!$C$2:$C$301,"&lt;="&amp;ClassTree!$L$2,Data!$B$2:$B$301,"&lt;="&amp;L17))^2-(1-SUMIFS(Data!$L$2:$L$301,Data!$M$2:$M$301,"Train",Data!$C$2:$C$301,"&lt;="&amp;ClassTree!$L$2,Data!$B$2:$B$301,"&lt;="&amp;L17)/COUNTIFS(Data!$M$2:$M$301,"Train",Data!$C$2:$C$301,"&lt;="&amp;ClassTree!$L$2,Data!$B$2:$B$301,"&lt;="&amp;L17))^2)</f>
        <v>8.6776859504132053E-2</v>
      </c>
      <c r="N17">
        <f>IF(COUNTIFS(Data!$M$2:$M$301,"Train",Data!$C$2:$C$301,"&gt;"&amp;ClassTree!$L$2,Data!$B$2:$B$301,"&gt;"&amp;L17)=0,0,1-(SUMIFS(Data!$L$2:$L$301,Data!$M$2:$M$301,"Train",Data!$C$2:$C$301,"&gt;"&amp;ClassTree!$L$2,Data!$B$2:$B$301,"&gt;"&amp;L17)/COUNTIFS(Data!$M$2:$M$301,"Train",Data!$C$2:$C$301,"&gt;"&amp;ClassTree!$L$2,Data!$B$2:$B$301,"&gt;"&amp;L17))^2-(1-SUMIFS(Data!$L$2:$L$301,Data!$M$2:$M$301,"Train",Data!$C$2:$C$301,"&gt;"&amp;ClassTree!$L$2,Data!$B$2:$B$301,"&gt;"&amp;L17)/COUNTIFS(Data!$M$2:$M$301,"Train",Data!$C$2:$C$301,"&gt;"&amp;ClassTree!$L$2,Data!$B$2:$B$301,"&gt;"&amp;L17))^2)</f>
        <v>0</v>
      </c>
      <c r="O17">
        <f>((COUNTIFS(Data!$M$2:$M$301,"Train",Data!$C$2:$C$301,"&lt;="&amp;ClassTree!$L$2)*M17)+(COUNTIFS(Data!$M$2:$M$301,"Train",Data!$C$2:$C$301,"&gt;"&amp;ClassTree!$L$2)*N17))/COUNTIF(Data!$M$2:$M$301,"Train")</f>
        <v>9.0909090909090731E-3</v>
      </c>
      <c r="P17">
        <f>IF(AND(COUNTIFS(Data!$M$2:$M$301,"Train",Data!$B$2:$B$301,"&lt;="&amp;L17)&gt;0,COUNTIFS(Data!$M$2:$M$301,"Train",Data!$B$2:$B$301,"&gt;"&amp;L17)&gt;0),O17,1E+99)</f>
        <v>9.9999999999999997E+98</v>
      </c>
    </row>
    <row r="18" spans="12:16" x14ac:dyDescent="0.2">
      <c r="L18">
        <f>Data!B18</f>
        <v>2003</v>
      </c>
      <c r="M18">
        <f>IF(COUNTIFS(Data!$M$2:$M$301,"Train",Data!$C$2:$C$301,"&lt;="&amp;ClassTree!$L$2,Data!$B$2:$B$301,"&lt;="&amp;L18)=0,0,1-(SUMIFS(Data!$L$2:$L$301,Data!$M$2:$M$301,"Train",Data!$C$2:$C$301,"&lt;="&amp;ClassTree!$L$2,Data!$B$2:$B$301,"&lt;="&amp;L18)/COUNTIFS(Data!$M$2:$M$301,"Train",Data!$C$2:$C$301,"&lt;="&amp;ClassTree!$L$2,Data!$B$2:$B$301,"&lt;="&amp;L18))^2-(1-SUMIFS(Data!$L$2:$L$301,Data!$M$2:$M$301,"Train",Data!$C$2:$C$301,"&lt;="&amp;ClassTree!$L$2,Data!$B$2:$B$301,"&lt;="&amp;L18)/COUNTIFS(Data!$M$2:$M$301,"Train",Data!$C$2:$C$301,"&lt;="&amp;ClassTree!$L$2,Data!$B$2:$B$301,"&lt;="&amp;L18))^2)</f>
        <v>0</v>
      </c>
      <c r="N18">
        <f>IF(COUNTIFS(Data!$M$2:$M$301,"Train",Data!$C$2:$C$301,"&gt;"&amp;ClassTree!$L$2,Data!$B$2:$B$301,"&gt;"&amp;L18)=0,0,1-(SUMIFS(Data!$L$2:$L$301,Data!$M$2:$M$301,"Train",Data!$C$2:$C$301,"&gt;"&amp;ClassTree!$L$2,Data!$B$2:$B$301,"&gt;"&amp;L18)/COUNTIFS(Data!$M$2:$M$301,"Train",Data!$C$2:$C$301,"&gt;"&amp;ClassTree!$L$2,Data!$B$2:$B$301,"&gt;"&amp;L18))^2-(1-SUMIFS(Data!$L$2:$L$301,Data!$M$2:$M$301,"Train",Data!$C$2:$C$301,"&gt;"&amp;ClassTree!$L$2,Data!$B$2:$B$301,"&gt;"&amp;L18)/COUNTIFS(Data!$M$2:$M$301,"Train",Data!$C$2:$C$301,"&gt;"&amp;ClassTree!$L$2,Data!$B$2:$B$301,"&gt;"&amp;L18))^2)</f>
        <v>0.48347107438016523</v>
      </c>
      <c r="O18">
        <f>((COUNTIFS(Data!$M$2:$M$301,"Train",Data!$C$2:$C$301,"&lt;="&amp;ClassTree!$L$2)*M18)+(COUNTIFS(Data!$M$2:$M$301,"Train",Data!$C$2:$C$301,"&gt;"&amp;ClassTree!$L$2)*N18))/COUNTIF(Data!$M$2:$M$301,"Train")</f>
        <v>0.43282172373081462</v>
      </c>
      <c r="P18">
        <f>IF(AND(COUNTIFS(Data!$M$2:$M$301,"Train",Data!$B$2:$B$301,"&lt;="&amp;L18)&gt;0,COUNTIFS(Data!$M$2:$M$301,"Train",Data!$B$2:$B$301,"&gt;"&amp;L18)&gt;0),O18,1E+99)</f>
        <v>0.43282172373081462</v>
      </c>
    </row>
    <row r="19" spans="12:16" x14ac:dyDescent="0.2">
      <c r="L19">
        <f>Data!B19</f>
        <v>2006</v>
      </c>
      <c r="M19">
        <f>IF(COUNTIFS(Data!$M$2:$M$301,"Train",Data!$C$2:$C$301,"&lt;="&amp;ClassTree!$L$2,Data!$B$2:$B$301,"&lt;="&amp;L19)=0,0,1-(SUMIFS(Data!$L$2:$L$301,Data!$M$2:$M$301,"Train",Data!$C$2:$C$301,"&lt;="&amp;ClassTree!$L$2,Data!$B$2:$B$301,"&lt;="&amp;L19)/COUNTIFS(Data!$M$2:$M$301,"Train",Data!$C$2:$C$301,"&lt;="&amp;ClassTree!$L$2,Data!$B$2:$B$301,"&lt;="&amp;L19))^2-(1-SUMIFS(Data!$L$2:$L$301,Data!$M$2:$M$301,"Train",Data!$C$2:$C$301,"&lt;="&amp;ClassTree!$L$2,Data!$B$2:$B$301,"&lt;="&amp;L19)/COUNTIFS(Data!$M$2:$M$301,"Train",Data!$C$2:$C$301,"&lt;="&amp;ClassTree!$L$2,Data!$B$2:$B$301,"&lt;="&amp;L19))^2)</f>
        <v>9.9722991689750629E-2</v>
      </c>
      <c r="N19">
        <f>IF(COUNTIFS(Data!$M$2:$M$301,"Train",Data!$C$2:$C$301,"&gt;"&amp;ClassTree!$L$2,Data!$B$2:$B$301,"&gt;"&amp;L19)=0,0,1-(SUMIFS(Data!$L$2:$L$301,Data!$M$2:$M$301,"Train",Data!$C$2:$C$301,"&gt;"&amp;ClassTree!$L$2,Data!$B$2:$B$301,"&gt;"&amp;L19)/COUNTIFS(Data!$M$2:$M$301,"Train",Data!$C$2:$C$301,"&gt;"&amp;ClassTree!$L$2,Data!$B$2:$B$301,"&gt;"&amp;L19))^2-(1-SUMIFS(Data!$L$2:$L$301,Data!$M$2:$M$301,"Train",Data!$C$2:$C$301,"&gt;"&amp;ClassTree!$L$2,Data!$B$2:$B$301,"&gt;"&amp;L19)/COUNTIFS(Data!$M$2:$M$301,"Train",Data!$C$2:$C$301,"&gt;"&amp;ClassTree!$L$2,Data!$B$2:$B$301,"&gt;"&amp;L19))^2)</f>
        <v>0.46208779668136946</v>
      </c>
      <c r="O19">
        <f>((COUNTIFS(Data!$M$2:$M$301,"Train",Data!$C$2:$C$301,"&lt;="&amp;ClassTree!$L$2)*M19)+(COUNTIFS(Data!$M$2:$M$301,"Train",Data!$C$2:$C$301,"&gt;"&amp;ClassTree!$L$2)*N19))/COUNTIF(Data!$M$2:$M$301,"Train")</f>
        <v>0.42412576949177128</v>
      </c>
      <c r="P19">
        <f>IF(AND(COUNTIFS(Data!$M$2:$M$301,"Train",Data!$B$2:$B$301,"&lt;="&amp;L19)&gt;0,COUNTIFS(Data!$M$2:$M$301,"Train",Data!$B$2:$B$301,"&gt;"&amp;L19)&gt;0),O19,1E+99)</f>
        <v>0.42412576949177128</v>
      </c>
    </row>
    <row r="20" spans="12:16" x14ac:dyDescent="0.2">
      <c r="L20">
        <f>Data!B20</f>
        <v>2007</v>
      </c>
      <c r="M20">
        <f>IF(COUNTIFS(Data!$M$2:$M$301,"Train",Data!$C$2:$C$301,"&lt;="&amp;ClassTree!$L$2,Data!$B$2:$B$301,"&lt;="&amp;L20)=0,0,1-(SUMIFS(Data!$L$2:$L$301,Data!$M$2:$M$301,"Train",Data!$C$2:$C$301,"&lt;="&amp;ClassTree!$L$2,Data!$B$2:$B$301,"&lt;="&amp;L20)/COUNTIFS(Data!$M$2:$M$301,"Train",Data!$C$2:$C$301,"&lt;="&amp;ClassTree!$L$2,Data!$B$2:$B$301,"&lt;="&amp;L20))^2-(1-SUMIFS(Data!$L$2:$L$301,Data!$M$2:$M$301,"Train",Data!$C$2:$C$301,"&lt;="&amp;ClassTree!$L$2,Data!$B$2:$B$301,"&lt;="&amp;L20)/COUNTIFS(Data!$M$2:$M$301,"Train",Data!$C$2:$C$301,"&lt;="&amp;ClassTree!$L$2,Data!$B$2:$B$301,"&lt;="&amp;L20))^2)</f>
        <v>9.0702947845805015E-2</v>
      </c>
      <c r="N20">
        <f>IF(COUNTIFS(Data!$M$2:$M$301,"Train",Data!$C$2:$C$301,"&gt;"&amp;ClassTree!$L$2,Data!$B$2:$B$301,"&gt;"&amp;L20)=0,0,1-(SUMIFS(Data!$L$2:$L$301,Data!$M$2:$M$301,"Train",Data!$C$2:$C$301,"&gt;"&amp;ClassTree!$L$2,Data!$B$2:$B$301,"&gt;"&amp;L20)/COUNTIFS(Data!$M$2:$M$301,"Train",Data!$C$2:$C$301,"&gt;"&amp;ClassTree!$L$2,Data!$B$2:$B$301,"&gt;"&amp;L20))^2-(1-SUMIFS(Data!$L$2:$L$301,Data!$M$2:$M$301,"Train",Data!$C$2:$C$301,"&gt;"&amp;ClassTree!$L$2,Data!$B$2:$B$301,"&gt;"&amp;L20)/COUNTIFS(Data!$M$2:$M$301,"Train",Data!$C$2:$C$301,"&gt;"&amp;ClassTree!$L$2,Data!$B$2:$B$301,"&gt;"&amp;L20))^2)</f>
        <v>0.46480633069554356</v>
      </c>
      <c r="O20">
        <f>((COUNTIFS(Data!$M$2:$M$301,"Train",Data!$C$2:$C$301,"&lt;="&amp;ClassTree!$L$2)*M20)+(COUNTIFS(Data!$M$2:$M$301,"Train",Data!$C$2:$C$301,"&gt;"&amp;ClassTree!$L$2)*N20))/COUNTIF(Data!$M$2:$M$301,"Train")</f>
        <v>0.42561454773033286</v>
      </c>
      <c r="P20">
        <f>IF(AND(COUNTIFS(Data!$M$2:$M$301,"Train",Data!$B$2:$B$301,"&lt;="&amp;L20)&gt;0,COUNTIFS(Data!$M$2:$M$301,"Train",Data!$B$2:$B$301,"&gt;"&amp;L20)&gt;0),O20,1E+99)</f>
        <v>0.42561454773033286</v>
      </c>
    </row>
    <row r="21" spans="12:16" x14ac:dyDescent="0.2">
      <c r="L21">
        <f>Data!B21</f>
        <v>2003</v>
      </c>
      <c r="M21">
        <f>IF(COUNTIFS(Data!$M$2:$M$301,"Train",Data!$C$2:$C$301,"&lt;="&amp;ClassTree!$L$2,Data!$B$2:$B$301,"&lt;="&amp;L21)=0,0,1-(SUMIFS(Data!$L$2:$L$301,Data!$M$2:$M$301,"Train",Data!$C$2:$C$301,"&lt;="&amp;ClassTree!$L$2,Data!$B$2:$B$301,"&lt;="&amp;L21)/COUNTIFS(Data!$M$2:$M$301,"Train",Data!$C$2:$C$301,"&lt;="&amp;ClassTree!$L$2,Data!$B$2:$B$301,"&lt;="&amp;L21))^2-(1-SUMIFS(Data!$L$2:$L$301,Data!$M$2:$M$301,"Train",Data!$C$2:$C$301,"&lt;="&amp;ClassTree!$L$2,Data!$B$2:$B$301,"&lt;="&amp;L21)/COUNTIFS(Data!$M$2:$M$301,"Train",Data!$C$2:$C$301,"&lt;="&amp;ClassTree!$L$2,Data!$B$2:$B$301,"&lt;="&amp;L21))^2)</f>
        <v>0</v>
      </c>
      <c r="N21">
        <f>IF(COUNTIFS(Data!$M$2:$M$301,"Train",Data!$C$2:$C$301,"&gt;"&amp;ClassTree!$L$2,Data!$B$2:$B$301,"&gt;"&amp;L21)=0,0,1-(SUMIFS(Data!$L$2:$L$301,Data!$M$2:$M$301,"Train",Data!$C$2:$C$301,"&gt;"&amp;ClassTree!$L$2,Data!$B$2:$B$301,"&gt;"&amp;L21)/COUNTIFS(Data!$M$2:$M$301,"Train",Data!$C$2:$C$301,"&gt;"&amp;ClassTree!$L$2,Data!$B$2:$B$301,"&gt;"&amp;L21))^2-(1-SUMIFS(Data!$L$2:$L$301,Data!$M$2:$M$301,"Train",Data!$C$2:$C$301,"&gt;"&amp;ClassTree!$L$2,Data!$B$2:$B$301,"&gt;"&amp;L21)/COUNTIFS(Data!$M$2:$M$301,"Train",Data!$C$2:$C$301,"&gt;"&amp;ClassTree!$L$2,Data!$B$2:$B$301,"&gt;"&amp;L21))^2)</f>
        <v>0.48347107438016523</v>
      </c>
      <c r="O21">
        <f>((COUNTIFS(Data!$M$2:$M$301,"Train",Data!$C$2:$C$301,"&lt;="&amp;ClassTree!$L$2)*M21)+(COUNTIFS(Data!$M$2:$M$301,"Train",Data!$C$2:$C$301,"&gt;"&amp;ClassTree!$L$2)*N21))/COUNTIF(Data!$M$2:$M$301,"Train")</f>
        <v>0.43282172373081462</v>
      </c>
      <c r="P21">
        <f>IF(AND(COUNTIFS(Data!$M$2:$M$301,"Train",Data!$B$2:$B$301,"&lt;="&amp;L21)&gt;0,COUNTIFS(Data!$M$2:$M$301,"Train",Data!$B$2:$B$301,"&gt;"&amp;L21)&gt;0),O21,1E+99)</f>
        <v>0.43282172373081462</v>
      </c>
    </row>
    <row r="22" spans="12:16" x14ac:dyDescent="0.2">
      <c r="L22">
        <f>Data!B22</f>
        <v>2003</v>
      </c>
      <c r="M22">
        <f>IF(COUNTIFS(Data!$M$2:$M$301,"Train",Data!$C$2:$C$301,"&lt;="&amp;ClassTree!$L$2,Data!$B$2:$B$301,"&lt;="&amp;L22)=0,0,1-(SUMIFS(Data!$L$2:$L$301,Data!$M$2:$M$301,"Train",Data!$C$2:$C$301,"&lt;="&amp;ClassTree!$L$2,Data!$B$2:$B$301,"&lt;="&amp;L22)/COUNTIFS(Data!$M$2:$M$301,"Train",Data!$C$2:$C$301,"&lt;="&amp;ClassTree!$L$2,Data!$B$2:$B$301,"&lt;="&amp;L22))^2-(1-SUMIFS(Data!$L$2:$L$301,Data!$M$2:$M$301,"Train",Data!$C$2:$C$301,"&lt;="&amp;ClassTree!$L$2,Data!$B$2:$B$301,"&lt;="&amp;L22)/COUNTIFS(Data!$M$2:$M$301,"Train",Data!$C$2:$C$301,"&lt;="&amp;ClassTree!$L$2,Data!$B$2:$B$301,"&lt;="&amp;L22))^2)</f>
        <v>0</v>
      </c>
      <c r="N22">
        <f>IF(COUNTIFS(Data!$M$2:$M$301,"Train",Data!$C$2:$C$301,"&gt;"&amp;ClassTree!$L$2,Data!$B$2:$B$301,"&gt;"&amp;L22)=0,0,1-(SUMIFS(Data!$L$2:$L$301,Data!$M$2:$M$301,"Train",Data!$C$2:$C$301,"&gt;"&amp;ClassTree!$L$2,Data!$B$2:$B$301,"&gt;"&amp;L22)/COUNTIFS(Data!$M$2:$M$301,"Train",Data!$C$2:$C$301,"&gt;"&amp;ClassTree!$L$2,Data!$B$2:$B$301,"&gt;"&amp;L22))^2-(1-SUMIFS(Data!$L$2:$L$301,Data!$M$2:$M$301,"Train",Data!$C$2:$C$301,"&gt;"&amp;ClassTree!$L$2,Data!$B$2:$B$301,"&gt;"&amp;L22)/COUNTIFS(Data!$M$2:$M$301,"Train",Data!$C$2:$C$301,"&gt;"&amp;ClassTree!$L$2,Data!$B$2:$B$301,"&gt;"&amp;L22))^2)</f>
        <v>0.48347107438016523</v>
      </c>
      <c r="O22">
        <f>((COUNTIFS(Data!$M$2:$M$301,"Train",Data!$C$2:$C$301,"&lt;="&amp;ClassTree!$L$2)*M22)+(COUNTIFS(Data!$M$2:$M$301,"Train",Data!$C$2:$C$301,"&gt;"&amp;ClassTree!$L$2)*N22))/COUNTIF(Data!$M$2:$M$301,"Train")</f>
        <v>0.43282172373081462</v>
      </c>
      <c r="P22">
        <f>IF(AND(COUNTIFS(Data!$M$2:$M$301,"Train",Data!$B$2:$B$301,"&lt;="&amp;L22)&gt;0,COUNTIFS(Data!$M$2:$M$301,"Train",Data!$B$2:$B$301,"&gt;"&amp;L22)&gt;0),O22,1E+99)</f>
        <v>0.43282172373081462</v>
      </c>
    </row>
    <row r="23" spans="12:16" x14ac:dyDescent="0.2">
      <c r="L23">
        <f>Data!B23</f>
        <v>2005</v>
      </c>
      <c r="M23">
        <f>IF(COUNTIFS(Data!$M$2:$M$301,"Train",Data!$C$2:$C$301,"&lt;="&amp;ClassTree!$L$2,Data!$B$2:$B$301,"&lt;="&amp;L23)=0,0,1-(SUMIFS(Data!$L$2:$L$301,Data!$M$2:$M$301,"Train",Data!$C$2:$C$301,"&lt;="&amp;ClassTree!$L$2,Data!$B$2:$B$301,"&lt;="&amp;L23)/COUNTIFS(Data!$M$2:$M$301,"Train",Data!$C$2:$C$301,"&lt;="&amp;ClassTree!$L$2,Data!$B$2:$B$301,"&lt;="&amp;L23))^2-(1-SUMIFS(Data!$L$2:$L$301,Data!$M$2:$M$301,"Train",Data!$C$2:$C$301,"&lt;="&amp;ClassTree!$L$2,Data!$B$2:$B$301,"&lt;="&amp;L23)/COUNTIFS(Data!$M$2:$M$301,"Train",Data!$C$2:$C$301,"&lt;="&amp;ClassTree!$L$2,Data!$B$2:$B$301,"&lt;="&amp;L23))^2)</f>
        <v>0.1527777777777779</v>
      </c>
      <c r="N23">
        <f>IF(COUNTIFS(Data!$M$2:$M$301,"Train",Data!$C$2:$C$301,"&gt;"&amp;ClassTree!$L$2,Data!$B$2:$B$301,"&gt;"&amp;L23)=0,0,1-(SUMIFS(Data!$L$2:$L$301,Data!$M$2:$M$301,"Train",Data!$C$2:$C$301,"&gt;"&amp;ClassTree!$L$2,Data!$B$2:$B$301,"&gt;"&amp;L23)/COUNTIFS(Data!$M$2:$M$301,"Train",Data!$C$2:$C$301,"&gt;"&amp;ClassTree!$L$2,Data!$B$2:$B$301,"&gt;"&amp;L23))^2-(1-SUMIFS(Data!$L$2:$L$301,Data!$M$2:$M$301,"Train",Data!$C$2:$C$301,"&gt;"&amp;ClassTree!$L$2,Data!$B$2:$B$301,"&gt;"&amp;L23)/COUNTIFS(Data!$M$2:$M$301,"Train",Data!$C$2:$C$301,"&gt;"&amp;ClassTree!$L$2,Data!$B$2:$B$301,"&gt;"&amp;L23))^2)</f>
        <v>0.45877855112243893</v>
      </c>
      <c r="O23">
        <f>((COUNTIFS(Data!$M$2:$M$301,"Train",Data!$C$2:$C$301,"&lt;="&amp;ClassTree!$L$2)*M23)+(COUNTIFS(Data!$M$2:$M$301,"Train",Data!$C$2:$C$301,"&gt;"&amp;ClassTree!$L$2)*N23))/COUNTIF(Data!$M$2:$M$301,"Train")</f>
        <v>0.42672132724823636</v>
      </c>
      <c r="P23">
        <f>IF(AND(COUNTIFS(Data!$M$2:$M$301,"Train",Data!$B$2:$B$301,"&lt;="&amp;L23)&gt;0,COUNTIFS(Data!$M$2:$M$301,"Train",Data!$B$2:$B$301,"&gt;"&amp;L23)&gt;0),O23,1E+99)</f>
        <v>0.42672132724823636</v>
      </c>
    </row>
    <row r="24" spans="12:16" x14ac:dyDescent="0.2">
      <c r="L24">
        <f>Data!B24</f>
        <v>2009</v>
      </c>
      <c r="M24">
        <f>IF(COUNTIFS(Data!$M$2:$M$301,"Train",Data!$C$2:$C$301,"&lt;="&amp;ClassTree!$L$2,Data!$B$2:$B$301,"&lt;="&amp;L24)=0,0,1-(SUMIFS(Data!$L$2:$L$301,Data!$M$2:$M$301,"Train",Data!$C$2:$C$301,"&lt;="&amp;ClassTree!$L$2,Data!$B$2:$B$301,"&lt;="&amp;L24)/COUNTIFS(Data!$M$2:$M$301,"Train",Data!$C$2:$C$301,"&lt;="&amp;ClassTree!$L$2,Data!$B$2:$B$301,"&lt;="&amp;L24))^2-(1-SUMIFS(Data!$L$2:$L$301,Data!$M$2:$M$301,"Train",Data!$C$2:$C$301,"&lt;="&amp;ClassTree!$L$2,Data!$B$2:$B$301,"&lt;="&amp;L24)/COUNTIFS(Data!$M$2:$M$301,"Train",Data!$C$2:$C$301,"&lt;="&amp;ClassTree!$L$2,Data!$B$2:$B$301,"&lt;="&amp;L24))^2)</f>
        <v>8.6776859504132053E-2</v>
      </c>
      <c r="N24">
        <f>IF(COUNTIFS(Data!$M$2:$M$301,"Train",Data!$C$2:$C$301,"&gt;"&amp;ClassTree!$L$2,Data!$B$2:$B$301,"&gt;"&amp;L24)=0,0,1-(SUMIFS(Data!$L$2:$L$301,Data!$M$2:$M$301,"Train",Data!$C$2:$C$301,"&gt;"&amp;ClassTree!$L$2,Data!$B$2:$B$301,"&gt;"&amp;L24)/COUNTIFS(Data!$M$2:$M$301,"Train",Data!$C$2:$C$301,"&gt;"&amp;ClassTree!$L$2,Data!$B$2:$B$301,"&gt;"&amp;L24))^2-(1-SUMIFS(Data!$L$2:$L$301,Data!$M$2:$M$301,"Train",Data!$C$2:$C$301,"&gt;"&amp;ClassTree!$L$2,Data!$B$2:$B$301,"&gt;"&amp;L24)/COUNTIFS(Data!$M$2:$M$301,"Train",Data!$C$2:$C$301,"&gt;"&amp;ClassTree!$L$2,Data!$B$2:$B$301,"&gt;"&amp;L24))^2)</f>
        <v>0</v>
      </c>
      <c r="O24">
        <f>((COUNTIFS(Data!$M$2:$M$301,"Train",Data!$C$2:$C$301,"&lt;="&amp;ClassTree!$L$2)*M24)+(COUNTIFS(Data!$M$2:$M$301,"Train",Data!$C$2:$C$301,"&gt;"&amp;ClassTree!$L$2)*N24))/COUNTIF(Data!$M$2:$M$301,"Train")</f>
        <v>9.0909090909090731E-3</v>
      </c>
      <c r="P24">
        <f>IF(AND(COUNTIFS(Data!$M$2:$M$301,"Train",Data!$B$2:$B$301,"&lt;="&amp;L24)&gt;0,COUNTIFS(Data!$M$2:$M$301,"Train",Data!$B$2:$B$301,"&gt;"&amp;L24)&gt;0),O24,1E+99)</f>
        <v>9.9999999999999997E+98</v>
      </c>
    </row>
    <row r="25" spans="12:16" x14ac:dyDescent="0.2">
      <c r="L25">
        <f>Data!B25</f>
        <v>2007</v>
      </c>
      <c r="M25">
        <f>IF(COUNTIFS(Data!$M$2:$M$301,"Train",Data!$C$2:$C$301,"&lt;="&amp;ClassTree!$L$2,Data!$B$2:$B$301,"&lt;="&amp;L25)=0,0,1-(SUMIFS(Data!$L$2:$L$301,Data!$M$2:$M$301,"Train",Data!$C$2:$C$301,"&lt;="&amp;ClassTree!$L$2,Data!$B$2:$B$301,"&lt;="&amp;L25)/COUNTIFS(Data!$M$2:$M$301,"Train",Data!$C$2:$C$301,"&lt;="&amp;ClassTree!$L$2,Data!$B$2:$B$301,"&lt;="&amp;L25))^2-(1-SUMIFS(Data!$L$2:$L$301,Data!$M$2:$M$301,"Train",Data!$C$2:$C$301,"&lt;="&amp;ClassTree!$L$2,Data!$B$2:$B$301,"&lt;="&amp;L25)/COUNTIFS(Data!$M$2:$M$301,"Train",Data!$C$2:$C$301,"&lt;="&amp;ClassTree!$L$2,Data!$B$2:$B$301,"&lt;="&amp;L25))^2)</f>
        <v>9.0702947845805015E-2</v>
      </c>
      <c r="N25">
        <f>IF(COUNTIFS(Data!$M$2:$M$301,"Train",Data!$C$2:$C$301,"&gt;"&amp;ClassTree!$L$2,Data!$B$2:$B$301,"&gt;"&amp;L25)=0,0,1-(SUMIFS(Data!$L$2:$L$301,Data!$M$2:$M$301,"Train",Data!$C$2:$C$301,"&gt;"&amp;ClassTree!$L$2,Data!$B$2:$B$301,"&gt;"&amp;L25)/COUNTIFS(Data!$M$2:$M$301,"Train",Data!$C$2:$C$301,"&gt;"&amp;ClassTree!$L$2,Data!$B$2:$B$301,"&gt;"&amp;L25))^2-(1-SUMIFS(Data!$L$2:$L$301,Data!$M$2:$M$301,"Train",Data!$C$2:$C$301,"&gt;"&amp;ClassTree!$L$2,Data!$B$2:$B$301,"&gt;"&amp;L25)/COUNTIFS(Data!$M$2:$M$301,"Train",Data!$C$2:$C$301,"&gt;"&amp;ClassTree!$L$2,Data!$B$2:$B$301,"&gt;"&amp;L25))^2)</f>
        <v>0.46480633069554356</v>
      </c>
      <c r="O25">
        <f>((COUNTIFS(Data!$M$2:$M$301,"Train",Data!$C$2:$C$301,"&lt;="&amp;ClassTree!$L$2)*M25)+(COUNTIFS(Data!$M$2:$M$301,"Train",Data!$C$2:$C$301,"&gt;"&amp;ClassTree!$L$2)*N25))/COUNTIF(Data!$M$2:$M$301,"Train")</f>
        <v>0.42561454773033286</v>
      </c>
      <c r="P25">
        <f>IF(AND(COUNTIFS(Data!$M$2:$M$301,"Train",Data!$B$2:$B$301,"&lt;="&amp;L25)&gt;0,COUNTIFS(Data!$M$2:$M$301,"Train",Data!$B$2:$B$301,"&gt;"&amp;L25)&gt;0),O25,1E+99)</f>
        <v>0.42561454773033286</v>
      </c>
    </row>
    <row r="26" spans="12:16" x14ac:dyDescent="0.2">
      <c r="L26">
        <f>Data!B26</f>
        <v>2006</v>
      </c>
      <c r="M26">
        <f>IF(COUNTIFS(Data!$M$2:$M$301,"Train",Data!$C$2:$C$301,"&lt;="&amp;ClassTree!$L$2,Data!$B$2:$B$301,"&lt;="&amp;L26)=0,0,1-(SUMIFS(Data!$L$2:$L$301,Data!$M$2:$M$301,"Train",Data!$C$2:$C$301,"&lt;="&amp;ClassTree!$L$2,Data!$B$2:$B$301,"&lt;="&amp;L26)/COUNTIFS(Data!$M$2:$M$301,"Train",Data!$C$2:$C$301,"&lt;="&amp;ClassTree!$L$2,Data!$B$2:$B$301,"&lt;="&amp;L26))^2-(1-SUMIFS(Data!$L$2:$L$301,Data!$M$2:$M$301,"Train",Data!$C$2:$C$301,"&lt;="&amp;ClassTree!$L$2,Data!$B$2:$B$301,"&lt;="&amp;L26)/COUNTIFS(Data!$M$2:$M$301,"Train",Data!$C$2:$C$301,"&lt;="&amp;ClassTree!$L$2,Data!$B$2:$B$301,"&lt;="&amp;L26))^2)</f>
        <v>9.9722991689750629E-2</v>
      </c>
      <c r="N26">
        <f>IF(COUNTIFS(Data!$M$2:$M$301,"Train",Data!$C$2:$C$301,"&gt;"&amp;ClassTree!$L$2,Data!$B$2:$B$301,"&gt;"&amp;L26)=0,0,1-(SUMIFS(Data!$L$2:$L$301,Data!$M$2:$M$301,"Train",Data!$C$2:$C$301,"&gt;"&amp;ClassTree!$L$2,Data!$B$2:$B$301,"&gt;"&amp;L26)/COUNTIFS(Data!$M$2:$M$301,"Train",Data!$C$2:$C$301,"&gt;"&amp;ClassTree!$L$2,Data!$B$2:$B$301,"&gt;"&amp;L26))^2-(1-SUMIFS(Data!$L$2:$L$301,Data!$M$2:$M$301,"Train",Data!$C$2:$C$301,"&gt;"&amp;ClassTree!$L$2,Data!$B$2:$B$301,"&gt;"&amp;L26)/COUNTIFS(Data!$M$2:$M$301,"Train",Data!$C$2:$C$301,"&gt;"&amp;ClassTree!$L$2,Data!$B$2:$B$301,"&gt;"&amp;L26))^2)</f>
        <v>0.46208779668136946</v>
      </c>
      <c r="O26">
        <f>((COUNTIFS(Data!$M$2:$M$301,"Train",Data!$C$2:$C$301,"&lt;="&amp;ClassTree!$L$2)*M26)+(COUNTIFS(Data!$M$2:$M$301,"Train",Data!$C$2:$C$301,"&gt;"&amp;ClassTree!$L$2)*N26))/COUNTIF(Data!$M$2:$M$301,"Train")</f>
        <v>0.42412576949177128</v>
      </c>
      <c r="P26">
        <f>IF(AND(COUNTIFS(Data!$M$2:$M$301,"Train",Data!$B$2:$B$301,"&lt;="&amp;L26)&gt;0,COUNTIFS(Data!$M$2:$M$301,"Train",Data!$B$2:$B$301,"&gt;"&amp;L26)&gt;0),O26,1E+99)</f>
        <v>0.42412576949177128</v>
      </c>
    </row>
    <row r="27" spans="12:16" x14ac:dyDescent="0.2">
      <c r="L27">
        <f>Data!B27</f>
        <v>2005</v>
      </c>
      <c r="M27">
        <f>IF(COUNTIFS(Data!$M$2:$M$301,"Train",Data!$C$2:$C$301,"&lt;="&amp;ClassTree!$L$2,Data!$B$2:$B$301,"&lt;="&amp;L27)=0,0,1-(SUMIFS(Data!$L$2:$L$301,Data!$M$2:$M$301,"Train",Data!$C$2:$C$301,"&lt;="&amp;ClassTree!$L$2,Data!$B$2:$B$301,"&lt;="&amp;L27)/COUNTIFS(Data!$M$2:$M$301,"Train",Data!$C$2:$C$301,"&lt;="&amp;ClassTree!$L$2,Data!$B$2:$B$301,"&lt;="&amp;L27))^2-(1-SUMIFS(Data!$L$2:$L$301,Data!$M$2:$M$301,"Train",Data!$C$2:$C$301,"&lt;="&amp;ClassTree!$L$2,Data!$B$2:$B$301,"&lt;="&amp;L27)/COUNTIFS(Data!$M$2:$M$301,"Train",Data!$C$2:$C$301,"&lt;="&amp;ClassTree!$L$2,Data!$B$2:$B$301,"&lt;="&amp;L27))^2)</f>
        <v>0.1527777777777779</v>
      </c>
      <c r="N27">
        <f>IF(COUNTIFS(Data!$M$2:$M$301,"Train",Data!$C$2:$C$301,"&gt;"&amp;ClassTree!$L$2,Data!$B$2:$B$301,"&gt;"&amp;L27)=0,0,1-(SUMIFS(Data!$L$2:$L$301,Data!$M$2:$M$301,"Train",Data!$C$2:$C$301,"&gt;"&amp;ClassTree!$L$2,Data!$B$2:$B$301,"&gt;"&amp;L27)/COUNTIFS(Data!$M$2:$M$301,"Train",Data!$C$2:$C$301,"&gt;"&amp;ClassTree!$L$2,Data!$B$2:$B$301,"&gt;"&amp;L27))^2-(1-SUMIFS(Data!$L$2:$L$301,Data!$M$2:$M$301,"Train",Data!$C$2:$C$301,"&gt;"&amp;ClassTree!$L$2,Data!$B$2:$B$301,"&gt;"&amp;L27)/COUNTIFS(Data!$M$2:$M$301,"Train",Data!$C$2:$C$301,"&gt;"&amp;ClassTree!$L$2,Data!$B$2:$B$301,"&gt;"&amp;L27))^2)</f>
        <v>0.45877855112243893</v>
      </c>
      <c r="O27">
        <f>((COUNTIFS(Data!$M$2:$M$301,"Train",Data!$C$2:$C$301,"&lt;="&amp;ClassTree!$L$2)*M27)+(COUNTIFS(Data!$M$2:$M$301,"Train",Data!$C$2:$C$301,"&gt;"&amp;ClassTree!$L$2)*N27))/COUNTIF(Data!$M$2:$M$301,"Train")</f>
        <v>0.42672132724823636</v>
      </c>
      <c r="P27">
        <f>IF(AND(COUNTIFS(Data!$M$2:$M$301,"Train",Data!$B$2:$B$301,"&lt;="&amp;L27)&gt;0,COUNTIFS(Data!$M$2:$M$301,"Train",Data!$B$2:$B$301,"&gt;"&amp;L27)&gt;0),O27,1E+99)</f>
        <v>0.42672132724823636</v>
      </c>
    </row>
    <row r="28" spans="12:16" x14ac:dyDescent="0.2">
      <c r="L28">
        <f>Data!B28</f>
        <v>2006</v>
      </c>
      <c r="M28">
        <f>IF(COUNTIFS(Data!$M$2:$M$301,"Train",Data!$C$2:$C$301,"&lt;="&amp;ClassTree!$L$2,Data!$B$2:$B$301,"&lt;="&amp;L28)=0,0,1-(SUMIFS(Data!$L$2:$L$301,Data!$M$2:$M$301,"Train",Data!$C$2:$C$301,"&lt;="&amp;ClassTree!$L$2,Data!$B$2:$B$301,"&lt;="&amp;L28)/COUNTIFS(Data!$M$2:$M$301,"Train",Data!$C$2:$C$301,"&lt;="&amp;ClassTree!$L$2,Data!$B$2:$B$301,"&lt;="&amp;L28))^2-(1-SUMIFS(Data!$L$2:$L$301,Data!$M$2:$M$301,"Train",Data!$C$2:$C$301,"&lt;="&amp;ClassTree!$L$2,Data!$B$2:$B$301,"&lt;="&amp;L28)/COUNTIFS(Data!$M$2:$M$301,"Train",Data!$C$2:$C$301,"&lt;="&amp;ClassTree!$L$2,Data!$B$2:$B$301,"&lt;="&amp;L28))^2)</f>
        <v>9.9722991689750629E-2</v>
      </c>
      <c r="N28">
        <f>IF(COUNTIFS(Data!$M$2:$M$301,"Train",Data!$C$2:$C$301,"&gt;"&amp;ClassTree!$L$2,Data!$B$2:$B$301,"&gt;"&amp;L28)=0,0,1-(SUMIFS(Data!$L$2:$L$301,Data!$M$2:$M$301,"Train",Data!$C$2:$C$301,"&gt;"&amp;ClassTree!$L$2,Data!$B$2:$B$301,"&gt;"&amp;L28)/COUNTIFS(Data!$M$2:$M$301,"Train",Data!$C$2:$C$301,"&gt;"&amp;ClassTree!$L$2,Data!$B$2:$B$301,"&gt;"&amp;L28))^2-(1-SUMIFS(Data!$L$2:$L$301,Data!$M$2:$M$301,"Train",Data!$C$2:$C$301,"&gt;"&amp;ClassTree!$L$2,Data!$B$2:$B$301,"&gt;"&amp;L28)/COUNTIFS(Data!$M$2:$M$301,"Train",Data!$C$2:$C$301,"&gt;"&amp;ClassTree!$L$2,Data!$B$2:$B$301,"&gt;"&amp;L28))^2)</f>
        <v>0.46208779668136946</v>
      </c>
      <c r="O28">
        <f>((COUNTIFS(Data!$M$2:$M$301,"Train",Data!$C$2:$C$301,"&lt;="&amp;ClassTree!$L$2)*M28)+(COUNTIFS(Data!$M$2:$M$301,"Train",Data!$C$2:$C$301,"&gt;"&amp;ClassTree!$L$2)*N28))/COUNTIF(Data!$M$2:$M$301,"Train")</f>
        <v>0.42412576949177128</v>
      </c>
      <c r="P28">
        <f>IF(AND(COUNTIFS(Data!$M$2:$M$301,"Train",Data!$B$2:$B$301,"&lt;="&amp;L28)&gt;0,COUNTIFS(Data!$M$2:$M$301,"Train",Data!$B$2:$B$301,"&gt;"&amp;L28)&gt;0),O28,1E+99)</f>
        <v>0.42412576949177128</v>
      </c>
    </row>
    <row r="29" spans="12:16" x14ac:dyDescent="0.2">
      <c r="L29">
        <f>Data!B29</f>
        <v>2004</v>
      </c>
      <c r="M29">
        <f>IF(COUNTIFS(Data!$M$2:$M$301,"Train",Data!$C$2:$C$301,"&lt;="&amp;ClassTree!$L$2,Data!$B$2:$B$301,"&lt;="&amp;L29)=0,0,1-(SUMIFS(Data!$L$2:$L$301,Data!$M$2:$M$301,"Train",Data!$C$2:$C$301,"&lt;="&amp;ClassTree!$L$2,Data!$B$2:$B$301,"&lt;="&amp;L29)/COUNTIFS(Data!$M$2:$M$301,"Train",Data!$C$2:$C$301,"&lt;="&amp;ClassTree!$L$2,Data!$B$2:$B$301,"&lt;="&amp;L29))^2-(1-SUMIFS(Data!$L$2:$L$301,Data!$M$2:$M$301,"Train",Data!$C$2:$C$301,"&lt;="&amp;ClassTree!$L$2,Data!$B$2:$B$301,"&lt;="&amp;L29)/COUNTIFS(Data!$M$2:$M$301,"Train",Data!$C$2:$C$301,"&lt;="&amp;ClassTree!$L$2,Data!$B$2:$B$301,"&lt;="&amp;L29))^2)</f>
        <v>0.17999999999999994</v>
      </c>
      <c r="N29">
        <f>IF(COUNTIFS(Data!$M$2:$M$301,"Train",Data!$C$2:$C$301,"&gt;"&amp;ClassTree!$L$2,Data!$B$2:$B$301,"&gt;"&amp;L29)=0,0,1-(SUMIFS(Data!$L$2:$L$301,Data!$M$2:$M$301,"Train",Data!$C$2:$C$301,"&gt;"&amp;ClassTree!$L$2,Data!$B$2:$B$301,"&gt;"&amp;L29)/COUNTIFS(Data!$M$2:$M$301,"Train",Data!$C$2:$C$301,"&gt;"&amp;ClassTree!$L$2,Data!$B$2:$B$301,"&gt;"&amp;L29))^2-(1-SUMIFS(Data!$L$2:$L$301,Data!$M$2:$M$301,"Train",Data!$C$2:$C$301,"&gt;"&amp;ClassTree!$L$2,Data!$B$2:$B$301,"&gt;"&amp;L29)/COUNTIFS(Data!$M$2:$M$301,"Train",Data!$C$2:$C$301,"&gt;"&amp;ClassTree!$L$2,Data!$B$2:$B$301,"&gt;"&amp;L29))^2)</f>
        <v>0.46924800000000005</v>
      </c>
      <c r="O29">
        <f>((COUNTIFS(Data!$M$2:$M$301,"Train",Data!$C$2:$C$301,"&lt;="&amp;ClassTree!$L$2)*M29)+(COUNTIFS(Data!$M$2:$M$301,"Train",Data!$C$2:$C$301,"&gt;"&amp;ClassTree!$L$2)*N29))/COUNTIF(Data!$M$2:$M$301,"Train")</f>
        <v>0.43894582857142855</v>
      </c>
      <c r="P29">
        <f>IF(AND(COUNTIFS(Data!$M$2:$M$301,"Train",Data!$B$2:$B$301,"&lt;="&amp;L29)&gt;0,COUNTIFS(Data!$M$2:$M$301,"Train",Data!$B$2:$B$301,"&gt;"&amp;L29)&gt;0),O29,1E+99)</f>
        <v>0.43894582857142855</v>
      </c>
    </row>
    <row r="30" spans="12:16" x14ac:dyDescent="0.2">
      <c r="L30">
        <f>Data!B30</f>
        <v>2008</v>
      </c>
      <c r="M30">
        <f>IF(COUNTIFS(Data!$M$2:$M$301,"Train",Data!$C$2:$C$301,"&lt;="&amp;ClassTree!$L$2,Data!$B$2:$B$301,"&lt;="&amp;L30)=0,0,1-(SUMIFS(Data!$L$2:$L$301,Data!$M$2:$M$301,"Train",Data!$C$2:$C$301,"&lt;="&amp;ClassTree!$L$2,Data!$B$2:$B$301,"&lt;="&amp;L30)/COUNTIFS(Data!$M$2:$M$301,"Train",Data!$C$2:$C$301,"&lt;="&amp;ClassTree!$L$2,Data!$B$2:$B$301,"&lt;="&amp;L30))^2-(1-SUMIFS(Data!$L$2:$L$301,Data!$M$2:$M$301,"Train",Data!$C$2:$C$301,"&lt;="&amp;ClassTree!$L$2,Data!$B$2:$B$301,"&lt;="&amp;L30)/COUNTIFS(Data!$M$2:$M$301,"Train",Data!$C$2:$C$301,"&lt;="&amp;ClassTree!$L$2,Data!$B$2:$B$301,"&lt;="&amp;L30))^2)</f>
        <v>8.6776859504132053E-2</v>
      </c>
      <c r="N30">
        <f>IF(COUNTIFS(Data!$M$2:$M$301,"Train",Data!$C$2:$C$301,"&gt;"&amp;ClassTree!$L$2,Data!$B$2:$B$301,"&gt;"&amp;L30)=0,0,1-(SUMIFS(Data!$L$2:$L$301,Data!$M$2:$M$301,"Train",Data!$C$2:$C$301,"&gt;"&amp;ClassTree!$L$2,Data!$B$2:$B$301,"&gt;"&amp;L30)/COUNTIFS(Data!$M$2:$M$301,"Train",Data!$C$2:$C$301,"&gt;"&amp;ClassTree!$L$2,Data!$B$2:$B$301,"&gt;"&amp;L30))^2-(1-SUMIFS(Data!$L$2:$L$301,Data!$M$2:$M$301,"Train",Data!$C$2:$C$301,"&gt;"&amp;ClassTree!$L$2,Data!$B$2:$B$301,"&gt;"&amp;L30)/COUNTIFS(Data!$M$2:$M$301,"Train",Data!$C$2:$C$301,"&gt;"&amp;ClassTree!$L$2,Data!$B$2:$B$301,"&gt;"&amp;L30))^2)</f>
        <v>0.47337278106508873</v>
      </c>
      <c r="O30">
        <f>((COUNTIFS(Data!$M$2:$M$301,"Train",Data!$C$2:$C$301,"&lt;="&amp;ClassTree!$L$2)*M30)+(COUNTIFS(Data!$M$2:$M$301,"Train",Data!$C$2:$C$301,"&gt;"&amp;ClassTree!$L$2)*N30))/COUNTIF(Data!$M$2:$M$301,"Train")</f>
        <v>0.432872255949179</v>
      </c>
      <c r="P30">
        <f>IF(AND(COUNTIFS(Data!$M$2:$M$301,"Train",Data!$B$2:$B$301,"&lt;="&amp;L30)&gt;0,COUNTIFS(Data!$M$2:$M$301,"Train",Data!$B$2:$B$301,"&gt;"&amp;L30)&gt;0),O30,1E+99)</f>
        <v>0.432872255949179</v>
      </c>
    </row>
    <row r="31" spans="12:16" x14ac:dyDescent="0.2">
      <c r="L31">
        <f>Data!B31</f>
        <v>2003</v>
      </c>
      <c r="M31">
        <f>IF(COUNTIFS(Data!$M$2:$M$301,"Train",Data!$C$2:$C$301,"&lt;="&amp;ClassTree!$L$2,Data!$B$2:$B$301,"&lt;="&amp;L31)=0,0,1-(SUMIFS(Data!$L$2:$L$301,Data!$M$2:$M$301,"Train",Data!$C$2:$C$301,"&lt;="&amp;ClassTree!$L$2,Data!$B$2:$B$301,"&lt;="&amp;L31)/COUNTIFS(Data!$M$2:$M$301,"Train",Data!$C$2:$C$301,"&lt;="&amp;ClassTree!$L$2,Data!$B$2:$B$301,"&lt;="&amp;L31))^2-(1-SUMIFS(Data!$L$2:$L$301,Data!$M$2:$M$301,"Train",Data!$C$2:$C$301,"&lt;="&amp;ClassTree!$L$2,Data!$B$2:$B$301,"&lt;="&amp;L31)/COUNTIFS(Data!$M$2:$M$301,"Train",Data!$C$2:$C$301,"&lt;="&amp;ClassTree!$L$2,Data!$B$2:$B$301,"&lt;="&amp;L31))^2)</f>
        <v>0</v>
      </c>
      <c r="N31">
        <f>IF(COUNTIFS(Data!$M$2:$M$301,"Train",Data!$C$2:$C$301,"&gt;"&amp;ClassTree!$L$2,Data!$B$2:$B$301,"&gt;"&amp;L31)=0,0,1-(SUMIFS(Data!$L$2:$L$301,Data!$M$2:$M$301,"Train",Data!$C$2:$C$301,"&gt;"&amp;ClassTree!$L$2,Data!$B$2:$B$301,"&gt;"&amp;L31)/COUNTIFS(Data!$M$2:$M$301,"Train",Data!$C$2:$C$301,"&gt;"&amp;ClassTree!$L$2,Data!$B$2:$B$301,"&gt;"&amp;L31))^2-(1-SUMIFS(Data!$L$2:$L$301,Data!$M$2:$M$301,"Train",Data!$C$2:$C$301,"&gt;"&amp;ClassTree!$L$2,Data!$B$2:$B$301,"&gt;"&amp;L31)/COUNTIFS(Data!$M$2:$M$301,"Train",Data!$C$2:$C$301,"&gt;"&amp;ClassTree!$L$2,Data!$B$2:$B$301,"&gt;"&amp;L31))^2)</f>
        <v>0.48347107438016523</v>
      </c>
      <c r="O31">
        <f>((COUNTIFS(Data!$M$2:$M$301,"Train",Data!$C$2:$C$301,"&lt;="&amp;ClassTree!$L$2)*M31)+(COUNTIFS(Data!$M$2:$M$301,"Train",Data!$C$2:$C$301,"&gt;"&amp;ClassTree!$L$2)*N31))/COUNTIF(Data!$M$2:$M$301,"Train")</f>
        <v>0.43282172373081462</v>
      </c>
      <c r="P31">
        <f>IF(AND(COUNTIFS(Data!$M$2:$M$301,"Train",Data!$B$2:$B$301,"&lt;="&amp;L31)&gt;0,COUNTIFS(Data!$M$2:$M$301,"Train",Data!$B$2:$B$301,"&gt;"&amp;L31)&gt;0),O31,1E+99)</f>
        <v>0.43282172373081462</v>
      </c>
    </row>
    <row r="32" spans="12:16" x14ac:dyDescent="0.2">
      <c r="L32">
        <f>Data!B32</f>
        <v>2004</v>
      </c>
      <c r="M32">
        <f>IF(COUNTIFS(Data!$M$2:$M$301,"Train",Data!$C$2:$C$301,"&lt;="&amp;ClassTree!$L$2,Data!$B$2:$B$301,"&lt;="&amp;L32)=0,0,1-(SUMIFS(Data!$L$2:$L$301,Data!$M$2:$M$301,"Train",Data!$C$2:$C$301,"&lt;="&amp;ClassTree!$L$2,Data!$B$2:$B$301,"&lt;="&amp;L32)/COUNTIFS(Data!$M$2:$M$301,"Train",Data!$C$2:$C$301,"&lt;="&amp;ClassTree!$L$2,Data!$B$2:$B$301,"&lt;="&amp;L32))^2-(1-SUMIFS(Data!$L$2:$L$301,Data!$M$2:$M$301,"Train",Data!$C$2:$C$301,"&lt;="&amp;ClassTree!$L$2,Data!$B$2:$B$301,"&lt;="&amp;L32)/COUNTIFS(Data!$M$2:$M$301,"Train",Data!$C$2:$C$301,"&lt;="&amp;ClassTree!$L$2,Data!$B$2:$B$301,"&lt;="&amp;L32))^2)</f>
        <v>0.17999999999999994</v>
      </c>
      <c r="N32">
        <f>IF(COUNTIFS(Data!$M$2:$M$301,"Train",Data!$C$2:$C$301,"&gt;"&amp;ClassTree!$L$2,Data!$B$2:$B$301,"&gt;"&amp;L32)=0,0,1-(SUMIFS(Data!$L$2:$L$301,Data!$M$2:$M$301,"Train",Data!$C$2:$C$301,"&gt;"&amp;ClassTree!$L$2,Data!$B$2:$B$301,"&gt;"&amp;L32)/COUNTIFS(Data!$M$2:$M$301,"Train",Data!$C$2:$C$301,"&gt;"&amp;ClassTree!$L$2,Data!$B$2:$B$301,"&gt;"&amp;L32))^2-(1-SUMIFS(Data!$L$2:$L$301,Data!$M$2:$M$301,"Train",Data!$C$2:$C$301,"&gt;"&amp;ClassTree!$L$2,Data!$B$2:$B$301,"&gt;"&amp;L32)/COUNTIFS(Data!$M$2:$M$301,"Train",Data!$C$2:$C$301,"&gt;"&amp;ClassTree!$L$2,Data!$B$2:$B$301,"&gt;"&amp;L32))^2)</f>
        <v>0.46924800000000005</v>
      </c>
      <c r="O32">
        <f>((COUNTIFS(Data!$M$2:$M$301,"Train",Data!$C$2:$C$301,"&lt;="&amp;ClassTree!$L$2)*M32)+(COUNTIFS(Data!$M$2:$M$301,"Train",Data!$C$2:$C$301,"&gt;"&amp;ClassTree!$L$2)*N32))/COUNTIF(Data!$M$2:$M$301,"Train")</f>
        <v>0.43894582857142855</v>
      </c>
      <c r="P32">
        <f>IF(AND(COUNTIFS(Data!$M$2:$M$301,"Train",Data!$B$2:$B$301,"&lt;="&amp;L32)&gt;0,COUNTIFS(Data!$M$2:$M$301,"Train",Data!$B$2:$B$301,"&gt;"&amp;L32)&gt;0),O32,1E+99)</f>
        <v>0.43894582857142855</v>
      </c>
    </row>
    <row r="33" spans="12:16" x14ac:dyDescent="0.2">
      <c r="L33">
        <f>Data!B33</f>
        <v>2005</v>
      </c>
      <c r="M33">
        <f>IF(COUNTIFS(Data!$M$2:$M$301,"Train",Data!$C$2:$C$301,"&lt;="&amp;ClassTree!$L$2,Data!$B$2:$B$301,"&lt;="&amp;L33)=0,0,1-(SUMIFS(Data!$L$2:$L$301,Data!$M$2:$M$301,"Train",Data!$C$2:$C$301,"&lt;="&amp;ClassTree!$L$2,Data!$B$2:$B$301,"&lt;="&amp;L33)/COUNTIFS(Data!$M$2:$M$301,"Train",Data!$C$2:$C$301,"&lt;="&amp;ClassTree!$L$2,Data!$B$2:$B$301,"&lt;="&amp;L33))^2-(1-SUMIFS(Data!$L$2:$L$301,Data!$M$2:$M$301,"Train",Data!$C$2:$C$301,"&lt;="&amp;ClassTree!$L$2,Data!$B$2:$B$301,"&lt;="&amp;L33)/COUNTIFS(Data!$M$2:$M$301,"Train",Data!$C$2:$C$301,"&lt;="&amp;ClassTree!$L$2,Data!$B$2:$B$301,"&lt;="&amp;L33))^2)</f>
        <v>0.1527777777777779</v>
      </c>
      <c r="N33">
        <f>IF(COUNTIFS(Data!$M$2:$M$301,"Train",Data!$C$2:$C$301,"&gt;"&amp;ClassTree!$L$2,Data!$B$2:$B$301,"&gt;"&amp;L33)=0,0,1-(SUMIFS(Data!$L$2:$L$301,Data!$M$2:$M$301,"Train",Data!$C$2:$C$301,"&gt;"&amp;ClassTree!$L$2,Data!$B$2:$B$301,"&gt;"&amp;L33)/COUNTIFS(Data!$M$2:$M$301,"Train",Data!$C$2:$C$301,"&gt;"&amp;ClassTree!$L$2,Data!$B$2:$B$301,"&gt;"&amp;L33))^2-(1-SUMIFS(Data!$L$2:$L$301,Data!$M$2:$M$301,"Train",Data!$C$2:$C$301,"&gt;"&amp;ClassTree!$L$2,Data!$B$2:$B$301,"&gt;"&amp;L33)/COUNTIFS(Data!$M$2:$M$301,"Train",Data!$C$2:$C$301,"&gt;"&amp;ClassTree!$L$2,Data!$B$2:$B$301,"&gt;"&amp;L33))^2)</f>
        <v>0.45877855112243893</v>
      </c>
      <c r="O33">
        <f>((COUNTIFS(Data!$M$2:$M$301,"Train",Data!$C$2:$C$301,"&lt;="&amp;ClassTree!$L$2)*M33)+(COUNTIFS(Data!$M$2:$M$301,"Train",Data!$C$2:$C$301,"&gt;"&amp;ClassTree!$L$2)*N33))/COUNTIF(Data!$M$2:$M$301,"Train")</f>
        <v>0.42672132724823636</v>
      </c>
      <c r="P33">
        <f>IF(AND(COUNTIFS(Data!$M$2:$M$301,"Train",Data!$B$2:$B$301,"&lt;="&amp;L33)&gt;0,COUNTIFS(Data!$M$2:$M$301,"Train",Data!$B$2:$B$301,"&gt;"&amp;L33)&gt;0),O33,1E+99)</f>
        <v>0.42672132724823636</v>
      </c>
    </row>
    <row r="34" spans="12:16" x14ac:dyDescent="0.2">
      <c r="L34">
        <f>Data!B34</f>
        <v>2008</v>
      </c>
      <c r="M34">
        <f>IF(COUNTIFS(Data!$M$2:$M$301,"Train",Data!$C$2:$C$301,"&lt;="&amp;ClassTree!$L$2,Data!$B$2:$B$301,"&lt;="&amp;L34)=0,0,1-(SUMIFS(Data!$L$2:$L$301,Data!$M$2:$M$301,"Train",Data!$C$2:$C$301,"&lt;="&amp;ClassTree!$L$2,Data!$B$2:$B$301,"&lt;="&amp;L34)/COUNTIFS(Data!$M$2:$M$301,"Train",Data!$C$2:$C$301,"&lt;="&amp;ClassTree!$L$2,Data!$B$2:$B$301,"&lt;="&amp;L34))^2-(1-SUMIFS(Data!$L$2:$L$301,Data!$M$2:$M$301,"Train",Data!$C$2:$C$301,"&lt;="&amp;ClassTree!$L$2,Data!$B$2:$B$301,"&lt;="&amp;L34)/COUNTIFS(Data!$M$2:$M$301,"Train",Data!$C$2:$C$301,"&lt;="&amp;ClassTree!$L$2,Data!$B$2:$B$301,"&lt;="&amp;L34))^2)</f>
        <v>8.6776859504132053E-2</v>
      </c>
      <c r="N34">
        <f>IF(COUNTIFS(Data!$M$2:$M$301,"Train",Data!$C$2:$C$301,"&gt;"&amp;ClassTree!$L$2,Data!$B$2:$B$301,"&gt;"&amp;L34)=0,0,1-(SUMIFS(Data!$L$2:$L$301,Data!$M$2:$M$301,"Train",Data!$C$2:$C$301,"&gt;"&amp;ClassTree!$L$2,Data!$B$2:$B$301,"&gt;"&amp;L34)/COUNTIFS(Data!$M$2:$M$301,"Train",Data!$C$2:$C$301,"&gt;"&amp;ClassTree!$L$2,Data!$B$2:$B$301,"&gt;"&amp;L34))^2-(1-SUMIFS(Data!$L$2:$L$301,Data!$M$2:$M$301,"Train",Data!$C$2:$C$301,"&gt;"&amp;ClassTree!$L$2,Data!$B$2:$B$301,"&gt;"&amp;L34)/COUNTIFS(Data!$M$2:$M$301,"Train",Data!$C$2:$C$301,"&gt;"&amp;ClassTree!$L$2,Data!$B$2:$B$301,"&gt;"&amp;L34))^2)</f>
        <v>0.47337278106508873</v>
      </c>
      <c r="O34">
        <f>((COUNTIFS(Data!$M$2:$M$301,"Train",Data!$C$2:$C$301,"&lt;="&amp;ClassTree!$L$2)*M34)+(COUNTIFS(Data!$M$2:$M$301,"Train",Data!$C$2:$C$301,"&gt;"&amp;ClassTree!$L$2)*N34))/COUNTIF(Data!$M$2:$M$301,"Train")</f>
        <v>0.432872255949179</v>
      </c>
      <c r="P34">
        <f>IF(AND(COUNTIFS(Data!$M$2:$M$301,"Train",Data!$B$2:$B$301,"&lt;="&amp;L34)&gt;0,COUNTIFS(Data!$M$2:$M$301,"Train",Data!$B$2:$B$301,"&gt;"&amp;L34)&gt;0),O34,1E+99)</f>
        <v>0.432872255949179</v>
      </c>
    </row>
    <row r="35" spans="12:16" x14ac:dyDescent="0.2">
      <c r="L35">
        <f>Data!B35</f>
        <v>2005</v>
      </c>
      <c r="M35">
        <f>IF(COUNTIFS(Data!$M$2:$M$301,"Train",Data!$C$2:$C$301,"&lt;="&amp;ClassTree!$L$2,Data!$B$2:$B$301,"&lt;="&amp;L35)=0,0,1-(SUMIFS(Data!$L$2:$L$301,Data!$M$2:$M$301,"Train",Data!$C$2:$C$301,"&lt;="&amp;ClassTree!$L$2,Data!$B$2:$B$301,"&lt;="&amp;L35)/COUNTIFS(Data!$M$2:$M$301,"Train",Data!$C$2:$C$301,"&lt;="&amp;ClassTree!$L$2,Data!$B$2:$B$301,"&lt;="&amp;L35))^2-(1-SUMIFS(Data!$L$2:$L$301,Data!$M$2:$M$301,"Train",Data!$C$2:$C$301,"&lt;="&amp;ClassTree!$L$2,Data!$B$2:$B$301,"&lt;="&amp;L35)/COUNTIFS(Data!$M$2:$M$301,"Train",Data!$C$2:$C$301,"&lt;="&amp;ClassTree!$L$2,Data!$B$2:$B$301,"&lt;="&amp;L35))^2)</f>
        <v>0.1527777777777779</v>
      </c>
      <c r="N35">
        <f>IF(COUNTIFS(Data!$M$2:$M$301,"Train",Data!$C$2:$C$301,"&gt;"&amp;ClassTree!$L$2,Data!$B$2:$B$301,"&gt;"&amp;L35)=0,0,1-(SUMIFS(Data!$L$2:$L$301,Data!$M$2:$M$301,"Train",Data!$C$2:$C$301,"&gt;"&amp;ClassTree!$L$2,Data!$B$2:$B$301,"&gt;"&amp;L35)/COUNTIFS(Data!$M$2:$M$301,"Train",Data!$C$2:$C$301,"&gt;"&amp;ClassTree!$L$2,Data!$B$2:$B$301,"&gt;"&amp;L35))^2-(1-SUMIFS(Data!$L$2:$L$301,Data!$M$2:$M$301,"Train",Data!$C$2:$C$301,"&gt;"&amp;ClassTree!$L$2,Data!$B$2:$B$301,"&gt;"&amp;L35)/COUNTIFS(Data!$M$2:$M$301,"Train",Data!$C$2:$C$301,"&gt;"&amp;ClassTree!$L$2,Data!$B$2:$B$301,"&gt;"&amp;L35))^2)</f>
        <v>0.45877855112243893</v>
      </c>
      <c r="O35">
        <f>((COUNTIFS(Data!$M$2:$M$301,"Train",Data!$C$2:$C$301,"&lt;="&amp;ClassTree!$L$2)*M35)+(COUNTIFS(Data!$M$2:$M$301,"Train",Data!$C$2:$C$301,"&gt;"&amp;ClassTree!$L$2)*N35))/COUNTIF(Data!$M$2:$M$301,"Train")</f>
        <v>0.42672132724823636</v>
      </c>
      <c r="P35">
        <f>IF(AND(COUNTIFS(Data!$M$2:$M$301,"Train",Data!$B$2:$B$301,"&lt;="&amp;L35)&gt;0,COUNTIFS(Data!$M$2:$M$301,"Train",Data!$B$2:$B$301,"&gt;"&amp;L35)&gt;0),O35,1E+99)</f>
        <v>0.42672132724823636</v>
      </c>
    </row>
    <row r="36" spans="12:16" x14ac:dyDescent="0.2">
      <c r="L36">
        <f>Data!B36</f>
        <v>2006</v>
      </c>
      <c r="M36">
        <f>IF(COUNTIFS(Data!$M$2:$M$301,"Train",Data!$C$2:$C$301,"&lt;="&amp;ClassTree!$L$2,Data!$B$2:$B$301,"&lt;="&amp;L36)=0,0,1-(SUMIFS(Data!$L$2:$L$301,Data!$M$2:$M$301,"Train",Data!$C$2:$C$301,"&lt;="&amp;ClassTree!$L$2,Data!$B$2:$B$301,"&lt;="&amp;L36)/COUNTIFS(Data!$M$2:$M$301,"Train",Data!$C$2:$C$301,"&lt;="&amp;ClassTree!$L$2,Data!$B$2:$B$301,"&lt;="&amp;L36))^2-(1-SUMIFS(Data!$L$2:$L$301,Data!$M$2:$M$301,"Train",Data!$C$2:$C$301,"&lt;="&amp;ClassTree!$L$2,Data!$B$2:$B$301,"&lt;="&amp;L36)/COUNTIFS(Data!$M$2:$M$301,"Train",Data!$C$2:$C$301,"&lt;="&amp;ClassTree!$L$2,Data!$B$2:$B$301,"&lt;="&amp;L36))^2)</f>
        <v>9.9722991689750629E-2</v>
      </c>
      <c r="N36">
        <f>IF(COUNTIFS(Data!$M$2:$M$301,"Train",Data!$C$2:$C$301,"&gt;"&amp;ClassTree!$L$2,Data!$B$2:$B$301,"&gt;"&amp;L36)=0,0,1-(SUMIFS(Data!$L$2:$L$301,Data!$M$2:$M$301,"Train",Data!$C$2:$C$301,"&gt;"&amp;ClassTree!$L$2,Data!$B$2:$B$301,"&gt;"&amp;L36)/COUNTIFS(Data!$M$2:$M$301,"Train",Data!$C$2:$C$301,"&gt;"&amp;ClassTree!$L$2,Data!$B$2:$B$301,"&gt;"&amp;L36))^2-(1-SUMIFS(Data!$L$2:$L$301,Data!$M$2:$M$301,"Train",Data!$C$2:$C$301,"&gt;"&amp;ClassTree!$L$2,Data!$B$2:$B$301,"&gt;"&amp;L36)/COUNTIFS(Data!$M$2:$M$301,"Train",Data!$C$2:$C$301,"&gt;"&amp;ClassTree!$L$2,Data!$B$2:$B$301,"&gt;"&amp;L36))^2)</f>
        <v>0.46208779668136946</v>
      </c>
      <c r="O36">
        <f>((COUNTIFS(Data!$M$2:$M$301,"Train",Data!$C$2:$C$301,"&lt;="&amp;ClassTree!$L$2)*M36)+(COUNTIFS(Data!$M$2:$M$301,"Train",Data!$C$2:$C$301,"&gt;"&amp;ClassTree!$L$2)*N36))/COUNTIF(Data!$M$2:$M$301,"Train")</f>
        <v>0.42412576949177128</v>
      </c>
      <c r="P36">
        <f>IF(AND(COUNTIFS(Data!$M$2:$M$301,"Train",Data!$B$2:$B$301,"&lt;="&amp;L36)&gt;0,COUNTIFS(Data!$M$2:$M$301,"Train",Data!$B$2:$B$301,"&gt;"&amp;L36)&gt;0),O36,1E+99)</f>
        <v>0.42412576949177128</v>
      </c>
    </row>
    <row r="37" spans="12:16" x14ac:dyDescent="0.2">
      <c r="L37">
        <f>Data!B37</f>
        <v>2003</v>
      </c>
      <c r="M37">
        <f>IF(COUNTIFS(Data!$M$2:$M$301,"Train",Data!$C$2:$C$301,"&lt;="&amp;ClassTree!$L$2,Data!$B$2:$B$301,"&lt;="&amp;L37)=0,0,1-(SUMIFS(Data!$L$2:$L$301,Data!$M$2:$M$301,"Train",Data!$C$2:$C$301,"&lt;="&amp;ClassTree!$L$2,Data!$B$2:$B$301,"&lt;="&amp;L37)/COUNTIFS(Data!$M$2:$M$301,"Train",Data!$C$2:$C$301,"&lt;="&amp;ClassTree!$L$2,Data!$B$2:$B$301,"&lt;="&amp;L37))^2-(1-SUMIFS(Data!$L$2:$L$301,Data!$M$2:$M$301,"Train",Data!$C$2:$C$301,"&lt;="&amp;ClassTree!$L$2,Data!$B$2:$B$301,"&lt;="&amp;L37)/COUNTIFS(Data!$M$2:$M$301,"Train",Data!$C$2:$C$301,"&lt;="&amp;ClassTree!$L$2,Data!$B$2:$B$301,"&lt;="&amp;L37))^2)</f>
        <v>0</v>
      </c>
      <c r="N37">
        <f>IF(COUNTIFS(Data!$M$2:$M$301,"Train",Data!$C$2:$C$301,"&gt;"&amp;ClassTree!$L$2,Data!$B$2:$B$301,"&gt;"&amp;L37)=0,0,1-(SUMIFS(Data!$L$2:$L$301,Data!$M$2:$M$301,"Train",Data!$C$2:$C$301,"&gt;"&amp;ClassTree!$L$2,Data!$B$2:$B$301,"&gt;"&amp;L37)/COUNTIFS(Data!$M$2:$M$301,"Train",Data!$C$2:$C$301,"&gt;"&amp;ClassTree!$L$2,Data!$B$2:$B$301,"&gt;"&amp;L37))^2-(1-SUMIFS(Data!$L$2:$L$301,Data!$M$2:$M$301,"Train",Data!$C$2:$C$301,"&gt;"&amp;ClassTree!$L$2,Data!$B$2:$B$301,"&gt;"&amp;L37)/COUNTIFS(Data!$M$2:$M$301,"Train",Data!$C$2:$C$301,"&gt;"&amp;ClassTree!$L$2,Data!$B$2:$B$301,"&gt;"&amp;L37))^2)</f>
        <v>0.48347107438016523</v>
      </c>
      <c r="O37">
        <f>((COUNTIFS(Data!$M$2:$M$301,"Train",Data!$C$2:$C$301,"&lt;="&amp;ClassTree!$L$2)*M37)+(COUNTIFS(Data!$M$2:$M$301,"Train",Data!$C$2:$C$301,"&gt;"&amp;ClassTree!$L$2)*N37))/COUNTIF(Data!$M$2:$M$301,"Train")</f>
        <v>0.43282172373081462</v>
      </c>
      <c r="P37">
        <f>IF(AND(COUNTIFS(Data!$M$2:$M$301,"Train",Data!$B$2:$B$301,"&lt;="&amp;L37)&gt;0,COUNTIFS(Data!$M$2:$M$301,"Train",Data!$B$2:$B$301,"&gt;"&amp;L37)&gt;0),O37,1E+99)</f>
        <v>0.43282172373081462</v>
      </c>
    </row>
    <row r="38" spans="12:16" x14ac:dyDescent="0.2">
      <c r="L38">
        <f>Data!B38</f>
        <v>2006</v>
      </c>
      <c r="M38">
        <f>IF(COUNTIFS(Data!$M$2:$M$301,"Train",Data!$C$2:$C$301,"&lt;="&amp;ClassTree!$L$2,Data!$B$2:$B$301,"&lt;="&amp;L38)=0,0,1-(SUMIFS(Data!$L$2:$L$301,Data!$M$2:$M$301,"Train",Data!$C$2:$C$301,"&lt;="&amp;ClassTree!$L$2,Data!$B$2:$B$301,"&lt;="&amp;L38)/COUNTIFS(Data!$M$2:$M$301,"Train",Data!$C$2:$C$301,"&lt;="&amp;ClassTree!$L$2,Data!$B$2:$B$301,"&lt;="&amp;L38))^2-(1-SUMIFS(Data!$L$2:$L$301,Data!$M$2:$M$301,"Train",Data!$C$2:$C$301,"&lt;="&amp;ClassTree!$L$2,Data!$B$2:$B$301,"&lt;="&amp;L38)/COUNTIFS(Data!$M$2:$M$301,"Train",Data!$C$2:$C$301,"&lt;="&amp;ClassTree!$L$2,Data!$B$2:$B$301,"&lt;="&amp;L38))^2)</f>
        <v>9.9722991689750629E-2</v>
      </c>
      <c r="N38">
        <f>IF(COUNTIFS(Data!$M$2:$M$301,"Train",Data!$C$2:$C$301,"&gt;"&amp;ClassTree!$L$2,Data!$B$2:$B$301,"&gt;"&amp;L38)=0,0,1-(SUMIFS(Data!$L$2:$L$301,Data!$M$2:$M$301,"Train",Data!$C$2:$C$301,"&gt;"&amp;ClassTree!$L$2,Data!$B$2:$B$301,"&gt;"&amp;L38)/COUNTIFS(Data!$M$2:$M$301,"Train",Data!$C$2:$C$301,"&gt;"&amp;ClassTree!$L$2,Data!$B$2:$B$301,"&gt;"&amp;L38))^2-(1-SUMIFS(Data!$L$2:$L$301,Data!$M$2:$M$301,"Train",Data!$C$2:$C$301,"&gt;"&amp;ClassTree!$L$2,Data!$B$2:$B$301,"&gt;"&amp;L38)/COUNTIFS(Data!$M$2:$M$301,"Train",Data!$C$2:$C$301,"&gt;"&amp;ClassTree!$L$2,Data!$B$2:$B$301,"&gt;"&amp;L38))^2)</f>
        <v>0.46208779668136946</v>
      </c>
      <c r="O38">
        <f>((COUNTIFS(Data!$M$2:$M$301,"Train",Data!$C$2:$C$301,"&lt;="&amp;ClassTree!$L$2)*M38)+(COUNTIFS(Data!$M$2:$M$301,"Train",Data!$C$2:$C$301,"&gt;"&amp;ClassTree!$L$2)*N38))/COUNTIF(Data!$M$2:$M$301,"Train")</f>
        <v>0.42412576949177128</v>
      </c>
      <c r="P38">
        <f>IF(AND(COUNTIFS(Data!$M$2:$M$301,"Train",Data!$B$2:$B$301,"&lt;="&amp;L38)&gt;0,COUNTIFS(Data!$M$2:$M$301,"Train",Data!$B$2:$B$301,"&gt;"&amp;L38)&gt;0),O38,1E+99)</f>
        <v>0.42412576949177128</v>
      </c>
    </row>
    <row r="39" spans="12:16" x14ac:dyDescent="0.2">
      <c r="L39">
        <f>Data!B39</f>
        <v>2004</v>
      </c>
      <c r="M39">
        <f>IF(COUNTIFS(Data!$M$2:$M$301,"Train",Data!$C$2:$C$301,"&lt;="&amp;ClassTree!$L$2,Data!$B$2:$B$301,"&lt;="&amp;L39)=0,0,1-(SUMIFS(Data!$L$2:$L$301,Data!$M$2:$M$301,"Train",Data!$C$2:$C$301,"&lt;="&amp;ClassTree!$L$2,Data!$B$2:$B$301,"&lt;="&amp;L39)/COUNTIFS(Data!$M$2:$M$301,"Train",Data!$C$2:$C$301,"&lt;="&amp;ClassTree!$L$2,Data!$B$2:$B$301,"&lt;="&amp;L39))^2-(1-SUMIFS(Data!$L$2:$L$301,Data!$M$2:$M$301,"Train",Data!$C$2:$C$301,"&lt;="&amp;ClassTree!$L$2,Data!$B$2:$B$301,"&lt;="&amp;L39)/COUNTIFS(Data!$M$2:$M$301,"Train",Data!$C$2:$C$301,"&lt;="&amp;ClassTree!$L$2,Data!$B$2:$B$301,"&lt;="&amp;L39))^2)</f>
        <v>0.17999999999999994</v>
      </c>
      <c r="N39">
        <f>IF(COUNTIFS(Data!$M$2:$M$301,"Train",Data!$C$2:$C$301,"&gt;"&amp;ClassTree!$L$2,Data!$B$2:$B$301,"&gt;"&amp;L39)=0,0,1-(SUMIFS(Data!$L$2:$L$301,Data!$M$2:$M$301,"Train",Data!$C$2:$C$301,"&gt;"&amp;ClassTree!$L$2,Data!$B$2:$B$301,"&gt;"&amp;L39)/COUNTIFS(Data!$M$2:$M$301,"Train",Data!$C$2:$C$301,"&gt;"&amp;ClassTree!$L$2,Data!$B$2:$B$301,"&gt;"&amp;L39))^2-(1-SUMIFS(Data!$L$2:$L$301,Data!$M$2:$M$301,"Train",Data!$C$2:$C$301,"&gt;"&amp;ClassTree!$L$2,Data!$B$2:$B$301,"&gt;"&amp;L39)/COUNTIFS(Data!$M$2:$M$301,"Train",Data!$C$2:$C$301,"&gt;"&amp;ClassTree!$L$2,Data!$B$2:$B$301,"&gt;"&amp;L39))^2)</f>
        <v>0.46924800000000005</v>
      </c>
      <c r="O39">
        <f>((COUNTIFS(Data!$M$2:$M$301,"Train",Data!$C$2:$C$301,"&lt;="&amp;ClassTree!$L$2)*M39)+(COUNTIFS(Data!$M$2:$M$301,"Train",Data!$C$2:$C$301,"&gt;"&amp;ClassTree!$L$2)*N39))/COUNTIF(Data!$M$2:$M$301,"Train")</f>
        <v>0.43894582857142855</v>
      </c>
      <c r="P39">
        <f>IF(AND(COUNTIFS(Data!$M$2:$M$301,"Train",Data!$B$2:$B$301,"&lt;="&amp;L39)&gt;0,COUNTIFS(Data!$M$2:$M$301,"Train",Data!$B$2:$B$301,"&gt;"&amp;L39)&gt;0),O39,1E+99)</f>
        <v>0.43894582857142855</v>
      </c>
    </row>
    <row r="40" spans="12:16" x14ac:dyDescent="0.2">
      <c r="L40">
        <f>Data!B40</f>
        <v>2006</v>
      </c>
      <c r="M40">
        <f>IF(COUNTIFS(Data!$M$2:$M$301,"Train",Data!$C$2:$C$301,"&lt;="&amp;ClassTree!$L$2,Data!$B$2:$B$301,"&lt;="&amp;L40)=0,0,1-(SUMIFS(Data!$L$2:$L$301,Data!$M$2:$M$301,"Train",Data!$C$2:$C$301,"&lt;="&amp;ClassTree!$L$2,Data!$B$2:$B$301,"&lt;="&amp;L40)/COUNTIFS(Data!$M$2:$M$301,"Train",Data!$C$2:$C$301,"&lt;="&amp;ClassTree!$L$2,Data!$B$2:$B$301,"&lt;="&amp;L40))^2-(1-SUMIFS(Data!$L$2:$L$301,Data!$M$2:$M$301,"Train",Data!$C$2:$C$301,"&lt;="&amp;ClassTree!$L$2,Data!$B$2:$B$301,"&lt;="&amp;L40)/COUNTIFS(Data!$M$2:$M$301,"Train",Data!$C$2:$C$301,"&lt;="&amp;ClassTree!$L$2,Data!$B$2:$B$301,"&lt;="&amp;L40))^2)</f>
        <v>9.9722991689750629E-2</v>
      </c>
      <c r="N40">
        <f>IF(COUNTIFS(Data!$M$2:$M$301,"Train",Data!$C$2:$C$301,"&gt;"&amp;ClassTree!$L$2,Data!$B$2:$B$301,"&gt;"&amp;L40)=0,0,1-(SUMIFS(Data!$L$2:$L$301,Data!$M$2:$M$301,"Train",Data!$C$2:$C$301,"&gt;"&amp;ClassTree!$L$2,Data!$B$2:$B$301,"&gt;"&amp;L40)/COUNTIFS(Data!$M$2:$M$301,"Train",Data!$C$2:$C$301,"&gt;"&amp;ClassTree!$L$2,Data!$B$2:$B$301,"&gt;"&amp;L40))^2-(1-SUMIFS(Data!$L$2:$L$301,Data!$M$2:$M$301,"Train",Data!$C$2:$C$301,"&gt;"&amp;ClassTree!$L$2,Data!$B$2:$B$301,"&gt;"&amp;L40)/COUNTIFS(Data!$M$2:$M$301,"Train",Data!$C$2:$C$301,"&gt;"&amp;ClassTree!$L$2,Data!$B$2:$B$301,"&gt;"&amp;L40))^2)</f>
        <v>0.46208779668136946</v>
      </c>
      <c r="O40">
        <f>((COUNTIFS(Data!$M$2:$M$301,"Train",Data!$C$2:$C$301,"&lt;="&amp;ClassTree!$L$2)*M40)+(COUNTIFS(Data!$M$2:$M$301,"Train",Data!$C$2:$C$301,"&gt;"&amp;ClassTree!$L$2)*N40))/COUNTIF(Data!$M$2:$M$301,"Train")</f>
        <v>0.42412576949177128</v>
      </c>
      <c r="P40">
        <f>IF(AND(COUNTIFS(Data!$M$2:$M$301,"Train",Data!$B$2:$B$301,"&lt;="&amp;L40)&gt;0,COUNTIFS(Data!$M$2:$M$301,"Train",Data!$B$2:$B$301,"&gt;"&amp;L40)&gt;0),O40,1E+99)</f>
        <v>0.42412576949177128</v>
      </c>
    </row>
    <row r="41" spans="12:16" x14ac:dyDescent="0.2">
      <c r="L41">
        <f>Data!B41</f>
        <v>2003</v>
      </c>
      <c r="M41">
        <f>IF(COUNTIFS(Data!$M$2:$M$301,"Train",Data!$C$2:$C$301,"&lt;="&amp;ClassTree!$L$2,Data!$B$2:$B$301,"&lt;="&amp;L41)=0,0,1-(SUMIFS(Data!$L$2:$L$301,Data!$M$2:$M$301,"Train",Data!$C$2:$C$301,"&lt;="&amp;ClassTree!$L$2,Data!$B$2:$B$301,"&lt;="&amp;L41)/COUNTIFS(Data!$M$2:$M$301,"Train",Data!$C$2:$C$301,"&lt;="&amp;ClassTree!$L$2,Data!$B$2:$B$301,"&lt;="&amp;L41))^2-(1-SUMIFS(Data!$L$2:$L$301,Data!$M$2:$M$301,"Train",Data!$C$2:$C$301,"&lt;="&amp;ClassTree!$L$2,Data!$B$2:$B$301,"&lt;="&amp;L41)/COUNTIFS(Data!$M$2:$M$301,"Train",Data!$C$2:$C$301,"&lt;="&amp;ClassTree!$L$2,Data!$B$2:$B$301,"&lt;="&amp;L41))^2)</f>
        <v>0</v>
      </c>
      <c r="N41">
        <f>IF(COUNTIFS(Data!$M$2:$M$301,"Train",Data!$C$2:$C$301,"&gt;"&amp;ClassTree!$L$2,Data!$B$2:$B$301,"&gt;"&amp;L41)=0,0,1-(SUMIFS(Data!$L$2:$L$301,Data!$M$2:$M$301,"Train",Data!$C$2:$C$301,"&gt;"&amp;ClassTree!$L$2,Data!$B$2:$B$301,"&gt;"&amp;L41)/COUNTIFS(Data!$M$2:$M$301,"Train",Data!$C$2:$C$301,"&gt;"&amp;ClassTree!$L$2,Data!$B$2:$B$301,"&gt;"&amp;L41))^2-(1-SUMIFS(Data!$L$2:$L$301,Data!$M$2:$M$301,"Train",Data!$C$2:$C$301,"&gt;"&amp;ClassTree!$L$2,Data!$B$2:$B$301,"&gt;"&amp;L41)/COUNTIFS(Data!$M$2:$M$301,"Train",Data!$C$2:$C$301,"&gt;"&amp;ClassTree!$L$2,Data!$B$2:$B$301,"&gt;"&amp;L41))^2)</f>
        <v>0.48347107438016523</v>
      </c>
      <c r="O41">
        <f>((COUNTIFS(Data!$M$2:$M$301,"Train",Data!$C$2:$C$301,"&lt;="&amp;ClassTree!$L$2)*M41)+(COUNTIFS(Data!$M$2:$M$301,"Train",Data!$C$2:$C$301,"&gt;"&amp;ClassTree!$L$2)*N41))/COUNTIF(Data!$M$2:$M$301,"Train")</f>
        <v>0.43282172373081462</v>
      </c>
      <c r="P41">
        <f>IF(AND(COUNTIFS(Data!$M$2:$M$301,"Train",Data!$B$2:$B$301,"&lt;="&amp;L41)&gt;0,COUNTIFS(Data!$M$2:$M$301,"Train",Data!$B$2:$B$301,"&gt;"&amp;L41)&gt;0),O41,1E+99)</f>
        <v>0.43282172373081462</v>
      </c>
    </row>
    <row r="42" spans="12:16" x14ac:dyDescent="0.2">
      <c r="L42">
        <f>Data!B42</f>
        <v>2004</v>
      </c>
      <c r="M42">
        <f>IF(COUNTIFS(Data!$M$2:$M$301,"Train",Data!$C$2:$C$301,"&lt;="&amp;ClassTree!$L$2,Data!$B$2:$B$301,"&lt;="&amp;L42)=0,0,1-(SUMIFS(Data!$L$2:$L$301,Data!$M$2:$M$301,"Train",Data!$C$2:$C$301,"&lt;="&amp;ClassTree!$L$2,Data!$B$2:$B$301,"&lt;="&amp;L42)/COUNTIFS(Data!$M$2:$M$301,"Train",Data!$C$2:$C$301,"&lt;="&amp;ClassTree!$L$2,Data!$B$2:$B$301,"&lt;="&amp;L42))^2-(1-SUMIFS(Data!$L$2:$L$301,Data!$M$2:$M$301,"Train",Data!$C$2:$C$301,"&lt;="&amp;ClassTree!$L$2,Data!$B$2:$B$301,"&lt;="&amp;L42)/COUNTIFS(Data!$M$2:$M$301,"Train",Data!$C$2:$C$301,"&lt;="&amp;ClassTree!$L$2,Data!$B$2:$B$301,"&lt;="&amp;L42))^2)</f>
        <v>0.17999999999999994</v>
      </c>
      <c r="N42">
        <f>IF(COUNTIFS(Data!$M$2:$M$301,"Train",Data!$C$2:$C$301,"&gt;"&amp;ClassTree!$L$2,Data!$B$2:$B$301,"&gt;"&amp;L42)=0,0,1-(SUMIFS(Data!$L$2:$L$301,Data!$M$2:$M$301,"Train",Data!$C$2:$C$301,"&gt;"&amp;ClassTree!$L$2,Data!$B$2:$B$301,"&gt;"&amp;L42)/COUNTIFS(Data!$M$2:$M$301,"Train",Data!$C$2:$C$301,"&gt;"&amp;ClassTree!$L$2,Data!$B$2:$B$301,"&gt;"&amp;L42))^2-(1-SUMIFS(Data!$L$2:$L$301,Data!$M$2:$M$301,"Train",Data!$C$2:$C$301,"&gt;"&amp;ClassTree!$L$2,Data!$B$2:$B$301,"&gt;"&amp;L42)/COUNTIFS(Data!$M$2:$M$301,"Train",Data!$C$2:$C$301,"&gt;"&amp;ClassTree!$L$2,Data!$B$2:$B$301,"&gt;"&amp;L42))^2)</f>
        <v>0.46924800000000005</v>
      </c>
      <c r="O42">
        <f>((COUNTIFS(Data!$M$2:$M$301,"Train",Data!$C$2:$C$301,"&lt;="&amp;ClassTree!$L$2)*M42)+(COUNTIFS(Data!$M$2:$M$301,"Train",Data!$C$2:$C$301,"&gt;"&amp;ClassTree!$L$2)*N42))/COUNTIF(Data!$M$2:$M$301,"Train")</f>
        <v>0.43894582857142855</v>
      </c>
      <c r="P42">
        <f>IF(AND(COUNTIFS(Data!$M$2:$M$301,"Train",Data!$B$2:$B$301,"&lt;="&amp;L42)&gt;0,COUNTIFS(Data!$M$2:$M$301,"Train",Data!$B$2:$B$301,"&gt;"&amp;L42)&gt;0),O42,1E+99)</f>
        <v>0.43894582857142855</v>
      </c>
    </row>
    <row r="43" spans="12:16" x14ac:dyDescent="0.2">
      <c r="L43">
        <f>Data!B43</f>
        <v>2007</v>
      </c>
      <c r="M43">
        <f>IF(COUNTIFS(Data!$M$2:$M$301,"Train",Data!$C$2:$C$301,"&lt;="&amp;ClassTree!$L$2,Data!$B$2:$B$301,"&lt;="&amp;L43)=0,0,1-(SUMIFS(Data!$L$2:$L$301,Data!$M$2:$M$301,"Train",Data!$C$2:$C$301,"&lt;="&amp;ClassTree!$L$2,Data!$B$2:$B$301,"&lt;="&amp;L43)/COUNTIFS(Data!$M$2:$M$301,"Train",Data!$C$2:$C$301,"&lt;="&amp;ClassTree!$L$2,Data!$B$2:$B$301,"&lt;="&amp;L43))^2-(1-SUMIFS(Data!$L$2:$L$301,Data!$M$2:$M$301,"Train",Data!$C$2:$C$301,"&lt;="&amp;ClassTree!$L$2,Data!$B$2:$B$301,"&lt;="&amp;L43)/COUNTIFS(Data!$M$2:$M$301,"Train",Data!$C$2:$C$301,"&lt;="&amp;ClassTree!$L$2,Data!$B$2:$B$301,"&lt;="&amp;L43))^2)</f>
        <v>9.0702947845805015E-2</v>
      </c>
      <c r="N43">
        <f>IF(COUNTIFS(Data!$M$2:$M$301,"Train",Data!$C$2:$C$301,"&gt;"&amp;ClassTree!$L$2,Data!$B$2:$B$301,"&gt;"&amp;L43)=0,0,1-(SUMIFS(Data!$L$2:$L$301,Data!$M$2:$M$301,"Train",Data!$C$2:$C$301,"&gt;"&amp;ClassTree!$L$2,Data!$B$2:$B$301,"&gt;"&amp;L43)/COUNTIFS(Data!$M$2:$M$301,"Train",Data!$C$2:$C$301,"&gt;"&amp;ClassTree!$L$2,Data!$B$2:$B$301,"&gt;"&amp;L43))^2-(1-SUMIFS(Data!$L$2:$L$301,Data!$M$2:$M$301,"Train",Data!$C$2:$C$301,"&gt;"&amp;ClassTree!$L$2,Data!$B$2:$B$301,"&gt;"&amp;L43)/COUNTIFS(Data!$M$2:$M$301,"Train",Data!$C$2:$C$301,"&gt;"&amp;ClassTree!$L$2,Data!$B$2:$B$301,"&gt;"&amp;L43))^2)</f>
        <v>0.46480633069554356</v>
      </c>
      <c r="O43">
        <f>((COUNTIFS(Data!$M$2:$M$301,"Train",Data!$C$2:$C$301,"&lt;="&amp;ClassTree!$L$2)*M43)+(COUNTIFS(Data!$M$2:$M$301,"Train",Data!$C$2:$C$301,"&gt;"&amp;ClassTree!$L$2)*N43))/COUNTIF(Data!$M$2:$M$301,"Train")</f>
        <v>0.42561454773033286</v>
      </c>
      <c r="P43">
        <f>IF(AND(COUNTIFS(Data!$M$2:$M$301,"Train",Data!$B$2:$B$301,"&lt;="&amp;L43)&gt;0,COUNTIFS(Data!$M$2:$M$301,"Train",Data!$B$2:$B$301,"&gt;"&amp;L43)&gt;0),O43,1E+99)</f>
        <v>0.42561454773033286</v>
      </c>
    </row>
    <row r="44" spans="12:16" x14ac:dyDescent="0.2">
      <c r="L44">
        <f>Data!B44</f>
        <v>2004</v>
      </c>
      <c r="M44">
        <f>IF(COUNTIFS(Data!$M$2:$M$301,"Train",Data!$C$2:$C$301,"&lt;="&amp;ClassTree!$L$2,Data!$B$2:$B$301,"&lt;="&amp;L44)=0,0,1-(SUMIFS(Data!$L$2:$L$301,Data!$M$2:$M$301,"Train",Data!$C$2:$C$301,"&lt;="&amp;ClassTree!$L$2,Data!$B$2:$B$301,"&lt;="&amp;L44)/COUNTIFS(Data!$M$2:$M$301,"Train",Data!$C$2:$C$301,"&lt;="&amp;ClassTree!$L$2,Data!$B$2:$B$301,"&lt;="&amp;L44))^2-(1-SUMIFS(Data!$L$2:$L$301,Data!$M$2:$M$301,"Train",Data!$C$2:$C$301,"&lt;="&amp;ClassTree!$L$2,Data!$B$2:$B$301,"&lt;="&amp;L44)/COUNTIFS(Data!$M$2:$M$301,"Train",Data!$C$2:$C$301,"&lt;="&amp;ClassTree!$L$2,Data!$B$2:$B$301,"&lt;="&amp;L44))^2)</f>
        <v>0.17999999999999994</v>
      </c>
      <c r="N44">
        <f>IF(COUNTIFS(Data!$M$2:$M$301,"Train",Data!$C$2:$C$301,"&gt;"&amp;ClassTree!$L$2,Data!$B$2:$B$301,"&gt;"&amp;L44)=0,0,1-(SUMIFS(Data!$L$2:$L$301,Data!$M$2:$M$301,"Train",Data!$C$2:$C$301,"&gt;"&amp;ClassTree!$L$2,Data!$B$2:$B$301,"&gt;"&amp;L44)/COUNTIFS(Data!$M$2:$M$301,"Train",Data!$C$2:$C$301,"&gt;"&amp;ClassTree!$L$2,Data!$B$2:$B$301,"&gt;"&amp;L44))^2-(1-SUMIFS(Data!$L$2:$L$301,Data!$M$2:$M$301,"Train",Data!$C$2:$C$301,"&gt;"&amp;ClassTree!$L$2,Data!$B$2:$B$301,"&gt;"&amp;L44)/COUNTIFS(Data!$M$2:$M$301,"Train",Data!$C$2:$C$301,"&gt;"&amp;ClassTree!$L$2,Data!$B$2:$B$301,"&gt;"&amp;L44))^2)</f>
        <v>0.46924800000000005</v>
      </c>
      <c r="O44">
        <f>((COUNTIFS(Data!$M$2:$M$301,"Train",Data!$C$2:$C$301,"&lt;="&amp;ClassTree!$L$2)*M44)+(COUNTIFS(Data!$M$2:$M$301,"Train",Data!$C$2:$C$301,"&gt;"&amp;ClassTree!$L$2)*N44))/COUNTIF(Data!$M$2:$M$301,"Train")</f>
        <v>0.43894582857142855</v>
      </c>
      <c r="P44">
        <f>IF(AND(COUNTIFS(Data!$M$2:$M$301,"Train",Data!$B$2:$B$301,"&lt;="&amp;L44)&gt;0,COUNTIFS(Data!$M$2:$M$301,"Train",Data!$B$2:$B$301,"&gt;"&amp;L44)&gt;0),O44,1E+99)</f>
        <v>0.43894582857142855</v>
      </c>
    </row>
    <row r="45" spans="12:16" x14ac:dyDescent="0.2">
      <c r="L45">
        <f>Data!B45</f>
        <v>2005</v>
      </c>
      <c r="M45">
        <f>IF(COUNTIFS(Data!$M$2:$M$301,"Train",Data!$C$2:$C$301,"&lt;="&amp;ClassTree!$L$2,Data!$B$2:$B$301,"&lt;="&amp;L45)=0,0,1-(SUMIFS(Data!$L$2:$L$301,Data!$M$2:$M$301,"Train",Data!$C$2:$C$301,"&lt;="&amp;ClassTree!$L$2,Data!$B$2:$B$301,"&lt;="&amp;L45)/COUNTIFS(Data!$M$2:$M$301,"Train",Data!$C$2:$C$301,"&lt;="&amp;ClassTree!$L$2,Data!$B$2:$B$301,"&lt;="&amp;L45))^2-(1-SUMIFS(Data!$L$2:$L$301,Data!$M$2:$M$301,"Train",Data!$C$2:$C$301,"&lt;="&amp;ClassTree!$L$2,Data!$B$2:$B$301,"&lt;="&amp;L45)/COUNTIFS(Data!$M$2:$M$301,"Train",Data!$C$2:$C$301,"&lt;="&amp;ClassTree!$L$2,Data!$B$2:$B$301,"&lt;="&amp;L45))^2)</f>
        <v>0.1527777777777779</v>
      </c>
      <c r="N45">
        <f>IF(COUNTIFS(Data!$M$2:$M$301,"Train",Data!$C$2:$C$301,"&gt;"&amp;ClassTree!$L$2,Data!$B$2:$B$301,"&gt;"&amp;L45)=0,0,1-(SUMIFS(Data!$L$2:$L$301,Data!$M$2:$M$301,"Train",Data!$C$2:$C$301,"&gt;"&amp;ClassTree!$L$2,Data!$B$2:$B$301,"&gt;"&amp;L45)/COUNTIFS(Data!$M$2:$M$301,"Train",Data!$C$2:$C$301,"&gt;"&amp;ClassTree!$L$2,Data!$B$2:$B$301,"&gt;"&amp;L45))^2-(1-SUMIFS(Data!$L$2:$L$301,Data!$M$2:$M$301,"Train",Data!$C$2:$C$301,"&gt;"&amp;ClassTree!$L$2,Data!$B$2:$B$301,"&gt;"&amp;L45)/COUNTIFS(Data!$M$2:$M$301,"Train",Data!$C$2:$C$301,"&gt;"&amp;ClassTree!$L$2,Data!$B$2:$B$301,"&gt;"&amp;L45))^2)</f>
        <v>0.45877855112243893</v>
      </c>
      <c r="O45">
        <f>((COUNTIFS(Data!$M$2:$M$301,"Train",Data!$C$2:$C$301,"&lt;="&amp;ClassTree!$L$2)*M45)+(COUNTIFS(Data!$M$2:$M$301,"Train",Data!$C$2:$C$301,"&gt;"&amp;ClassTree!$L$2)*N45))/COUNTIF(Data!$M$2:$M$301,"Train")</f>
        <v>0.42672132724823636</v>
      </c>
      <c r="P45">
        <f>IF(AND(COUNTIFS(Data!$M$2:$M$301,"Train",Data!$B$2:$B$301,"&lt;="&amp;L45)&gt;0,COUNTIFS(Data!$M$2:$M$301,"Train",Data!$B$2:$B$301,"&gt;"&amp;L45)&gt;0),O45,1E+99)</f>
        <v>0.42672132724823636</v>
      </c>
    </row>
    <row r="46" spans="12:16" x14ac:dyDescent="0.2">
      <c r="L46">
        <f>Data!B46</f>
        <v>2004</v>
      </c>
      <c r="M46">
        <f>IF(COUNTIFS(Data!$M$2:$M$301,"Train",Data!$C$2:$C$301,"&lt;="&amp;ClassTree!$L$2,Data!$B$2:$B$301,"&lt;="&amp;L46)=0,0,1-(SUMIFS(Data!$L$2:$L$301,Data!$M$2:$M$301,"Train",Data!$C$2:$C$301,"&lt;="&amp;ClassTree!$L$2,Data!$B$2:$B$301,"&lt;="&amp;L46)/COUNTIFS(Data!$M$2:$M$301,"Train",Data!$C$2:$C$301,"&lt;="&amp;ClassTree!$L$2,Data!$B$2:$B$301,"&lt;="&amp;L46))^2-(1-SUMIFS(Data!$L$2:$L$301,Data!$M$2:$M$301,"Train",Data!$C$2:$C$301,"&lt;="&amp;ClassTree!$L$2,Data!$B$2:$B$301,"&lt;="&amp;L46)/COUNTIFS(Data!$M$2:$M$301,"Train",Data!$C$2:$C$301,"&lt;="&amp;ClassTree!$L$2,Data!$B$2:$B$301,"&lt;="&amp;L46))^2)</f>
        <v>0.17999999999999994</v>
      </c>
      <c r="N46">
        <f>IF(COUNTIFS(Data!$M$2:$M$301,"Train",Data!$C$2:$C$301,"&gt;"&amp;ClassTree!$L$2,Data!$B$2:$B$301,"&gt;"&amp;L46)=0,0,1-(SUMIFS(Data!$L$2:$L$301,Data!$M$2:$M$301,"Train",Data!$C$2:$C$301,"&gt;"&amp;ClassTree!$L$2,Data!$B$2:$B$301,"&gt;"&amp;L46)/COUNTIFS(Data!$M$2:$M$301,"Train",Data!$C$2:$C$301,"&gt;"&amp;ClassTree!$L$2,Data!$B$2:$B$301,"&gt;"&amp;L46))^2-(1-SUMIFS(Data!$L$2:$L$301,Data!$M$2:$M$301,"Train",Data!$C$2:$C$301,"&gt;"&amp;ClassTree!$L$2,Data!$B$2:$B$301,"&gt;"&amp;L46)/COUNTIFS(Data!$M$2:$M$301,"Train",Data!$C$2:$C$301,"&gt;"&amp;ClassTree!$L$2,Data!$B$2:$B$301,"&gt;"&amp;L46))^2)</f>
        <v>0.46924800000000005</v>
      </c>
      <c r="O46">
        <f>((COUNTIFS(Data!$M$2:$M$301,"Train",Data!$C$2:$C$301,"&lt;="&amp;ClassTree!$L$2)*M46)+(COUNTIFS(Data!$M$2:$M$301,"Train",Data!$C$2:$C$301,"&gt;"&amp;ClassTree!$L$2)*N46))/COUNTIF(Data!$M$2:$M$301,"Train")</f>
        <v>0.43894582857142855</v>
      </c>
      <c r="P46">
        <f>IF(AND(COUNTIFS(Data!$M$2:$M$301,"Train",Data!$B$2:$B$301,"&lt;="&amp;L46)&gt;0,COUNTIFS(Data!$M$2:$M$301,"Train",Data!$B$2:$B$301,"&gt;"&amp;L46)&gt;0),O46,1E+99)</f>
        <v>0.43894582857142855</v>
      </c>
    </row>
    <row r="47" spans="12:16" x14ac:dyDescent="0.2">
      <c r="L47">
        <f>Data!B47</f>
        <v>2008</v>
      </c>
      <c r="M47">
        <f>IF(COUNTIFS(Data!$M$2:$M$301,"Train",Data!$C$2:$C$301,"&lt;="&amp;ClassTree!$L$2,Data!$B$2:$B$301,"&lt;="&amp;L47)=0,0,1-(SUMIFS(Data!$L$2:$L$301,Data!$M$2:$M$301,"Train",Data!$C$2:$C$301,"&lt;="&amp;ClassTree!$L$2,Data!$B$2:$B$301,"&lt;="&amp;L47)/COUNTIFS(Data!$M$2:$M$301,"Train",Data!$C$2:$C$301,"&lt;="&amp;ClassTree!$L$2,Data!$B$2:$B$301,"&lt;="&amp;L47))^2-(1-SUMIFS(Data!$L$2:$L$301,Data!$M$2:$M$301,"Train",Data!$C$2:$C$301,"&lt;="&amp;ClassTree!$L$2,Data!$B$2:$B$301,"&lt;="&amp;L47)/COUNTIFS(Data!$M$2:$M$301,"Train",Data!$C$2:$C$301,"&lt;="&amp;ClassTree!$L$2,Data!$B$2:$B$301,"&lt;="&amp;L47))^2)</f>
        <v>8.6776859504132053E-2</v>
      </c>
      <c r="N47">
        <f>IF(COUNTIFS(Data!$M$2:$M$301,"Train",Data!$C$2:$C$301,"&gt;"&amp;ClassTree!$L$2,Data!$B$2:$B$301,"&gt;"&amp;L47)=0,0,1-(SUMIFS(Data!$L$2:$L$301,Data!$M$2:$M$301,"Train",Data!$C$2:$C$301,"&gt;"&amp;ClassTree!$L$2,Data!$B$2:$B$301,"&gt;"&amp;L47)/COUNTIFS(Data!$M$2:$M$301,"Train",Data!$C$2:$C$301,"&gt;"&amp;ClassTree!$L$2,Data!$B$2:$B$301,"&gt;"&amp;L47))^2-(1-SUMIFS(Data!$L$2:$L$301,Data!$M$2:$M$301,"Train",Data!$C$2:$C$301,"&gt;"&amp;ClassTree!$L$2,Data!$B$2:$B$301,"&gt;"&amp;L47)/COUNTIFS(Data!$M$2:$M$301,"Train",Data!$C$2:$C$301,"&gt;"&amp;ClassTree!$L$2,Data!$B$2:$B$301,"&gt;"&amp;L47))^2)</f>
        <v>0.47337278106508873</v>
      </c>
      <c r="O47">
        <f>((COUNTIFS(Data!$M$2:$M$301,"Train",Data!$C$2:$C$301,"&lt;="&amp;ClassTree!$L$2)*M47)+(COUNTIFS(Data!$M$2:$M$301,"Train",Data!$C$2:$C$301,"&gt;"&amp;ClassTree!$L$2)*N47))/COUNTIF(Data!$M$2:$M$301,"Train")</f>
        <v>0.432872255949179</v>
      </c>
      <c r="P47">
        <f>IF(AND(COUNTIFS(Data!$M$2:$M$301,"Train",Data!$B$2:$B$301,"&lt;="&amp;L47)&gt;0,COUNTIFS(Data!$M$2:$M$301,"Train",Data!$B$2:$B$301,"&gt;"&amp;L47)&gt;0),O47,1E+99)</f>
        <v>0.432872255949179</v>
      </c>
    </row>
    <row r="48" spans="12:16" x14ac:dyDescent="0.2">
      <c r="L48">
        <f>Data!B48</f>
        <v>2009</v>
      </c>
      <c r="M48">
        <f>IF(COUNTIFS(Data!$M$2:$M$301,"Train",Data!$C$2:$C$301,"&lt;="&amp;ClassTree!$L$2,Data!$B$2:$B$301,"&lt;="&amp;L48)=0,0,1-(SUMIFS(Data!$L$2:$L$301,Data!$M$2:$M$301,"Train",Data!$C$2:$C$301,"&lt;="&amp;ClassTree!$L$2,Data!$B$2:$B$301,"&lt;="&amp;L48)/COUNTIFS(Data!$M$2:$M$301,"Train",Data!$C$2:$C$301,"&lt;="&amp;ClassTree!$L$2,Data!$B$2:$B$301,"&lt;="&amp;L48))^2-(1-SUMIFS(Data!$L$2:$L$301,Data!$M$2:$M$301,"Train",Data!$C$2:$C$301,"&lt;="&amp;ClassTree!$L$2,Data!$B$2:$B$301,"&lt;="&amp;L48)/COUNTIFS(Data!$M$2:$M$301,"Train",Data!$C$2:$C$301,"&lt;="&amp;ClassTree!$L$2,Data!$B$2:$B$301,"&lt;="&amp;L48))^2)</f>
        <v>8.6776859504132053E-2</v>
      </c>
      <c r="N48">
        <f>IF(COUNTIFS(Data!$M$2:$M$301,"Train",Data!$C$2:$C$301,"&gt;"&amp;ClassTree!$L$2,Data!$B$2:$B$301,"&gt;"&amp;L48)=0,0,1-(SUMIFS(Data!$L$2:$L$301,Data!$M$2:$M$301,"Train",Data!$C$2:$C$301,"&gt;"&amp;ClassTree!$L$2,Data!$B$2:$B$301,"&gt;"&amp;L48)/COUNTIFS(Data!$M$2:$M$301,"Train",Data!$C$2:$C$301,"&gt;"&amp;ClassTree!$L$2,Data!$B$2:$B$301,"&gt;"&amp;L48))^2-(1-SUMIFS(Data!$L$2:$L$301,Data!$M$2:$M$301,"Train",Data!$C$2:$C$301,"&gt;"&amp;ClassTree!$L$2,Data!$B$2:$B$301,"&gt;"&amp;L48)/COUNTIFS(Data!$M$2:$M$301,"Train",Data!$C$2:$C$301,"&gt;"&amp;ClassTree!$L$2,Data!$B$2:$B$301,"&gt;"&amp;L48))^2)</f>
        <v>0</v>
      </c>
      <c r="O48">
        <f>((COUNTIFS(Data!$M$2:$M$301,"Train",Data!$C$2:$C$301,"&lt;="&amp;ClassTree!$L$2)*M48)+(COUNTIFS(Data!$M$2:$M$301,"Train",Data!$C$2:$C$301,"&gt;"&amp;ClassTree!$L$2)*N48))/COUNTIF(Data!$M$2:$M$301,"Train")</f>
        <v>9.0909090909090731E-3</v>
      </c>
      <c r="P48">
        <f>IF(AND(COUNTIFS(Data!$M$2:$M$301,"Train",Data!$B$2:$B$301,"&lt;="&amp;L48)&gt;0,COUNTIFS(Data!$M$2:$M$301,"Train",Data!$B$2:$B$301,"&gt;"&amp;L48)&gt;0),O48,1E+99)</f>
        <v>9.9999999999999997E+98</v>
      </c>
    </row>
    <row r="49" spans="12:16" x14ac:dyDescent="0.2">
      <c r="L49">
        <f>Data!B49</f>
        <v>2007</v>
      </c>
      <c r="M49">
        <f>IF(COUNTIFS(Data!$M$2:$M$301,"Train",Data!$C$2:$C$301,"&lt;="&amp;ClassTree!$L$2,Data!$B$2:$B$301,"&lt;="&amp;L49)=0,0,1-(SUMIFS(Data!$L$2:$L$301,Data!$M$2:$M$301,"Train",Data!$C$2:$C$301,"&lt;="&amp;ClassTree!$L$2,Data!$B$2:$B$301,"&lt;="&amp;L49)/COUNTIFS(Data!$M$2:$M$301,"Train",Data!$C$2:$C$301,"&lt;="&amp;ClassTree!$L$2,Data!$B$2:$B$301,"&lt;="&amp;L49))^2-(1-SUMIFS(Data!$L$2:$L$301,Data!$M$2:$M$301,"Train",Data!$C$2:$C$301,"&lt;="&amp;ClassTree!$L$2,Data!$B$2:$B$301,"&lt;="&amp;L49)/COUNTIFS(Data!$M$2:$M$301,"Train",Data!$C$2:$C$301,"&lt;="&amp;ClassTree!$L$2,Data!$B$2:$B$301,"&lt;="&amp;L49))^2)</f>
        <v>9.0702947845805015E-2</v>
      </c>
      <c r="N49">
        <f>IF(COUNTIFS(Data!$M$2:$M$301,"Train",Data!$C$2:$C$301,"&gt;"&amp;ClassTree!$L$2,Data!$B$2:$B$301,"&gt;"&amp;L49)=0,0,1-(SUMIFS(Data!$L$2:$L$301,Data!$M$2:$M$301,"Train",Data!$C$2:$C$301,"&gt;"&amp;ClassTree!$L$2,Data!$B$2:$B$301,"&gt;"&amp;L49)/COUNTIFS(Data!$M$2:$M$301,"Train",Data!$C$2:$C$301,"&gt;"&amp;ClassTree!$L$2,Data!$B$2:$B$301,"&gt;"&amp;L49))^2-(1-SUMIFS(Data!$L$2:$L$301,Data!$M$2:$M$301,"Train",Data!$C$2:$C$301,"&gt;"&amp;ClassTree!$L$2,Data!$B$2:$B$301,"&gt;"&amp;L49)/COUNTIFS(Data!$M$2:$M$301,"Train",Data!$C$2:$C$301,"&gt;"&amp;ClassTree!$L$2,Data!$B$2:$B$301,"&gt;"&amp;L49))^2)</f>
        <v>0.46480633069554356</v>
      </c>
      <c r="O49">
        <f>((COUNTIFS(Data!$M$2:$M$301,"Train",Data!$C$2:$C$301,"&lt;="&amp;ClassTree!$L$2)*M49)+(COUNTIFS(Data!$M$2:$M$301,"Train",Data!$C$2:$C$301,"&gt;"&amp;ClassTree!$L$2)*N49))/COUNTIF(Data!$M$2:$M$301,"Train")</f>
        <v>0.42561454773033286</v>
      </c>
      <c r="P49">
        <f>IF(AND(COUNTIFS(Data!$M$2:$M$301,"Train",Data!$B$2:$B$301,"&lt;="&amp;L49)&gt;0,COUNTIFS(Data!$M$2:$M$301,"Train",Data!$B$2:$B$301,"&gt;"&amp;L49)&gt;0),O49,1E+99)</f>
        <v>0.42561454773033286</v>
      </c>
    </row>
    <row r="50" spans="12:16" x14ac:dyDescent="0.2">
      <c r="L50">
        <f>Data!B50</f>
        <v>2006</v>
      </c>
      <c r="M50">
        <f>IF(COUNTIFS(Data!$M$2:$M$301,"Train",Data!$C$2:$C$301,"&lt;="&amp;ClassTree!$L$2,Data!$B$2:$B$301,"&lt;="&amp;L50)=0,0,1-(SUMIFS(Data!$L$2:$L$301,Data!$M$2:$M$301,"Train",Data!$C$2:$C$301,"&lt;="&amp;ClassTree!$L$2,Data!$B$2:$B$301,"&lt;="&amp;L50)/COUNTIFS(Data!$M$2:$M$301,"Train",Data!$C$2:$C$301,"&lt;="&amp;ClassTree!$L$2,Data!$B$2:$B$301,"&lt;="&amp;L50))^2-(1-SUMIFS(Data!$L$2:$L$301,Data!$M$2:$M$301,"Train",Data!$C$2:$C$301,"&lt;="&amp;ClassTree!$L$2,Data!$B$2:$B$301,"&lt;="&amp;L50)/COUNTIFS(Data!$M$2:$M$301,"Train",Data!$C$2:$C$301,"&lt;="&amp;ClassTree!$L$2,Data!$B$2:$B$301,"&lt;="&amp;L50))^2)</f>
        <v>9.9722991689750629E-2</v>
      </c>
      <c r="N50">
        <f>IF(COUNTIFS(Data!$M$2:$M$301,"Train",Data!$C$2:$C$301,"&gt;"&amp;ClassTree!$L$2,Data!$B$2:$B$301,"&gt;"&amp;L50)=0,0,1-(SUMIFS(Data!$L$2:$L$301,Data!$M$2:$M$301,"Train",Data!$C$2:$C$301,"&gt;"&amp;ClassTree!$L$2,Data!$B$2:$B$301,"&gt;"&amp;L50)/COUNTIFS(Data!$M$2:$M$301,"Train",Data!$C$2:$C$301,"&gt;"&amp;ClassTree!$L$2,Data!$B$2:$B$301,"&gt;"&amp;L50))^2-(1-SUMIFS(Data!$L$2:$L$301,Data!$M$2:$M$301,"Train",Data!$C$2:$C$301,"&gt;"&amp;ClassTree!$L$2,Data!$B$2:$B$301,"&gt;"&amp;L50)/COUNTIFS(Data!$M$2:$M$301,"Train",Data!$C$2:$C$301,"&gt;"&amp;ClassTree!$L$2,Data!$B$2:$B$301,"&gt;"&amp;L50))^2)</f>
        <v>0.46208779668136946</v>
      </c>
      <c r="O50">
        <f>((COUNTIFS(Data!$M$2:$M$301,"Train",Data!$C$2:$C$301,"&lt;="&amp;ClassTree!$L$2)*M50)+(COUNTIFS(Data!$M$2:$M$301,"Train",Data!$C$2:$C$301,"&gt;"&amp;ClassTree!$L$2)*N50))/COUNTIF(Data!$M$2:$M$301,"Train")</f>
        <v>0.42412576949177128</v>
      </c>
      <c r="P50">
        <f>IF(AND(COUNTIFS(Data!$M$2:$M$301,"Train",Data!$B$2:$B$301,"&lt;="&amp;L50)&gt;0,COUNTIFS(Data!$M$2:$M$301,"Train",Data!$B$2:$B$301,"&gt;"&amp;L50)&gt;0),O50,1E+99)</f>
        <v>0.42412576949177128</v>
      </c>
    </row>
    <row r="51" spans="12:16" x14ac:dyDescent="0.2">
      <c r="L51">
        <f>Data!B51</f>
        <v>2006</v>
      </c>
      <c r="M51">
        <f>IF(COUNTIFS(Data!$M$2:$M$301,"Train",Data!$C$2:$C$301,"&lt;="&amp;ClassTree!$L$2,Data!$B$2:$B$301,"&lt;="&amp;L51)=0,0,1-(SUMIFS(Data!$L$2:$L$301,Data!$M$2:$M$301,"Train",Data!$C$2:$C$301,"&lt;="&amp;ClassTree!$L$2,Data!$B$2:$B$301,"&lt;="&amp;L51)/COUNTIFS(Data!$M$2:$M$301,"Train",Data!$C$2:$C$301,"&lt;="&amp;ClassTree!$L$2,Data!$B$2:$B$301,"&lt;="&amp;L51))^2-(1-SUMIFS(Data!$L$2:$L$301,Data!$M$2:$M$301,"Train",Data!$C$2:$C$301,"&lt;="&amp;ClassTree!$L$2,Data!$B$2:$B$301,"&lt;="&amp;L51)/COUNTIFS(Data!$M$2:$M$301,"Train",Data!$C$2:$C$301,"&lt;="&amp;ClassTree!$L$2,Data!$B$2:$B$301,"&lt;="&amp;L51))^2)</f>
        <v>9.9722991689750629E-2</v>
      </c>
      <c r="N51">
        <f>IF(COUNTIFS(Data!$M$2:$M$301,"Train",Data!$C$2:$C$301,"&gt;"&amp;ClassTree!$L$2,Data!$B$2:$B$301,"&gt;"&amp;L51)=0,0,1-(SUMIFS(Data!$L$2:$L$301,Data!$M$2:$M$301,"Train",Data!$C$2:$C$301,"&gt;"&amp;ClassTree!$L$2,Data!$B$2:$B$301,"&gt;"&amp;L51)/COUNTIFS(Data!$M$2:$M$301,"Train",Data!$C$2:$C$301,"&gt;"&amp;ClassTree!$L$2,Data!$B$2:$B$301,"&gt;"&amp;L51))^2-(1-SUMIFS(Data!$L$2:$L$301,Data!$M$2:$M$301,"Train",Data!$C$2:$C$301,"&gt;"&amp;ClassTree!$L$2,Data!$B$2:$B$301,"&gt;"&amp;L51)/COUNTIFS(Data!$M$2:$M$301,"Train",Data!$C$2:$C$301,"&gt;"&amp;ClassTree!$L$2,Data!$B$2:$B$301,"&gt;"&amp;L51))^2)</f>
        <v>0.46208779668136946</v>
      </c>
      <c r="O51">
        <f>((COUNTIFS(Data!$M$2:$M$301,"Train",Data!$C$2:$C$301,"&lt;="&amp;ClassTree!$L$2)*M51)+(COUNTIFS(Data!$M$2:$M$301,"Train",Data!$C$2:$C$301,"&gt;"&amp;ClassTree!$L$2)*N51))/COUNTIF(Data!$M$2:$M$301,"Train")</f>
        <v>0.42412576949177128</v>
      </c>
      <c r="P51">
        <f>IF(AND(COUNTIFS(Data!$M$2:$M$301,"Train",Data!$B$2:$B$301,"&lt;="&amp;L51)&gt;0,COUNTIFS(Data!$M$2:$M$301,"Train",Data!$B$2:$B$301,"&gt;"&amp;L51)&gt;0),O51,1E+99)</f>
        <v>0.42412576949177128</v>
      </c>
    </row>
    <row r="52" spans="12:16" x14ac:dyDescent="0.2">
      <c r="L52">
        <f>Data!B52</f>
        <v>2005</v>
      </c>
      <c r="M52">
        <f>IF(COUNTIFS(Data!$M$2:$M$301,"Train",Data!$C$2:$C$301,"&lt;="&amp;ClassTree!$L$2,Data!$B$2:$B$301,"&lt;="&amp;L52)=0,0,1-(SUMIFS(Data!$L$2:$L$301,Data!$M$2:$M$301,"Train",Data!$C$2:$C$301,"&lt;="&amp;ClassTree!$L$2,Data!$B$2:$B$301,"&lt;="&amp;L52)/COUNTIFS(Data!$M$2:$M$301,"Train",Data!$C$2:$C$301,"&lt;="&amp;ClassTree!$L$2,Data!$B$2:$B$301,"&lt;="&amp;L52))^2-(1-SUMIFS(Data!$L$2:$L$301,Data!$M$2:$M$301,"Train",Data!$C$2:$C$301,"&lt;="&amp;ClassTree!$L$2,Data!$B$2:$B$301,"&lt;="&amp;L52)/COUNTIFS(Data!$M$2:$M$301,"Train",Data!$C$2:$C$301,"&lt;="&amp;ClassTree!$L$2,Data!$B$2:$B$301,"&lt;="&amp;L52))^2)</f>
        <v>0.1527777777777779</v>
      </c>
      <c r="N52">
        <f>IF(COUNTIFS(Data!$M$2:$M$301,"Train",Data!$C$2:$C$301,"&gt;"&amp;ClassTree!$L$2,Data!$B$2:$B$301,"&gt;"&amp;L52)=0,0,1-(SUMIFS(Data!$L$2:$L$301,Data!$M$2:$M$301,"Train",Data!$C$2:$C$301,"&gt;"&amp;ClassTree!$L$2,Data!$B$2:$B$301,"&gt;"&amp;L52)/COUNTIFS(Data!$M$2:$M$301,"Train",Data!$C$2:$C$301,"&gt;"&amp;ClassTree!$L$2,Data!$B$2:$B$301,"&gt;"&amp;L52))^2-(1-SUMIFS(Data!$L$2:$L$301,Data!$M$2:$M$301,"Train",Data!$C$2:$C$301,"&gt;"&amp;ClassTree!$L$2,Data!$B$2:$B$301,"&gt;"&amp;L52)/COUNTIFS(Data!$M$2:$M$301,"Train",Data!$C$2:$C$301,"&gt;"&amp;ClassTree!$L$2,Data!$B$2:$B$301,"&gt;"&amp;L52))^2)</f>
        <v>0.45877855112243893</v>
      </c>
      <c r="O52">
        <f>((COUNTIFS(Data!$M$2:$M$301,"Train",Data!$C$2:$C$301,"&lt;="&amp;ClassTree!$L$2)*M52)+(COUNTIFS(Data!$M$2:$M$301,"Train",Data!$C$2:$C$301,"&gt;"&amp;ClassTree!$L$2)*N52))/COUNTIF(Data!$M$2:$M$301,"Train")</f>
        <v>0.42672132724823636</v>
      </c>
      <c r="P52">
        <f>IF(AND(COUNTIFS(Data!$M$2:$M$301,"Train",Data!$B$2:$B$301,"&lt;="&amp;L52)&gt;0,COUNTIFS(Data!$M$2:$M$301,"Train",Data!$B$2:$B$301,"&gt;"&amp;L52)&gt;0),O52,1E+99)</f>
        <v>0.42672132724823636</v>
      </c>
    </row>
    <row r="53" spans="12:16" x14ac:dyDescent="0.2">
      <c r="L53">
        <f>Data!B53</f>
        <v>2008</v>
      </c>
      <c r="M53">
        <f>IF(COUNTIFS(Data!$M$2:$M$301,"Train",Data!$C$2:$C$301,"&lt;="&amp;ClassTree!$L$2,Data!$B$2:$B$301,"&lt;="&amp;L53)=0,0,1-(SUMIFS(Data!$L$2:$L$301,Data!$M$2:$M$301,"Train",Data!$C$2:$C$301,"&lt;="&amp;ClassTree!$L$2,Data!$B$2:$B$301,"&lt;="&amp;L53)/COUNTIFS(Data!$M$2:$M$301,"Train",Data!$C$2:$C$301,"&lt;="&amp;ClassTree!$L$2,Data!$B$2:$B$301,"&lt;="&amp;L53))^2-(1-SUMIFS(Data!$L$2:$L$301,Data!$M$2:$M$301,"Train",Data!$C$2:$C$301,"&lt;="&amp;ClassTree!$L$2,Data!$B$2:$B$301,"&lt;="&amp;L53)/COUNTIFS(Data!$M$2:$M$301,"Train",Data!$C$2:$C$301,"&lt;="&amp;ClassTree!$L$2,Data!$B$2:$B$301,"&lt;="&amp;L53))^2)</f>
        <v>8.6776859504132053E-2</v>
      </c>
      <c r="N53">
        <f>IF(COUNTIFS(Data!$M$2:$M$301,"Train",Data!$C$2:$C$301,"&gt;"&amp;ClassTree!$L$2,Data!$B$2:$B$301,"&gt;"&amp;L53)=0,0,1-(SUMIFS(Data!$L$2:$L$301,Data!$M$2:$M$301,"Train",Data!$C$2:$C$301,"&gt;"&amp;ClassTree!$L$2,Data!$B$2:$B$301,"&gt;"&amp;L53)/COUNTIFS(Data!$M$2:$M$301,"Train",Data!$C$2:$C$301,"&gt;"&amp;ClassTree!$L$2,Data!$B$2:$B$301,"&gt;"&amp;L53))^2-(1-SUMIFS(Data!$L$2:$L$301,Data!$M$2:$M$301,"Train",Data!$C$2:$C$301,"&gt;"&amp;ClassTree!$L$2,Data!$B$2:$B$301,"&gt;"&amp;L53)/COUNTIFS(Data!$M$2:$M$301,"Train",Data!$C$2:$C$301,"&gt;"&amp;ClassTree!$L$2,Data!$B$2:$B$301,"&gt;"&amp;L53))^2)</f>
        <v>0.47337278106508873</v>
      </c>
      <c r="O53">
        <f>((COUNTIFS(Data!$M$2:$M$301,"Train",Data!$C$2:$C$301,"&lt;="&amp;ClassTree!$L$2)*M53)+(COUNTIFS(Data!$M$2:$M$301,"Train",Data!$C$2:$C$301,"&gt;"&amp;ClassTree!$L$2)*N53))/COUNTIF(Data!$M$2:$M$301,"Train")</f>
        <v>0.432872255949179</v>
      </c>
      <c r="P53">
        <f>IF(AND(COUNTIFS(Data!$M$2:$M$301,"Train",Data!$B$2:$B$301,"&lt;="&amp;L53)&gt;0,COUNTIFS(Data!$M$2:$M$301,"Train",Data!$B$2:$B$301,"&gt;"&amp;L53)&gt;0),O53,1E+99)</f>
        <v>0.432872255949179</v>
      </c>
    </row>
    <row r="54" spans="12:16" x14ac:dyDescent="0.2">
      <c r="L54">
        <f>Data!B54</f>
        <v>2004</v>
      </c>
      <c r="M54">
        <f>IF(COUNTIFS(Data!$M$2:$M$301,"Train",Data!$C$2:$C$301,"&lt;="&amp;ClassTree!$L$2,Data!$B$2:$B$301,"&lt;="&amp;L54)=0,0,1-(SUMIFS(Data!$L$2:$L$301,Data!$M$2:$M$301,"Train",Data!$C$2:$C$301,"&lt;="&amp;ClassTree!$L$2,Data!$B$2:$B$301,"&lt;="&amp;L54)/COUNTIFS(Data!$M$2:$M$301,"Train",Data!$C$2:$C$301,"&lt;="&amp;ClassTree!$L$2,Data!$B$2:$B$301,"&lt;="&amp;L54))^2-(1-SUMIFS(Data!$L$2:$L$301,Data!$M$2:$M$301,"Train",Data!$C$2:$C$301,"&lt;="&amp;ClassTree!$L$2,Data!$B$2:$B$301,"&lt;="&amp;L54)/COUNTIFS(Data!$M$2:$M$301,"Train",Data!$C$2:$C$301,"&lt;="&amp;ClassTree!$L$2,Data!$B$2:$B$301,"&lt;="&amp;L54))^2)</f>
        <v>0.17999999999999994</v>
      </c>
      <c r="N54">
        <f>IF(COUNTIFS(Data!$M$2:$M$301,"Train",Data!$C$2:$C$301,"&gt;"&amp;ClassTree!$L$2,Data!$B$2:$B$301,"&gt;"&amp;L54)=0,0,1-(SUMIFS(Data!$L$2:$L$301,Data!$M$2:$M$301,"Train",Data!$C$2:$C$301,"&gt;"&amp;ClassTree!$L$2,Data!$B$2:$B$301,"&gt;"&amp;L54)/COUNTIFS(Data!$M$2:$M$301,"Train",Data!$C$2:$C$301,"&gt;"&amp;ClassTree!$L$2,Data!$B$2:$B$301,"&gt;"&amp;L54))^2-(1-SUMIFS(Data!$L$2:$L$301,Data!$M$2:$M$301,"Train",Data!$C$2:$C$301,"&gt;"&amp;ClassTree!$L$2,Data!$B$2:$B$301,"&gt;"&amp;L54)/COUNTIFS(Data!$M$2:$M$301,"Train",Data!$C$2:$C$301,"&gt;"&amp;ClassTree!$L$2,Data!$B$2:$B$301,"&gt;"&amp;L54))^2)</f>
        <v>0.46924800000000005</v>
      </c>
      <c r="O54">
        <f>((COUNTIFS(Data!$M$2:$M$301,"Train",Data!$C$2:$C$301,"&lt;="&amp;ClassTree!$L$2)*M54)+(COUNTIFS(Data!$M$2:$M$301,"Train",Data!$C$2:$C$301,"&gt;"&amp;ClassTree!$L$2)*N54))/COUNTIF(Data!$M$2:$M$301,"Train")</f>
        <v>0.43894582857142855</v>
      </c>
      <c r="P54">
        <f>IF(AND(COUNTIFS(Data!$M$2:$M$301,"Train",Data!$B$2:$B$301,"&lt;="&amp;L54)&gt;0,COUNTIFS(Data!$M$2:$M$301,"Train",Data!$B$2:$B$301,"&gt;"&amp;L54)&gt;0),O54,1E+99)</f>
        <v>0.43894582857142855</v>
      </c>
    </row>
    <row r="55" spans="12:16" x14ac:dyDescent="0.2">
      <c r="L55">
        <f>Data!B55</f>
        <v>2003</v>
      </c>
      <c r="M55">
        <f>IF(COUNTIFS(Data!$M$2:$M$301,"Train",Data!$C$2:$C$301,"&lt;="&amp;ClassTree!$L$2,Data!$B$2:$B$301,"&lt;="&amp;L55)=0,0,1-(SUMIFS(Data!$L$2:$L$301,Data!$M$2:$M$301,"Train",Data!$C$2:$C$301,"&lt;="&amp;ClassTree!$L$2,Data!$B$2:$B$301,"&lt;="&amp;L55)/COUNTIFS(Data!$M$2:$M$301,"Train",Data!$C$2:$C$301,"&lt;="&amp;ClassTree!$L$2,Data!$B$2:$B$301,"&lt;="&amp;L55))^2-(1-SUMIFS(Data!$L$2:$L$301,Data!$M$2:$M$301,"Train",Data!$C$2:$C$301,"&lt;="&amp;ClassTree!$L$2,Data!$B$2:$B$301,"&lt;="&amp;L55)/COUNTIFS(Data!$M$2:$M$301,"Train",Data!$C$2:$C$301,"&lt;="&amp;ClassTree!$L$2,Data!$B$2:$B$301,"&lt;="&amp;L55))^2)</f>
        <v>0</v>
      </c>
      <c r="N55">
        <f>IF(COUNTIFS(Data!$M$2:$M$301,"Train",Data!$C$2:$C$301,"&gt;"&amp;ClassTree!$L$2,Data!$B$2:$B$301,"&gt;"&amp;L55)=0,0,1-(SUMIFS(Data!$L$2:$L$301,Data!$M$2:$M$301,"Train",Data!$C$2:$C$301,"&gt;"&amp;ClassTree!$L$2,Data!$B$2:$B$301,"&gt;"&amp;L55)/COUNTIFS(Data!$M$2:$M$301,"Train",Data!$C$2:$C$301,"&gt;"&amp;ClassTree!$L$2,Data!$B$2:$B$301,"&gt;"&amp;L55))^2-(1-SUMIFS(Data!$L$2:$L$301,Data!$M$2:$M$301,"Train",Data!$C$2:$C$301,"&gt;"&amp;ClassTree!$L$2,Data!$B$2:$B$301,"&gt;"&amp;L55)/COUNTIFS(Data!$M$2:$M$301,"Train",Data!$C$2:$C$301,"&gt;"&amp;ClassTree!$L$2,Data!$B$2:$B$301,"&gt;"&amp;L55))^2)</f>
        <v>0.48347107438016523</v>
      </c>
      <c r="O55">
        <f>((COUNTIFS(Data!$M$2:$M$301,"Train",Data!$C$2:$C$301,"&lt;="&amp;ClassTree!$L$2)*M55)+(COUNTIFS(Data!$M$2:$M$301,"Train",Data!$C$2:$C$301,"&gt;"&amp;ClassTree!$L$2)*N55))/COUNTIF(Data!$M$2:$M$301,"Train")</f>
        <v>0.43282172373081462</v>
      </c>
      <c r="P55">
        <f>IF(AND(COUNTIFS(Data!$M$2:$M$301,"Train",Data!$B$2:$B$301,"&lt;="&amp;L55)&gt;0,COUNTIFS(Data!$M$2:$M$301,"Train",Data!$B$2:$B$301,"&gt;"&amp;L55)&gt;0),O55,1E+99)</f>
        <v>0.43282172373081462</v>
      </c>
    </row>
    <row r="56" spans="12:16" x14ac:dyDescent="0.2">
      <c r="L56">
        <f>Data!B56</f>
        <v>2009</v>
      </c>
      <c r="M56">
        <f>IF(COUNTIFS(Data!$M$2:$M$301,"Train",Data!$C$2:$C$301,"&lt;="&amp;ClassTree!$L$2,Data!$B$2:$B$301,"&lt;="&amp;L56)=0,0,1-(SUMIFS(Data!$L$2:$L$301,Data!$M$2:$M$301,"Train",Data!$C$2:$C$301,"&lt;="&amp;ClassTree!$L$2,Data!$B$2:$B$301,"&lt;="&amp;L56)/COUNTIFS(Data!$M$2:$M$301,"Train",Data!$C$2:$C$301,"&lt;="&amp;ClassTree!$L$2,Data!$B$2:$B$301,"&lt;="&amp;L56))^2-(1-SUMIFS(Data!$L$2:$L$301,Data!$M$2:$M$301,"Train",Data!$C$2:$C$301,"&lt;="&amp;ClassTree!$L$2,Data!$B$2:$B$301,"&lt;="&amp;L56)/COUNTIFS(Data!$M$2:$M$301,"Train",Data!$C$2:$C$301,"&lt;="&amp;ClassTree!$L$2,Data!$B$2:$B$301,"&lt;="&amp;L56))^2)</f>
        <v>8.6776859504132053E-2</v>
      </c>
      <c r="N56">
        <f>IF(COUNTIFS(Data!$M$2:$M$301,"Train",Data!$C$2:$C$301,"&gt;"&amp;ClassTree!$L$2,Data!$B$2:$B$301,"&gt;"&amp;L56)=0,0,1-(SUMIFS(Data!$L$2:$L$301,Data!$M$2:$M$301,"Train",Data!$C$2:$C$301,"&gt;"&amp;ClassTree!$L$2,Data!$B$2:$B$301,"&gt;"&amp;L56)/COUNTIFS(Data!$M$2:$M$301,"Train",Data!$C$2:$C$301,"&gt;"&amp;ClassTree!$L$2,Data!$B$2:$B$301,"&gt;"&amp;L56))^2-(1-SUMIFS(Data!$L$2:$L$301,Data!$M$2:$M$301,"Train",Data!$C$2:$C$301,"&gt;"&amp;ClassTree!$L$2,Data!$B$2:$B$301,"&gt;"&amp;L56)/COUNTIFS(Data!$M$2:$M$301,"Train",Data!$C$2:$C$301,"&gt;"&amp;ClassTree!$L$2,Data!$B$2:$B$301,"&gt;"&amp;L56))^2)</f>
        <v>0</v>
      </c>
      <c r="O56">
        <f>((COUNTIFS(Data!$M$2:$M$301,"Train",Data!$C$2:$C$301,"&lt;="&amp;ClassTree!$L$2)*M56)+(COUNTIFS(Data!$M$2:$M$301,"Train",Data!$C$2:$C$301,"&gt;"&amp;ClassTree!$L$2)*N56))/COUNTIF(Data!$M$2:$M$301,"Train")</f>
        <v>9.0909090909090731E-3</v>
      </c>
      <c r="P56">
        <f>IF(AND(COUNTIFS(Data!$M$2:$M$301,"Train",Data!$B$2:$B$301,"&lt;="&amp;L56)&gt;0,COUNTIFS(Data!$M$2:$M$301,"Train",Data!$B$2:$B$301,"&gt;"&amp;L56)&gt;0),O56,1E+99)</f>
        <v>9.9999999999999997E+98</v>
      </c>
    </row>
    <row r="57" spans="12:16" x14ac:dyDescent="0.2">
      <c r="L57">
        <f>Data!B57</f>
        <v>2004</v>
      </c>
      <c r="M57">
        <f>IF(COUNTIFS(Data!$M$2:$M$301,"Train",Data!$C$2:$C$301,"&lt;="&amp;ClassTree!$L$2,Data!$B$2:$B$301,"&lt;="&amp;L57)=0,0,1-(SUMIFS(Data!$L$2:$L$301,Data!$M$2:$M$301,"Train",Data!$C$2:$C$301,"&lt;="&amp;ClassTree!$L$2,Data!$B$2:$B$301,"&lt;="&amp;L57)/COUNTIFS(Data!$M$2:$M$301,"Train",Data!$C$2:$C$301,"&lt;="&amp;ClassTree!$L$2,Data!$B$2:$B$301,"&lt;="&amp;L57))^2-(1-SUMIFS(Data!$L$2:$L$301,Data!$M$2:$M$301,"Train",Data!$C$2:$C$301,"&lt;="&amp;ClassTree!$L$2,Data!$B$2:$B$301,"&lt;="&amp;L57)/COUNTIFS(Data!$M$2:$M$301,"Train",Data!$C$2:$C$301,"&lt;="&amp;ClassTree!$L$2,Data!$B$2:$B$301,"&lt;="&amp;L57))^2)</f>
        <v>0.17999999999999994</v>
      </c>
      <c r="N57">
        <f>IF(COUNTIFS(Data!$M$2:$M$301,"Train",Data!$C$2:$C$301,"&gt;"&amp;ClassTree!$L$2,Data!$B$2:$B$301,"&gt;"&amp;L57)=0,0,1-(SUMIFS(Data!$L$2:$L$301,Data!$M$2:$M$301,"Train",Data!$C$2:$C$301,"&gt;"&amp;ClassTree!$L$2,Data!$B$2:$B$301,"&gt;"&amp;L57)/COUNTIFS(Data!$M$2:$M$301,"Train",Data!$C$2:$C$301,"&gt;"&amp;ClassTree!$L$2,Data!$B$2:$B$301,"&gt;"&amp;L57))^2-(1-SUMIFS(Data!$L$2:$L$301,Data!$M$2:$M$301,"Train",Data!$C$2:$C$301,"&gt;"&amp;ClassTree!$L$2,Data!$B$2:$B$301,"&gt;"&amp;L57)/COUNTIFS(Data!$M$2:$M$301,"Train",Data!$C$2:$C$301,"&gt;"&amp;ClassTree!$L$2,Data!$B$2:$B$301,"&gt;"&amp;L57))^2)</f>
        <v>0.46924800000000005</v>
      </c>
      <c r="O57">
        <f>((COUNTIFS(Data!$M$2:$M$301,"Train",Data!$C$2:$C$301,"&lt;="&amp;ClassTree!$L$2)*M57)+(COUNTIFS(Data!$M$2:$M$301,"Train",Data!$C$2:$C$301,"&gt;"&amp;ClassTree!$L$2)*N57))/COUNTIF(Data!$M$2:$M$301,"Train")</f>
        <v>0.43894582857142855</v>
      </c>
      <c r="P57">
        <f>IF(AND(COUNTIFS(Data!$M$2:$M$301,"Train",Data!$B$2:$B$301,"&lt;="&amp;L57)&gt;0,COUNTIFS(Data!$M$2:$M$301,"Train",Data!$B$2:$B$301,"&gt;"&amp;L57)&gt;0),O57,1E+99)</f>
        <v>0.43894582857142855</v>
      </c>
    </row>
    <row r="58" spans="12:16" x14ac:dyDescent="0.2">
      <c r="L58">
        <f>Data!B58</f>
        <v>2006</v>
      </c>
      <c r="M58">
        <f>IF(COUNTIFS(Data!$M$2:$M$301,"Train",Data!$C$2:$C$301,"&lt;="&amp;ClassTree!$L$2,Data!$B$2:$B$301,"&lt;="&amp;L58)=0,0,1-(SUMIFS(Data!$L$2:$L$301,Data!$M$2:$M$301,"Train",Data!$C$2:$C$301,"&lt;="&amp;ClassTree!$L$2,Data!$B$2:$B$301,"&lt;="&amp;L58)/COUNTIFS(Data!$M$2:$M$301,"Train",Data!$C$2:$C$301,"&lt;="&amp;ClassTree!$L$2,Data!$B$2:$B$301,"&lt;="&amp;L58))^2-(1-SUMIFS(Data!$L$2:$L$301,Data!$M$2:$M$301,"Train",Data!$C$2:$C$301,"&lt;="&amp;ClassTree!$L$2,Data!$B$2:$B$301,"&lt;="&amp;L58)/COUNTIFS(Data!$M$2:$M$301,"Train",Data!$C$2:$C$301,"&lt;="&amp;ClassTree!$L$2,Data!$B$2:$B$301,"&lt;="&amp;L58))^2)</f>
        <v>9.9722991689750629E-2</v>
      </c>
      <c r="N58">
        <f>IF(COUNTIFS(Data!$M$2:$M$301,"Train",Data!$C$2:$C$301,"&gt;"&amp;ClassTree!$L$2,Data!$B$2:$B$301,"&gt;"&amp;L58)=0,0,1-(SUMIFS(Data!$L$2:$L$301,Data!$M$2:$M$301,"Train",Data!$C$2:$C$301,"&gt;"&amp;ClassTree!$L$2,Data!$B$2:$B$301,"&gt;"&amp;L58)/COUNTIFS(Data!$M$2:$M$301,"Train",Data!$C$2:$C$301,"&gt;"&amp;ClassTree!$L$2,Data!$B$2:$B$301,"&gt;"&amp;L58))^2-(1-SUMIFS(Data!$L$2:$L$301,Data!$M$2:$M$301,"Train",Data!$C$2:$C$301,"&gt;"&amp;ClassTree!$L$2,Data!$B$2:$B$301,"&gt;"&amp;L58)/COUNTIFS(Data!$M$2:$M$301,"Train",Data!$C$2:$C$301,"&gt;"&amp;ClassTree!$L$2,Data!$B$2:$B$301,"&gt;"&amp;L58))^2)</f>
        <v>0.46208779668136946</v>
      </c>
      <c r="O58">
        <f>((COUNTIFS(Data!$M$2:$M$301,"Train",Data!$C$2:$C$301,"&lt;="&amp;ClassTree!$L$2)*M58)+(COUNTIFS(Data!$M$2:$M$301,"Train",Data!$C$2:$C$301,"&gt;"&amp;ClassTree!$L$2)*N58))/COUNTIF(Data!$M$2:$M$301,"Train")</f>
        <v>0.42412576949177128</v>
      </c>
      <c r="P58">
        <f>IF(AND(COUNTIFS(Data!$M$2:$M$301,"Train",Data!$B$2:$B$301,"&lt;="&amp;L58)&gt;0,COUNTIFS(Data!$M$2:$M$301,"Train",Data!$B$2:$B$301,"&gt;"&amp;L58)&gt;0),O58,1E+99)</f>
        <v>0.42412576949177128</v>
      </c>
    </row>
    <row r="59" spans="12:16" x14ac:dyDescent="0.2">
      <c r="L59">
        <f>Data!B59</f>
        <v>2003</v>
      </c>
      <c r="M59">
        <f>IF(COUNTIFS(Data!$M$2:$M$301,"Train",Data!$C$2:$C$301,"&lt;="&amp;ClassTree!$L$2,Data!$B$2:$B$301,"&lt;="&amp;L59)=0,0,1-(SUMIFS(Data!$L$2:$L$301,Data!$M$2:$M$301,"Train",Data!$C$2:$C$301,"&lt;="&amp;ClassTree!$L$2,Data!$B$2:$B$301,"&lt;="&amp;L59)/COUNTIFS(Data!$M$2:$M$301,"Train",Data!$C$2:$C$301,"&lt;="&amp;ClassTree!$L$2,Data!$B$2:$B$301,"&lt;="&amp;L59))^2-(1-SUMIFS(Data!$L$2:$L$301,Data!$M$2:$M$301,"Train",Data!$C$2:$C$301,"&lt;="&amp;ClassTree!$L$2,Data!$B$2:$B$301,"&lt;="&amp;L59)/COUNTIFS(Data!$M$2:$M$301,"Train",Data!$C$2:$C$301,"&lt;="&amp;ClassTree!$L$2,Data!$B$2:$B$301,"&lt;="&amp;L59))^2)</f>
        <v>0</v>
      </c>
      <c r="N59">
        <f>IF(COUNTIFS(Data!$M$2:$M$301,"Train",Data!$C$2:$C$301,"&gt;"&amp;ClassTree!$L$2,Data!$B$2:$B$301,"&gt;"&amp;L59)=0,0,1-(SUMIFS(Data!$L$2:$L$301,Data!$M$2:$M$301,"Train",Data!$C$2:$C$301,"&gt;"&amp;ClassTree!$L$2,Data!$B$2:$B$301,"&gt;"&amp;L59)/COUNTIFS(Data!$M$2:$M$301,"Train",Data!$C$2:$C$301,"&gt;"&amp;ClassTree!$L$2,Data!$B$2:$B$301,"&gt;"&amp;L59))^2-(1-SUMIFS(Data!$L$2:$L$301,Data!$M$2:$M$301,"Train",Data!$C$2:$C$301,"&gt;"&amp;ClassTree!$L$2,Data!$B$2:$B$301,"&gt;"&amp;L59)/COUNTIFS(Data!$M$2:$M$301,"Train",Data!$C$2:$C$301,"&gt;"&amp;ClassTree!$L$2,Data!$B$2:$B$301,"&gt;"&amp;L59))^2)</f>
        <v>0.48347107438016523</v>
      </c>
      <c r="O59">
        <f>((COUNTIFS(Data!$M$2:$M$301,"Train",Data!$C$2:$C$301,"&lt;="&amp;ClassTree!$L$2)*M59)+(COUNTIFS(Data!$M$2:$M$301,"Train",Data!$C$2:$C$301,"&gt;"&amp;ClassTree!$L$2)*N59))/COUNTIF(Data!$M$2:$M$301,"Train")</f>
        <v>0.43282172373081462</v>
      </c>
      <c r="P59">
        <f>IF(AND(COUNTIFS(Data!$M$2:$M$301,"Train",Data!$B$2:$B$301,"&lt;="&amp;L59)&gt;0,COUNTIFS(Data!$M$2:$M$301,"Train",Data!$B$2:$B$301,"&gt;"&amp;L59)&gt;0),O59,1E+99)</f>
        <v>0.43282172373081462</v>
      </c>
    </row>
    <row r="60" spans="12:16" x14ac:dyDescent="0.2">
      <c r="L60">
        <f>Data!B60</f>
        <v>2004</v>
      </c>
      <c r="M60">
        <f>IF(COUNTIFS(Data!$M$2:$M$301,"Train",Data!$C$2:$C$301,"&lt;="&amp;ClassTree!$L$2,Data!$B$2:$B$301,"&lt;="&amp;L60)=0,0,1-(SUMIFS(Data!$L$2:$L$301,Data!$M$2:$M$301,"Train",Data!$C$2:$C$301,"&lt;="&amp;ClassTree!$L$2,Data!$B$2:$B$301,"&lt;="&amp;L60)/COUNTIFS(Data!$M$2:$M$301,"Train",Data!$C$2:$C$301,"&lt;="&amp;ClassTree!$L$2,Data!$B$2:$B$301,"&lt;="&amp;L60))^2-(1-SUMIFS(Data!$L$2:$L$301,Data!$M$2:$M$301,"Train",Data!$C$2:$C$301,"&lt;="&amp;ClassTree!$L$2,Data!$B$2:$B$301,"&lt;="&amp;L60)/COUNTIFS(Data!$M$2:$M$301,"Train",Data!$C$2:$C$301,"&lt;="&amp;ClassTree!$L$2,Data!$B$2:$B$301,"&lt;="&amp;L60))^2)</f>
        <v>0.17999999999999994</v>
      </c>
      <c r="N60">
        <f>IF(COUNTIFS(Data!$M$2:$M$301,"Train",Data!$C$2:$C$301,"&gt;"&amp;ClassTree!$L$2,Data!$B$2:$B$301,"&gt;"&amp;L60)=0,0,1-(SUMIFS(Data!$L$2:$L$301,Data!$M$2:$M$301,"Train",Data!$C$2:$C$301,"&gt;"&amp;ClassTree!$L$2,Data!$B$2:$B$301,"&gt;"&amp;L60)/COUNTIFS(Data!$M$2:$M$301,"Train",Data!$C$2:$C$301,"&gt;"&amp;ClassTree!$L$2,Data!$B$2:$B$301,"&gt;"&amp;L60))^2-(1-SUMIFS(Data!$L$2:$L$301,Data!$M$2:$M$301,"Train",Data!$C$2:$C$301,"&gt;"&amp;ClassTree!$L$2,Data!$B$2:$B$301,"&gt;"&amp;L60)/COUNTIFS(Data!$M$2:$M$301,"Train",Data!$C$2:$C$301,"&gt;"&amp;ClassTree!$L$2,Data!$B$2:$B$301,"&gt;"&amp;L60))^2)</f>
        <v>0.46924800000000005</v>
      </c>
      <c r="O60">
        <f>((COUNTIFS(Data!$M$2:$M$301,"Train",Data!$C$2:$C$301,"&lt;="&amp;ClassTree!$L$2)*M60)+(COUNTIFS(Data!$M$2:$M$301,"Train",Data!$C$2:$C$301,"&gt;"&amp;ClassTree!$L$2)*N60))/COUNTIF(Data!$M$2:$M$301,"Train")</f>
        <v>0.43894582857142855</v>
      </c>
      <c r="P60">
        <f>IF(AND(COUNTIFS(Data!$M$2:$M$301,"Train",Data!$B$2:$B$301,"&lt;="&amp;L60)&gt;0,COUNTIFS(Data!$M$2:$M$301,"Train",Data!$B$2:$B$301,"&gt;"&amp;L60)&gt;0),O60,1E+99)</f>
        <v>0.43894582857142855</v>
      </c>
    </row>
    <row r="61" spans="12:16" x14ac:dyDescent="0.2">
      <c r="L61">
        <f>Data!B61</f>
        <v>2003</v>
      </c>
      <c r="M61">
        <f>IF(COUNTIFS(Data!$M$2:$M$301,"Train",Data!$C$2:$C$301,"&lt;="&amp;ClassTree!$L$2,Data!$B$2:$B$301,"&lt;="&amp;L61)=0,0,1-(SUMIFS(Data!$L$2:$L$301,Data!$M$2:$M$301,"Train",Data!$C$2:$C$301,"&lt;="&amp;ClassTree!$L$2,Data!$B$2:$B$301,"&lt;="&amp;L61)/COUNTIFS(Data!$M$2:$M$301,"Train",Data!$C$2:$C$301,"&lt;="&amp;ClassTree!$L$2,Data!$B$2:$B$301,"&lt;="&amp;L61))^2-(1-SUMIFS(Data!$L$2:$L$301,Data!$M$2:$M$301,"Train",Data!$C$2:$C$301,"&lt;="&amp;ClassTree!$L$2,Data!$B$2:$B$301,"&lt;="&amp;L61)/COUNTIFS(Data!$M$2:$M$301,"Train",Data!$C$2:$C$301,"&lt;="&amp;ClassTree!$L$2,Data!$B$2:$B$301,"&lt;="&amp;L61))^2)</f>
        <v>0</v>
      </c>
      <c r="N61">
        <f>IF(COUNTIFS(Data!$M$2:$M$301,"Train",Data!$C$2:$C$301,"&gt;"&amp;ClassTree!$L$2,Data!$B$2:$B$301,"&gt;"&amp;L61)=0,0,1-(SUMIFS(Data!$L$2:$L$301,Data!$M$2:$M$301,"Train",Data!$C$2:$C$301,"&gt;"&amp;ClassTree!$L$2,Data!$B$2:$B$301,"&gt;"&amp;L61)/COUNTIFS(Data!$M$2:$M$301,"Train",Data!$C$2:$C$301,"&gt;"&amp;ClassTree!$L$2,Data!$B$2:$B$301,"&gt;"&amp;L61))^2-(1-SUMIFS(Data!$L$2:$L$301,Data!$M$2:$M$301,"Train",Data!$C$2:$C$301,"&gt;"&amp;ClassTree!$L$2,Data!$B$2:$B$301,"&gt;"&amp;L61)/COUNTIFS(Data!$M$2:$M$301,"Train",Data!$C$2:$C$301,"&gt;"&amp;ClassTree!$L$2,Data!$B$2:$B$301,"&gt;"&amp;L61))^2)</f>
        <v>0.48347107438016523</v>
      </c>
      <c r="O61">
        <f>((COUNTIFS(Data!$M$2:$M$301,"Train",Data!$C$2:$C$301,"&lt;="&amp;ClassTree!$L$2)*M61)+(COUNTIFS(Data!$M$2:$M$301,"Train",Data!$C$2:$C$301,"&gt;"&amp;ClassTree!$L$2)*N61))/COUNTIF(Data!$M$2:$M$301,"Train")</f>
        <v>0.43282172373081462</v>
      </c>
      <c r="P61">
        <f>IF(AND(COUNTIFS(Data!$M$2:$M$301,"Train",Data!$B$2:$B$301,"&lt;="&amp;L61)&gt;0,COUNTIFS(Data!$M$2:$M$301,"Train",Data!$B$2:$B$301,"&gt;"&amp;L61)&gt;0),O61,1E+99)</f>
        <v>0.43282172373081462</v>
      </c>
    </row>
    <row r="62" spans="12:16" x14ac:dyDescent="0.2">
      <c r="L62">
        <f>Data!B62</f>
        <v>2005</v>
      </c>
      <c r="M62">
        <f>IF(COUNTIFS(Data!$M$2:$M$301,"Train",Data!$C$2:$C$301,"&lt;="&amp;ClassTree!$L$2,Data!$B$2:$B$301,"&lt;="&amp;L62)=0,0,1-(SUMIFS(Data!$L$2:$L$301,Data!$M$2:$M$301,"Train",Data!$C$2:$C$301,"&lt;="&amp;ClassTree!$L$2,Data!$B$2:$B$301,"&lt;="&amp;L62)/COUNTIFS(Data!$M$2:$M$301,"Train",Data!$C$2:$C$301,"&lt;="&amp;ClassTree!$L$2,Data!$B$2:$B$301,"&lt;="&amp;L62))^2-(1-SUMIFS(Data!$L$2:$L$301,Data!$M$2:$M$301,"Train",Data!$C$2:$C$301,"&lt;="&amp;ClassTree!$L$2,Data!$B$2:$B$301,"&lt;="&amp;L62)/COUNTIFS(Data!$M$2:$M$301,"Train",Data!$C$2:$C$301,"&lt;="&amp;ClassTree!$L$2,Data!$B$2:$B$301,"&lt;="&amp;L62))^2)</f>
        <v>0.1527777777777779</v>
      </c>
      <c r="N62">
        <f>IF(COUNTIFS(Data!$M$2:$M$301,"Train",Data!$C$2:$C$301,"&gt;"&amp;ClassTree!$L$2,Data!$B$2:$B$301,"&gt;"&amp;L62)=0,0,1-(SUMIFS(Data!$L$2:$L$301,Data!$M$2:$M$301,"Train",Data!$C$2:$C$301,"&gt;"&amp;ClassTree!$L$2,Data!$B$2:$B$301,"&gt;"&amp;L62)/COUNTIFS(Data!$M$2:$M$301,"Train",Data!$C$2:$C$301,"&gt;"&amp;ClassTree!$L$2,Data!$B$2:$B$301,"&gt;"&amp;L62))^2-(1-SUMIFS(Data!$L$2:$L$301,Data!$M$2:$M$301,"Train",Data!$C$2:$C$301,"&gt;"&amp;ClassTree!$L$2,Data!$B$2:$B$301,"&gt;"&amp;L62)/COUNTIFS(Data!$M$2:$M$301,"Train",Data!$C$2:$C$301,"&gt;"&amp;ClassTree!$L$2,Data!$B$2:$B$301,"&gt;"&amp;L62))^2)</f>
        <v>0.45877855112243893</v>
      </c>
      <c r="O62">
        <f>((COUNTIFS(Data!$M$2:$M$301,"Train",Data!$C$2:$C$301,"&lt;="&amp;ClassTree!$L$2)*M62)+(COUNTIFS(Data!$M$2:$M$301,"Train",Data!$C$2:$C$301,"&gt;"&amp;ClassTree!$L$2)*N62))/COUNTIF(Data!$M$2:$M$301,"Train")</f>
        <v>0.42672132724823636</v>
      </c>
      <c r="P62">
        <f>IF(AND(COUNTIFS(Data!$M$2:$M$301,"Train",Data!$B$2:$B$301,"&lt;="&amp;L62)&gt;0,COUNTIFS(Data!$M$2:$M$301,"Train",Data!$B$2:$B$301,"&gt;"&amp;L62)&gt;0),O62,1E+99)</f>
        <v>0.42672132724823636</v>
      </c>
    </row>
    <row r="63" spans="12:16" x14ac:dyDescent="0.2">
      <c r="L63">
        <f>Data!B63</f>
        <v>2006</v>
      </c>
      <c r="M63">
        <f>IF(COUNTIFS(Data!$M$2:$M$301,"Train",Data!$C$2:$C$301,"&lt;="&amp;ClassTree!$L$2,Data!$B$2:$B$301,"&lt;="&amp;L63)=0,0,1-(SUMIFS(Data!$L$2:$L$301,Data!$M$2:$M$301,"Train",Data!$C$2:$C$301,"&lt;="&amp;ClassTree!$L$2,Data!$B$2:$B$301,"&lt;="&amp;L63)/COUNTIFS(Data!$M$2:$M$301,"Train",Data!$C$2:$C$301,"&lt;="&amp;ClassTree!$L$2,Data!$B$2:$B$301,"&lt;="&amp;L63))^2-(1-SUMIFS(Data!$L$2:$L$301,Data!$M$2:$M$301,"Train",Data!$C$2:$C$301,"&lt;="&amp;ClassTree!$L$2,Data!$B$2:$B$301,"&lt;="&amp;L63)/COUNTIFS(Data!$M$2:$M$301,"Train",Data!$C$2:$C$301,"&lt;="&amp;ClassTree!$L$2,Data!$B$2:$B$301,"&lt;="&amp;L63))^2)</f>
        <v>9.9722991689750629E-2</v>
      </c>
      <c r="N63">
        <f>IF(COUNTIFS(Data!$M$2:$M$301,"Train",Data!$C$2:$C$301,"&gt;"&amp;ClassTree!$L$2,Data!$B$2:$B$301,"&gt;"&amp;L63)=0,0,1-(SUMIFS(Data!$L$2:$L$301,Data!$M$2:$M$301,"Train",Data!$C$2:$C$301,"&gt;"&amp;ClassTree!$L$2,Data!$B$2:$B$301,"&gt;"&amp;L63)/COUNTIFS(Data!$M$2:$M$301,"Train",Data!$C$2:$C$301,"&gt;"&amp;ClassTree!$L$2,Data!$B$2:$B$301,"&gt;"&amp;L63))^2-(1-SUMIFS(Data!$L$2:$L$301,Data!$M$2:$M$301,"Train",Data!$C$2:$C$301,"&gt;"&amp;ClassTree!$L$2,Data!$B$2:$B$301,"&gt;"&amp;L63)/COUNTIFS(Data!$M$2:$M$301,"Train",Data!$C$2:$C$301,"&gt;"&amp;ClassTree!$L$2,Data!$B$2:$B$301,"&gt;"&amp;L63))^2)</f>
        <v>0.46208779668136946</v>
      </c>
      <c r="O63">
        <f>((COUNTIFS(Data!$M$2:$M$301,"Train",Data!$C$2:$C$301,"&lt;="&amp;ClassTree!$L$2)*M63)+(COUNTIFS(Data!$M$2:$M$301,"Train",Data!$C$2:$C$301,"&gt;"&amp;ClassTree!$L$2)*N63))/COUNTIF(Data!$M$2:$M$301,"Train")</f>
        <v>0.42412576949177128</v>
      </c>
      <c r="P63">
        <f>IF(AND(COUNTIFS(Data!$M$2:$M$301,"Train",Data!$B$2:$B$301,"&lt;="&amp;L63)&gt;0,COUNTIFS(Data!$M$2:$M$301,"Train",Data!$B$2:$B$301,"&gt;"&amp;L63)&gt;0),O63,1E+99)</f>
        <v>0.42412576949177128</v>
      </c>
    </row>
    <row r="64" spans="12:16" x14ac:dyDescent="0.2">
      <c r="L64">
        <f>Data!B64</f>
        <v>2005</v>
      </c>
      <c r="M64">
        <f>IF(COUNTIFS(Data!$M$2:$M$301,"Train",Data!$C$2:$C$301,"&lt;="&amp;ClassTree!$L$2,Data!$B$2:$B$301,"&lt;="&amp;L64)=0,0,1-(SUMIFS(Data!$L$2:$L$301,Data!$M$2:$M$301,"Train",Data!$C$2:$C$301,"&lt;="&amp;ClassTree!$L$2,Data!$B$2:$B$301,"&lt;="&amp;L64)/COUNTIFS(Data!$M$2:$M$301,"Train",Data!$C$2:$C$301,"&lt;="&amp;ClassTree!$L$2,Data!$B$2:$B$301,"&lt;="&amp;L64))^2-(1-SUMIFS(Data!$L$2:$L$301,Data!$M$2:$M$301,"Train",Data!$C$2:$C$301,"&lt;="&amp;ClassTree!$L$2,Data!$B$2:$B$301,"&lt;="&amp;L64)/COUNTIFS(Data!$M$2:$M$301,"Train",Data!$C$2:$C$301,"&lt;="&amp;ClassTree!$L$2,Data!$B$2:$B$301,"&lt;="&amp;L64))^2)</f>
        <v>0.1527777777777779</v>
      </c>
      <c r="N64">
        <f>IF(COUNTIFS(Data!$M$2:$M$301,"Train",Data!$C$2:$C$301,"&gt;"&amp;ClassTree!$L$2,Data!$B$2:$B$301,"&gt;"&amp;L64)=0,0,1-(SUMIFS(Data!$L$2:$L$301,Data!$M$2:$M$301,"Train",Data!$C$2:$C$301,"&gt;"&amp;ClassTree!$L$2,Data!$B$2:$B$301,"&gt;"&amp;L64)/COUNTIFS(Data!$M$2:$M$301,"Train",Data!$C$2:$C$301,"&gt;"&amp;ClassTree!$L$2,Data!$B$2:$B$301,"&gt;"&amp;L64))^2-(1-SUMIFS(Data!$L$2:$L$301,Data!$M$2:$M$301,"Train",Data!$C$2:$C$301,"&gt;"&amp;ClassTree!$L$2,Data!$B$2:$B$301,"&gt;"&amp;L64)/COUNTIFS(Data!$M$2:$M$301,"Train",Data!$C$2:$C$301,"&gt;"&amp;ClassTree!$L$2,Data!$B$2:$B$301,"&gt;"&amp;L64))^2)</f>
        <v>0.45877855112243893</v>
      </c>
      <c r="O64">
        <f>((COUNTIFS(Data!$M$2:$M$301,"Train",Data!$C$2:$C$301,"&lt;="&amp;ClassTree!$L$2)*M64)+(COUNTIFS(Data!$M$2:$M$301,"Train",Data!$C$2:$C$301,"&gt;"&amp;ClassTree!$L$2)*N64))/COUNTIF(Data!$M$2:$M$301,"Train")</f>
        <v>0.42672132724823636</v>
      </c>
      <c r="P64">
        <f>IF(AND(COUNTIFS(Data!$M$2:$M$301,"Train",Data!$B$2:$B$301,"&lt;="&amp;L64)&gt;0,COUNTIFS(Data!$M$2:$M$301,"Train",Data!$B$2:$B$301,"&gt;"&amp;L64)&gt;0),O64,1E+99)</f>
        <v>0.42672132724823636</v>
      </c>
    </row>
    <row r="65" spans="12:16" x14ac:dyDescent="0.2">
      <c r="L65">
        <f>Data!B65</f>
        <v>2004</v>
      </c>
      <c r="M65">
        <f>IF(COUNTIFS(Data!$M$2:$M$301,"Train",Data!$C$2:$C$301,"&lt;="&amp;ClassTree!$L$2,Data!$B$2:$B$301,"&lt;="&amp;L65)=0,0,1-(SUMIFS(Data!$L$2:$L$301,Data!$M$2:$M$301,"Train",Data!$C$2:$C$301,"&lt;="&amp;ClassTree!$L$2,Data!$B$2:$B$301,"&lt;="&amp;L65)/COUNTIFS(Data!$M$2:$M$301,"Train",Data!$C$2:$C$301,"&lt;="&amp;ClassTree!$L$2,Data!$B$2:$B$301,"&lt;="&amp;L65))^2-(1-SUMIFS(Data!$L$2:$L$301,Data!$M$2:$M$301,"Train",Data!$C$2:$C$301,"&lt;="&amp;ClassTree!$L$2,Data!$B$2:$B$301,"&lt;="&amp;L65)/COUNTIFS(Data!$M$2:$M$301,"Train",Data!$C$2:$C$301,"&lt;="&amp;ClassTree!$L$2,Data!$B$2:$B$301,"&lt;="&amp;L65))^2)</f>
        <v>0.17999999999999994</v>
      </c>
      <c r="N65">
        <f>IF(COUNTIFS(Data!$M$2:$M$301,"Train",Data!$C$2:$C$301,"&gt;"&amp;ClassTree!$L$2,Data!$B$2:$B$301,"&gt;"&amp;L65)=0,0,1-(SUMIFS(Data!$L$2:$L$301,Data!$M$2:$M$301,"Train",Data!$C$2:$C$301,"&gt;"&amp;ClassTree!$L$2,Data!$B$2:$B$301,"&gt;"&amp;L65)/COUNTIFS(Data!$M$2:$M$301,"Train",Data!$C$2:$C$301,"&gt;"&amp;ClassTree!$L$2,Data!$B$2:$B$301,"&gt;"&amp;L65))^2-(1-SUMIFS(Data!$L$2:$L$301,Data!$M$2:$M$301,"Train",Data!$C$2:$C$301,"&gt;"&amp;ClassTree!$L$2,Data!$B$2:$B$301,"&gt;"&amp;L65)/COUNTIFS(Data!$M$2:$M$301,"Train",Data!$C$2:$C$301,"&gt;"&amp;ClassTree!$L$2,Data!$B$2:$B$301,"&gt;"&amp;L65))^2)</f>
        <v>0.46924800000000005</v>
      </c>
      <c r="O65">
        <f>((COUNTIFS(Data!$M$2:$M$301,"Train",Data!$C$2:$C$301,"&lt;="&amp;ClassTree!$L$2)*M65)+(COUNTIFS(Data!$M$2:$M$301,"Train",Data!$C$2:$C$301,"&gt;"&amp;ClassTree!$L$2)*N65))/COUNTIF(Data!$M$2:$M$301,"Train")</f>
        <v>0.43894582857142855</v>
      </c>
      <c r="P65">
        <f>IF(AND(COUNTIFS(Data!$M$2:$M$301,"Train",Data!$B$2:$B$301,"&lt;="&amp;L65)&gt;0,COUNTIFS(Data!$M$2:$M$301,"Train",Data!$B$2:$B$301,"&gt;"&amp;L65)&gt;0),O65,1E+99)</f>
        <v>0.43894582857142855</v>
      </c>
    </row>
    <row r="66" spans="12:16" x14ac:dyDescent="0.2">
      <c r="L66">
        <f>Data!B66</f>
        <v>2003</v>
      </c>
      <c r="M66">
        <f>IF(COUNTIFS(Data!$M$2:$M$301,"Train",Data!$C$2:$C$301,"&lt;="&amp;ClassTree!$L$2,Data!$B$2:$B$301,"&lt;="&amp;L66)=0,0,1-(SUMIFS(Data!$L$2:$L$301,Data!$M$2:$M$301,"Train",Data!$C$2:$C$301,"&lt;="&amp;ClassTree!$L$2,Data!$B$2:$B$301,"&lt;="&amp;L66)/COUNTIFS(Data!$M$2:$M$301,"Train",Data!$C$2:$C$301,"&lt;="&amp;ClassTree!$L$2,Data!$B$2:$B$301,"&lt;="&amp;L66))^2-(1-SUMIFS(Data!$L$2:$L$301,Data!$M$2:$M$301,"Train",Data!$C$2:$C$301,"&lt;="&amp;ClassTree!$L$2,Data!$B$2:$B$301,"&lt;="&amp;L66)/COUNTIFS(Data!$M$2:$M$301,"Train",Data!$C$2:$C$301,"&lt;="&amp;ClassTree!$L$2,Data!$B$2:$B$301,"&lt;="&amp;L66))^2)</f>
        <v>0</v>
      </c>
      <c r="N66">
        <f>IF(COUNTIFS(Data!$M$2:$M$301,"Train",Data!$C$2:$C$301,"&gt;"&amp;ClassTree!$L$2,Data!$B$2:$B$301,"&gt;"&amp;L66)=0,0,1-(SUMIFS(Data!$L$2:$L$301,Data!$M$2:$M$301,"Train",Data!$C$2:$C$301,"&gt;"&amp;ClassTree!$L$2,Data!$B$2:$B$301,"&gt;"&amp;L66)/COUNTIFS(Data!$M$2:$M$301,"Train",Data!$C$2:$C$301,"&gt;"&amp;ClassTree!$L$2,Data!$B$2:$B$301,"&gt;"&amp;L66))^2-(1-SUMIFS(Data!$L$2:$L$301,Data!$M$2:$M$301,"Train",Data!$C$2:$C$301,"&gt;"&amp;ClassTree!$L$2,Data!$B$2:$B$301,"&gt;"&amp;L66)/COUNTIFS(Data!$M$2:$M$301,"Train",Data!$C$2:$C$301,"&gt;"&amp;ClassTree!$L$2,Data!$B$2:$B$301,"&gt;"&amp;L66))^2)</f>
        <v>0.48347107438016523</v>
      </c>
      <c r="O66">
        <f>((COUNTIFS(Data!$M$2:$M$301,"Train",Data!$C$2:$C$301,"&lt;="&amp;ClassTree!$L$2)*M66)+(COUNTIFS(Data!$M$2:$M$301,"Train",Data!$C$2:$C$301,"&gt;"&amp;ClassTree!$L$2)*N66))/COUNTIF(Data!$M$2:$M$301,"Train")</f>
        <v>0.43282172373081462</v>
      </c>
      <c r="P66">
        <f>IF(AND(COUNTIFS(Data!$M$2:$M$301,"Train",Data!$B$2:$B$301,"&lt;="&amp;L66)&gt;0,COUNTIFS(Data!$M$2:$M$301,"Train",Data!$B$2:$B$301,"&gt;"&amp;L66)&gt;0),O66,1E+99)</f>
        <v>0.43282172373081462</v>
      </c>
    </row>
    <row r="67" spans="12:16" x14ac:dyDescent="0.2">
      <c r="L67">
        <f>Data!B67</f>
        <v>2003</v>
      </c>
      <c r="M67">
        <f>IF(COUNTIFS(Data!$M$2:$M$301,"Train",Data!$C$2:$C$301,"&lt;="&amp;ClassTree!$L$2,Data!$B$2:$B$301,"&lt;="&amp;L67)=0,0,1-(SUMIFS(Data!$L$2:$L$301,Data!$M$2:$M$301,"Train",Data!$C$2:$C$301,"&lt;="&amp;ClassTree!$L$2,Data!$B$2:$B$301,"&lt;="&amp;L67)/COUNTIFS(Data!$M$2:$M$301,"Train",Data!$C$2:$C$301,"&lt;="&amp;ClassTree!$L$2,Data!$B$2:$B$301,"&lt;="&amp;L67))^2-(1-SUMIFS(Data!$L$2:$L$301,Data!$M$2:$M$301,"Train",Data!$C$2:$C$301,"&lt;="&amp;ClassTree!$L$2,Data!$B$2:$B$301,"&lt;="&amp;L67)/COUNTIFS(Data!$M$2:$M$301,"Train",Data!$C$2:$C$301,"&lt;="&amp;ClassTree!$L$2,Data!$B$2:$B$301,"&lt;="&amp;L67))^2)</f>
        <v>0</v>
      </c>
      <c r="N67">
        <f>IF(COUNTIFS(Data!$M$2:$M$301,"Train",Data!$C$2:$C$301,"&gt;"&amp;ClassTree!$L$2,Data!$B$2:$B$301,"&gt;"&amp;L67)=0,0,1-(SUMIFS(Data!$L$2:$L$301,Data!$M$2:$M$301,"Train",Data!$C$2:$C$301,"&gt;"&amp;ClassTree!$L$2,Data!$B$2:$B$301,"&gt;"&amp;L67)/COUNTIFS(Data!$M$2:$M$301,"Train",Data!$C$2:$C$301,"&gt;"&amp;ClassTree!$L$2,Data!$B$2:$B$301,"&gt;"&amp;L67))^2-(1-SUMIFS(Data!$L$2:$L$301,Data!$M$2:$M$301,"Train",Data!$C$2:$C$301,"&gt;"&amp;ClassTree!$L$2,Data!$B$2:$B$301,"&gt;"&amp;L67)/COUNTIFS(Data!$M$2:$M$301,"Train",Data!$C$2:$C$301,"&gt;"&amp;ClassTree!$L$2,Data!$B$2:$B$301,"&gt;"&amp;L67))^2)</f>
        <v>0.48347107438016523</v>
      </c>
      <c r="O67">
        <f>((COUNTIFS(Data!$M$2:$M$301,"Train",Data!$C$2:$C$301,"&lt;="&amp;ClassTree!$L$2)*M67)+(COUNTIFS(Data!$M$2:$M$301,"Train",Data!$C$2:$C$301,"&gt;"&amp;ClassTree!$L$2)*N67))/COUNTIF(Data!$M$2:$M$301,"Train")</f>
        <v>0.43282172373081462</v>
      </c>
      <c r="P67">
        <f>IF(AND(COUNTIFS(Data!$M$2:$M$301,"Train",Data!$B$2:$B$301,"&lt;="&amp;L67)&gt;0,COUNTIFS(Data!$M$2:$M$301,"Train",Data!$B$2:$B$301,"&gt;"&amp;L67)&gt;0),O67,1E+99)</f>
        <v>0.43282172373081462</v>
      </c>
    </row>
    <row r="68" spans="12:16" x14ac:dyDescent="0.2">
      <c r="L68">
        <f>Data!B68</f>
        <v>2009</v>
      </c>
      <c r="M68">
        <f>IF(COUNTIFS(Data!$M$2:$M$301,"Train",Data!$C$2:$C$301,"&lt;="&amp;ClassTree!$L$2,Data!$B$2:$B$301,"&lt;="&amp;L68)=0,0,1-(SUMIFS(Data!$L$2:$L$301,Data!$M$2:$M$301,"Train",Data!$C$2:$C$301,"&lt;="&amp;ClassTree!$L$2,Data!$B$2:$B$301,"&lt;="&amp;L68)/COUNTIFS(Data!$M$2:$M$301,"Train",Data!$C$2:$C$301,"&lt;="&amp;ClassTree!$L$2,Data!$B$2:$B$301,"&lt;="&amp;L68))^2-(1-SUMIFS(Data!$L$2:$L$301,Data!$M$2:$M$301,"Train",Data!$C$2:$C$301,"&lt;="&amp;ClassTree!$L$2,Data!$B$2:$B$301,"&lt;="&amp;L68)/COUNTIFS(Data!$M$2:$M$301,"Train",Data!$C$2:$C$301,"&lt;="&amp;ClassTree!$L$2,Data!$B$2:$B$301,"&lt;="&amp;L68))^2)</f>
        <v>8.6776859504132053E-2</v>
      </c>
      <c r="N68">
        <f>IF(COUNTIFS(Data!$M$2:$M$301,"Train",Data!$C$2:$C$301,"&gt;"&amp;ClassTree!$L$2,Data!$B$2:$B$301,"&gt;"&amp;L68)=0,0,1-(SUMIFS(Data!$L$2:$L$301,Data!$M$2:$M$301,"Train",Data!$C$2:$C$301,"&gt;"&amp;ClassTree!$L$2,Data!$B$2:$B$301,"&gt;"&amp;L68)/COUNTIFS(Data!$M$2:$M$301,"Train",Data!$C$2:$C$301,"&gt;"&amp;ClassTree!$L$2,Data!$B$2:$B$301,"&gt;"&amp;L68))^2-(1-SUMIFS(Data!$L$2:$L$301,Data!$M$2:$M$301,"Train",Data!$C$2:$C$301,"&gt;"&amp;ClassTree!$L$2,Data!$B$2:$B$301,"&gt;"&amp;L68)/COUNTIFS(Data!$M$2:$M$301,"Train",Data!$C$2:$C$301,"&gt;"&amp;ClassTree!$L$2,Data!$B$2:$B$301,"&gt;"&amp;L68))^2)</f>
        <v>0</v>
      </c>
      <c r="O68">
        <f>((COUNTIFS(Data!$M$2:$M$301,"Train",Data!$C$2:$C$301,"&lt;="&amp;ClassTree!$L$2)*M68)+(COUNTIFS(Data!$M$2:$M$301,"Train",Data!$C$2:$C$301,"&gt;"&amp;ClassTree!$L$2)*N68))/COUNTIF(Data!$M$2:$M$301,"Train")</f>
        <v>9.0909090909090731E-3</v>
      </c>
      <c r="P68">
        <f>IF(AND(COUNTIFS(Data!$M$2:$M$301,"Train",Data!$B$2:$B$301,"&lt;="&amp;L68)&gt;0,COUNTIFS(Data!$M$2:$M$301,"Train",Data!$B$2:$B$301,"&gt;"&amp;L68)&gt;0),O68,1E+99)</f>
        <v>9.9999999999999997E+98</v>
      </c>
    </row>
    <row r="69" spans="12:16" x14ac:dyDescent="0.2">
      <c r="L69">
        <f>Data!B69</f>
        <v>2003</v>
      </c>
      <c r="M69">
        <f>IF(COUNTIFS(Data!$M$2:$M$301,"Train",Data!$C$2:$C$301,"&lt;="&amp;ClassTree!$L$2,Data!$B$2:$B$301,"&lt;="&amp;L69)=0,0,1-(SUMIFS(Data!$L$2:$L$301,Data!$M$2:$M$301,"Train",Data!$C$2:$C$301,"&lt;="&amp;ClassTree!$L$2,Data!$B$2:$B$301,"&lt;="&amp;L69)/COUNTIFS(Data!$M$2:$M$301,"Train",Data!$C$2:$C$301,"&lt;="&amp;ClassTree!$L$2,Data!$B$2:$B$301,"&lt;="&amp;L69))^2-(1-SUMIFS(Data!$L$2:$L$301,Data!$M$2:$M$301,"Train",Data!$C$2:$C$301,"&lt;="&amp;ClassTree!$L$2,Data!$B$2:$B$301,"&lt;="&amp;L69)/COUNTIFS(Data!$M$2:$M$301,"Train",Data!$C$2:$C$301,"&lt;="&amp;ClassTree!$L$2,Data!$B$2:$B$301,"&lt;="&amp;L69))^2)</f>
        <v>0</v>
      </c>
      <c r="N69">
        <f>IF(COUNTIFS(Data!$M$2:$M$301,"Train",Data!$C$2:$C$301,"&gt;"&amp;ClassTree!$L$2,Data!$B$2:$B$301,"&gt;"&amp;L69)=0,0,1-(SUMIFS(Data!$L$2:$L$301,Data!$M$2:$M$301,"Train",Data!$C$2:$C$301,"&gt;"&amp;ClassTree!$L$2,Data!$B$2:$B$301,"&gt;"&amp;L69)/COUNTIFS(Data!$M$2:$M$301,"Train",Data!$C$2:$C$301,"&gt;"&amp;ClassTree!$L$2,Data!$B$2:$B$301,"&gt;"&amp;L69))^2-(1-SUMIFS(Data!$L$2:$L$301,Data!$M$2:$M$301,"Train",Data!$C$2:$C$301,"&gt;"&amp;ClassTree!$L$2,Data!$B$2:$B$301,"&gt;"&amp;L69)/COUNTIFS(Data!$M$2:$M$301,"Train",Data!$C$2:$C$301,"&gt;"&amp;ClassTree!$L$2,Data!$B$2:$B$301,"&gt;"&amp;L69))^2)</f>
        <v>0.48347107438016523</v>
      </c>
      <c r="O69">
        <f>((COUNTIFS(Data!$M$2:$M$301,"Train",Data!$C$2:$C$301,"&lt;="&amp;ClassTree!$L$2)*M69)+(COUNTIFS(Data!$M$2:$M$301,"Train",Data!$C$2:$C$301,"&gt;"&amp;ClassTree!$L$2)*N69))/COUNTIF(Data!$M$2:$M$301,"Train")</f>
        <v>0.43282172373081462</v>
      </c>
      <c r="P69">
        <f>IF(AND(COUNTIFS(Data!$M$2:$M$301,"Train",Data!$B$2:$B$301,"&lt;="&amp;L69)&gt;0,COUNTIFS(Data!$M$2:$M$301,"Train",Data!$B$2:$B$301,"&gt;"&amp;L69)&gt;0),O69,1E+99)</f>
        <v>0.43282172373081462</v>
      </c>
    </row>
    <row r="70" spans="12:16" x14ac:dyDescent="0.2">
      <c r="L70">
        <f>Data!B70</f>
        <v>2004</v>
      </c>
      <c r="M70">
        <f>IF(COUNTIFS(Data!$M$2:$M$301,"Train",Data!$C$2:$C$301,"&lt;="&amp;ClassTree!$L$2,Data!$B$2:$B$301,"&lt;="&amp;L70)=0,0,1-(SUMIFS(Data!$L$2:$L$301,Data!$M$2:$M$301,"Train",Data!$C$2:$C$301,"&lt;="&amp;ClassTree!$L$2,Data!$B$2:$B$301,"&lt;="&amp;L70)/COUNTIFS(Data!$M$2:$M$301,"Train",Data!$C$2:$C$301,"&lt;="&amp;ClassTree!$L$2,Data!$B$2:$B$301,"&lt;="&amp;L70))^2-(1-SUMIFS(Data!$L$2:$L$301,Data!$M$2:$M$301,"Train",Data!$C$2:$C$301,"&lt;="&amp;ClassTree!$L$2,Data!$B$2:$B$301,"&lt;="&amp;L70)/COUNTIFS(Data!$M$2:$M$301,"Train",Data!$C$2:$C$301,"&lt;="&amp;ClassTree!$L$2,Data!$B$2:$B$301,"&lt;="&amp;L70))^2)</f>
        <v>0.17999999999999994</v>
      </c>
      <c r="N70">
        <f>IF(COUNTIFS(Data!$M$2:$M$301,"Train",Data!$C$2:$C$301,"&gt;"&amp;ClassTree!$L$2,Data!$B$2:$B$301,"&gt;"&amp;L70)=0,0,1-(SUMIFS(Data!$L$2:$L$301,Data!$M$2:$M$301,"Train",Data!$C$2:$C$301,"&gt;"&amp;ClassTree!$L$2,Data!$B$2:$B$301,"&gt;"&amp;L70)/COUNTIFS(Data!$M$2:$M$301,"Train",Data!$C$2:$C$301,"&gt;"&amp;ClassTree!$L$2,Data!$B$2:$B$301,"&gt;"&amp;L70))^2-(1-SUMIFS(Data!$L$2:$L$301,Data!$M$2:$M$301,"Train",Data!$C$2:$C$301,"&gt;"&amp;ClassTree!$L$2,Data!$B$2:$B$301,"&gt;"&amp;L70)/COUNTIFS(Data!$M$2:$M$301,"Train",Data!$C$2:$C$301,"&gt;"&amp;ClassTree!$L$2,Data!$B$2:$B$301,"&gt;"&amp;L70))^2)</f>
        <v>0.46924800000000005</v>
      </c>
      <c r="O70">
        <f>((COUNTIFS(Data!$M$2:$M$301,"Train",Data!$C$2:$C$301,"&lt;="&amp;ClassTree!$L$2)*M70)+(COUNTIFS(Data!$M$2:$M$301,"Train",Data!$C$2:$C$301,"&gt;"&amp;ClassTree!$L$2)*N70))/COUNTIF(Data!$M$2:$M$301,"Train")</f>
        <v>0.43894582857142855</v>
      </c>
      <c r="P70">
        <f>IF(AND(COUNTIFS(Data!$M$2:$M$301,"Train",Data!$B$2:$B$301,"&lt;="&amp;L70)&gt;0,COUNTIFS(Data!$M$2:$M$301,"Train",Data!$B$2:$B$301,"&gt;"&amp;L70)&gt;0),O70,1E+99)</f>
        <v>0.43894582857142855</v>
      </c>
    </row>
    <row r="71" spans="12:16" x14ac:dyDescent="0.2">
      <c r="L71">
        <f>Data!B71</f>
        <v>2008</v>
      </c>
      <c r="M71">
        <f>IF(COUNTIFS(Data!$M$2:$M$301,"Train",Data!$C$2:$C$301,"&lt;="&amp;ClassTree!$L$2,Data!$B$2:$B$301,"&lt;="&amp;L71)=0,0,1-(SUMIFS(Data!$L$2:$L$301,Data!$M$2:$M$301,"Train",Data!$C$2:$C$301,"&lt;="&amp;ClassTree!$L$2,Data!$B$2:$B$301,"&lt;="&amp;L71)/COUNTIFS(Data!$M$2:$M$301,"Train",Data!$C$2:$C$301,"&lt;="&amp;ClassTree!$L$2,Data!$B$2:$B$301,"&lt;="&amp;L71))^2-(1-SUMIFS(Data!$L$2:$L$301,Data!$M$2:$M$301,"Train",Data!$C$2:$C$301,"&lt;="&amp;ClassTree!$L$2,Data!$B$2:$B$301,"&lt;="&amp;L71)/COUNTIFS(Data!$M$2:$M$301,"Train",Data!$C$2:$C$301,"&lt;="&amp;ClassTree!$L$2,Data!$B$2:$B$301,"&lt;="&amp;L71))^2)</f>
        <v>8.6776859504132053E-2</v>
      </c>
      <c r="N71">
        <f>IF(COUNTIFS(Data!$M$2:$M$301,"Train",Data!$C$2:$C$301,"&gt;"&amp;ClassTree!$L$2,Data!$B$2:$B$301,"&gt;"&amp;L71)=0,0,1-(SUMIFS(Data!$L$2:$L$301,Data!$M$2:$M$301,"Train",Data!$C$2:$C$301,"&gt;"&amp;ClassTree!$L$2,Data!$B$2:$B$301,"&gt;"&amp;L71)/COUNTIFS(Data!$M$2:$M$301,"Train",Data!$C$2:$C$301,"&gt;"&amp;ClassTree!$L$2,Data!$B$2:$B$301,"&gt;"&amp;L71))^2-(1-SUMIFS(Data!$L$2:$L$301,Data!$M$2:$M$301,"Train",Data!$C$2:$C$301,"&gt;"&amp;ClassTree!$L$2,Data!$B$2:$B$301,"&gt;"&amp;L71)/COUNTIFS(Data!$M$2:$M$301,"Train",Data!$C$2:$C$301,"&gt;"&amp;ClassTree!$L$2,Data!$B$2:$B$301,"&gt;"&amp;L71))^2)</f>
        <v>0.47337278106508873</v>
      </c>
      <c r="O71">
        <f>((COUNTIFS(Data!$M$2:$M$301,"Train",Data!$C$2:$C$301,"&lt;="&amp;ClassTree!$L$2)*M71)+(COUNTIFS(Data!$M$2:$M$301,"Train",Data!$C$2:$C$301,"&gt;"&amp;ClassTree!$L$2)*N71))/COUNTIF(Data!$M$2:$M$301,"Train")</f>
        <v>0.432872255949179</v>
      </c>
      <c r="P71">
        <f>IF(AND(COUNTIFS(Data!$M$2:$M$301,"Train",Data!$B$2:$B$301,"&lt;="&amp;L71)&gt;0,COUNTIFS(Data!$M$2:$M$301,"Train",Data!$B$2:$B$301,"&gt;"&amp;L71)&gt;0),O71,1E+99)</f>
        <v>0.432872255949179</v>
      </c>
    </row>
    <row r="72" spans="12:16" x14ac:dyDescent="0.2">
      <c r="L72">
        <f>Data!B72</f>
        <v>2004</v>
      </c>
      <c r="M72">
        <f>IF(COUNTIFS(Data!$M$2:$M$301,"Train",Data!$C$2:$C$301,"&lt;="&amp;ClassTree!$L$2,Data!$B$2:$B$301,"&lt;="&amp;L72)=0,0,1-(SUMIFS(Data!$L$2:$L$301,Data!$M$2:$M$301,"Train",Data!$C$2:$C$301,"&lt;="&amp;ClassTree!$L$2,Data!$B$2:$B$301,"&lt;="&amp;L72)/COUNTIFS(Data!$M$2:$M$301,"Train",Data!$C$2:$C$301,"&lt;="&amp;ClassTree!$L$2,Data!$B$2:$B$301,"&lt;="&amp;L72))^2-(1-SUMIFS(Data!$L$2:$L$301,Data!$M$2:$M$301,"Train",Data!$C$2:$C$301,"&lt;="&amp;ClassTree!$L$2,Data!$B$2:$B$301,"&lt;="&amp;L72)/COUNTIFS(Data!$M$2:$M$301,"Train",Data!$C$2:$C$301,"&lt;="&amp;ClassTree!$L$2,Data!$B$2:$B$301,"&lt;="&amp;L72))^2)</f>
        <v>0.17999999999999994</v>
      </c>
      <c r="N72">
        <f>IF(COUNTIFS(Data!$M$2:$M$301,"Train",Data!$C$2:$C$301,"&gt;"&amp;ClassTree!$L$2,Data!$B$2:$B$301,"&gt;"&amp;L72)=0,0,1-(SUMIFS(Data!$L$2:$L$301,Data!$M$2:$M$301,"Train",Data!$C$2:$C$301,"&gt;"&amp;ClassTree!$L$2,Data!$B$2:$B$301,"&gt;"&amp;L72)/COUNTIFS(Data!$M$2:$M$301,"Train",Data!$C$2:$C$301,"&gt;"&amp;ClassTree!$L$2,Data!$B$2:$B$301,"&gt;"&amp;L72))^2-(1-SUMIFS(Data!$L$2:$L$301,Data!$M$2:$M$301,"Train",Data!$C$2:$C$301,"&gt;"&amp;ClassTree!$L$2,Data!$B$2:$B$301,"&gt;"&amp;L72)/COUNTIFS(Data!$M$2:$M$301,"Train",Data!$C$2:$C$301,"&gt;"&amp;ClassTree!$L$2,Data!$B$2:$B$301,"&gt;"&amp;L72))^2)</f>
        <v>0.46924800000000005</v>
      </c>
      <c r="O72">
        <f>((COUNTIFS(Data!$M$2:$M$301,"Train",Data!$C$2:$C$301,"&lt;="&amp;ClassTree!$L$2)*M72)+(COUNTIFS(Data!$M$2:$M$301,"Train",Data!$C$2:$C$301,"&gt;"&amp;ClassTree!$L$2)*N72))/COUNTIF(Data!$M$2:$M$301,"Train")</f>
        <v>0.43894582857142855</v>
      </c>
      <c r="P72">
        <f>IF(AND(COUNTIFS(Data!$M$2:$M$301,"Train",Data!$B$2:$B$301,"&lt;="&amp;L72)&gt;0,COUNTIFS(Data!$M$2:$M$301,"Train",Data!$B$2:$B$301,"&gt;"&amp;L72)&gt;0),O72,1E+99)</f>
        <v>0.43894582857142855</v>
      </c>
    </row>
    <row r="73" spans="12:16" x14ac:dyDescent="0.2">
      <c r="L73">
        <f>Data!B73</f>
        <v>2006</v>
      </c>
      <c r="M73">
        <f>IF(COUNTIFS(Data!$M$2:$M$301,"Train",Data!$C$2:$C$301,"&lt;="&amp;ClassTree!$L$2,Data!$B$2:$B$301,"&lt;="&amp;L73)=0,0,1-(SUMIFS(Data!$L$2:$L$301,Data!$M$2:$M$301,"Train",Data!$C$2:$C$301,"&lt;="&amp;ClassTree!$L$2,Data!$B$2:$B$301,"&lt;="&amp;L73)/COUNTIFS(Data!$M$2:$M$301,"Train",Data!$C$2:$C$301,"&lt;="&amp;ClassTree!$L$2,Data!$B$2:$B$301,"&lt;="&amp;L73))^2-(1-SUMIFS(Data!$L$2:$L$301,Data!$M$2:$M$301,"Train",Data!$C$2:$C$301,"&lt;="&amp;ClassTree!$L$2,Data!$B$2:$B$301,"&lt;="&amp;L73)/COUNTIFS(Data!$M$2:$M$301,"Train",Data!$C$2:$C$301,"&lt;="&amp;ClassTree!$L$2,Data!$B$2:$B$301,"&lt;="&amp;L73))^2)</f>
        <v>9.9722991689750629E-2</v>
      </c>
      <c r="N73">
        <f>IF(COUNTIFS(Data!$M$2:$M$301,"Train",Data!$C$2:$C$301,"&gt;"&amp;ClassTree!$L$2,Data!$B$2:$B$301,"&gt;"&amp;L73)=0,0,1-(SUMIFS(Data!$L$2:$L$301,Data!$M$2:$M$301,"Train",Data!$C$2:$C$301,"&gt;"&amp;ClassTree!$L$2,Data!$B$2:$B$301,"&gt;"&amp;L73)/COUNTIFS(Data!$M$2:$M$301,"Train",Data!$C$2:$C$301,"&gt;"&amp;ClassTree!$L$2,Data!$B$2:$B$301,"&gt;"&amp;L73))^2-(1-SUMIFS(Data!$L$2:$L$301,Data!$M$2:$M$301,"Train",Data!$C$2:$C$301,"&gt;"&amp;ClassTree!$L$2,Data!$B$2:$B$301,"&gt;"&amp;L73)/COUNTIFS(Data!$M$2:$M$301,"Train",Data!$C$2:$C$301,"&gt;"&amp;ClassTree!$L$2,Data!$B$2:$B$301,"&gt;"&amp;L73))^2)</f>
        <v>0.46208779668136946</v>
      </c>
      <c r="O73">
        <f>((COUNTIFS(Data!$M$2:$M$301,"Train",Data!$C$2:$C$301,"&lt;="&amp;ClassTree!$L$2)*M73)+(COUNTIFS(Data!$M$2:$M$301,"Train",Data!$C$2:$C$301,"&gt;"&amp;ClassTree!$L$2)*N73))/COUNTIF(Data!$M$2:$M$301,"Train")</f>
        <v>0.42412576949177128</v>
      </c>
      <c r="P73">
        <f>IF(AND(COUNTIFS(Data!$M$2:$M$301,"Train",Data!$B$2:$B$301,"&lt;="&amp;L73)&gt;0,COUNTIFS(Data!$M$2:$M$301,"Train",Data!$B$2:$B$301,"&gt;"&amp;L73)&gt;0),O73,1E+99)</f>
        <v>0.42412576949177128</v>
      </c>
    </row>
    <row r="74" spans="12:16" x14ac:dyDescent="0.2">
      <c r="L74">
        <f>Data!B74</f>
        <v>2006</v>
      </c>
      <c r="M74">
        <f>IF(COUNTIFS(Data!$M$2:$M$301,"Train",Data!$C$2:$C$301,"&lt;="&amp;ClassTree!$L$2,Data!$B$2:$B$301,"&lt;="&amp;L74)=0,0,1-(SUMIFS(Data!$L$2:$L$301,Data!$M$2:$M$301,"Train",Data!$C$2:$C$301,"&lt;="&amp;ClassTree!$L$2,Data!$B$2:$B$301,"&lt;="&amp;L74)/COUNTIFS(Data!$M$2:$M$301,"Train",Data!$C$2:$C$301,"&lt;="&amp;ClassTree!$L$2,Data!$B$2:$B$301,"&lt;="&amp;L74))^2-(1-SUMIFS(Data!$L$2:$L$301,Data!$M$2:$M$301,"Train",Data!$C$2:$C$301,"&lt;="&amp;ClassTree!$L$2,Data!$B$2:$B$301,"&lt;="&amp;L74)/COUNTIFS(Data!$M$2:$M$301,"Train",Data!$C$2:$C$301,"&lt;="&amp;ClassTree!$L$2,Data!$B$2:$B$301,"&lt;="&amp;L74))^2)</f>
        <v>9.9722991689750629E-2</v>
      </c>
      <c r="N74">
        <f>IF(COUNTIFS(Data!$M$2:$M$301,"Train",Data!$C$2:$C$301,"&gt;"&amp;ClassTree!$L$2,Data!$B$2:$B$301,"&gt;"&amp;L74)=0,0,1-(SUMIFS(Data!$L$2:$L$301,Data!$M$2:$M$301,"Train",Data!$C$2:$C$301,"&gt;"&amp;ClassTree!$L$2,Data!$B$2:$B$301,"&gt;"&amp;L74)/COUNTIFS(Data!$M$2:$M$301,"Train",Data!$C$2:$C$301,"&gt;"&amp;ClassTree!$L$2,Data!$B$2:$B$301,"&gt;"&amp;L74))^2-(1-SUMIFS(Data!$L$2:$L$301,Data!$M$2:$M$301,"Train",Data!$C$2:$C$301,"&gt;"&amp;ClassTree!$L$2,Data!$B$2:$B$301,"&gt;"&amp;L74)/COUNTIFS(Data!$M$2:$M$301,"Train",Data!$C$2:$C$301,"&gt;"&amp;ClassTree!$L$2,Data!$B$2:$B$301,"&gt;"&amp;L74))^2)</f>
        <v>0.46208779668136946</v>
      </c>
      <c r="O74">
        <f>((COUNTIFS(Data!$M$2:$M$301,"Train",Data!$C$2:$C$301,"&lt;="&amp;ClassTree!$L$2)*M74)+(COUNTIFS(Data!$M$2:$M$301,"Train",Data!$C$2:$C$301,"&gt;"&amp;ClassTree!$L$2)*N74))/COUNTIF(Data!$M$2:$M$301,"Train")</f>
        <v>0.42412576949177128</v>
      </c>
      <c r="P74">
        <f>IF(AND(COUNTIFS(Data!$M$2:$M$301,"Train",Data!$B$2:$B$301,"&lt;="&amp;L74)&gt;0,COUNTIFS(Data!$M$2:$M$301,"Train",Data!$B$2:$B$301,"&gt;"&amp;L74)&gt;0),O74,1E+99)</f>
        <v>0.42412576949177128</v>
      </c>
    </row>
    <row r="75" spans="12:16" x14ac:dyDescent="0.2">
      <c r="L75">
        <f>Data!B75</f>
        <v>2006</v>
      </c>
      <c r="M75">
        <f>IF(COUNTIFS(Data!$M$2:$M$301,"Train",Data!$C$2:$C$301,"&lt;="&amp;ClassTree!$L$2,Data!$B$2:$B$301,"&lt;="&amp;L75)=0,0,1-(SUMIFS(Data!$L$2:$L$301,Data!$M$2:$M$301,"Train",Data!$C$2:$C$301,"&lt;="&amp;ClassTree!$L$2,Data!$B$2:$B$301,"&lt;="&amp;L75)/COUNTIFS(Data!$M$2:$M$301,"Train",Data!$C$2:$C$301,"&lt;="&amp;ClassTree!$L$2,Data!$B$2:$B$301,"&lt;="&amp;L75))^2-(1-SUMIFS(Data!$L$2:$L$301,Data!$M$2:$M$301,"Train",Data!$C$2:$C$301,"&lt;="&amp;ClassTree!$L$2,Data!$B$2:$B$301,"&lt;="&amp;L75)/COUNTIFS(Data!$M$2:$M$301,"Train",Data!$C$2:$C$301,"&lt;="&amp;ClassTree!$L$2,Data!$B$2:$B$301,"&lt;="&amp;L75))^2)</f>
        <v>9.9722991689750629E-2</v>
      </c>
      <c r="N75">
        <f>IF(COUNTIFS(Data!$M$2:$M$301,"Train",Data!$C$2:$C$301,"&gt;"&amp;ClassTree!$L$2,Data!$B$2:$B$301,"&gt;"&amp;L75)=0,0,1-(SUMIFS(Data!$L$2:$L$301,Data!$M$2:$M$301,"Train",Data!$C$2:$C$301,"&gt;"&amp;ClassTree!$L$2,Data!$B$2:$B$301,"&gt;"&amp;L75)/COUNTIFS(Data!$M$2:$M$301,"Train",Data!$C$2:$C$301,"&gt;"&amp;ClassTree!$L$2,Data!$B$2:$B$301,"&gt;"&amp;L75))^2-(1-SUMIFS(Data!$L$2:$L$301,Data!$M$2:$M$301,"Train",Data!$C$2:$C$301,"&gt;"&amp;ClassTree!$L$2,Data!$B$2:$B$301,"&gt;"&amp;L75)/COUNTIFS(Data!$M$2:$M$301,"Train",Data!$C$2:$C$301,"&gt;"&amp;ClassTree!$L$2,Data!$B$2:$B$301,"&gt;"&amp;L75))^2)</f>
        <v>0.46208779668136946</v>
      </c>
      <c r="O75">
        <f>((COUNTIFS(Data!$M$2:$M$301,"Train",Data!$C$2:$C$301,"&lt;="&amp;ClassTree!$L$2)*M75)+(COUNTIFS(Data!$M$2:$M$301,"Train",Data!$C$2:$C$301,"&gt;"&amp;ClassTree!$L$2)*N75))/COUNTIF(Data!$M$2:$M$301,"Train")</f>
        <v>0.42412576949177128</v>
      </c>
      <c r="P75">
        <f>IF(AND(COUNTIFS(Data!$M$2:$M$301,"Train",Data!$B$2:$B$301,"&lt;="&amp;L75)&gt;0,COUNTIFS(Data!$M$2:$M$301,"Train",Data!$B$2:$B$301,"&gt;"&amp;L75)&gt;0),O75,1E+99)</f>
        <v>0.42412576949177128</v>
      </c>
    </row>
    <row r="76" spans="12:16" x14ac:dyDescent="0.2">
      <c r="L76">
        <f>Data!B76</f>
        <v>2009</v>
      </c>
      <c r="M76">
        <f>IF(COUNTIFS(Data!$M$2:$M$301,"Train",Data!$C$2:$C$301,"&lt;="&amp;ClassTree!$L$2,Data!$B$2:$B$301,"&lt;="&amp;L76)=0,0,1-(SUMIFS(Data!$L$2:$L$301,Data!$M$2:$M$301,"Train",Data!$C$2:$C$301,"&lt;="&amp;ClassTree!$L$2,Data!$B$2:$B$301,"&lt;="&amp;L76)/COUNTIFS(Data!$M$2:$M$301,"Train",Data!$C$2:$C$301,"&lt;="&amp;ClassTree!$L$2,Data!$B$2:$B$301,"&lt;="&amp;L76))^2-(1-SUMIFS(Data!$L$2:$L$301,Data!$M$2:$M$301,"Train",Data!$C$2:$C$301,"&lt;="&amp;ClassTree!$L$2,Data!$B$2:$B$301,"&lt;="&amp;L76)/COUNTIFS(Data!$M$2:$M$301,"Train",Data!$C$2:$C$301,"&lt;="&amp;ClassTree!$L$2,Data!$B$2:$B$301,"&lt;="&amp;L76))^2)</f>
        <v>8.6776859504132053E-2</v>
      </c>
      <c r="N76">
        <f>IF(COUNTIFS(Data!$M$2:$M$301,"Train",Data!$C$2:$C$301,"&gt;"&amp;ClassTree!$L$2,Data!$B$2:$B$301,"&gt;"&amp;L76)=0,0,1-(SUMIFS(Data!$L$2:$L$301,Data!$M$2:$M$301,"Train",Data!$C$2:$C$301,"&gt;"&amp;ClassTree!$L$2,Data!$B$2:$B$301,"&gt;"&amp;L76)/COUNTIFS(Data!$M$2:$M$301,"Train",Data!$C$2:$C$301,"&gt;"&amp;ClassTree!$L$2,Data!$B$2:$B$301,"&gt;"&amp;L76))^2-(1-SUMIFS(Data!$L$2:$L$301,Data!$M$2:$M$301,"Train",Data!$C$2:$C$301,"&gt;"&amp;ClassTree!$L$2,Data!$B$2:$B$301,"&gt;"&amp;L76)/COUNTIFS(Data!$M$2:$M$301,"Train",Data!$C$2:$C$301,"&gt;"&amp;ClassTree!$L$2,Data!$B$2:$B$301,"&gt;"&amp;L76))^2)</f>
        <v>0</v>
      </c>
      <c r="O76">
        <f>((COUNTIFS(Data!$M$2:$M$301,"Train",Data!$C$2:$C$301,"&lt;="&amp;ClassTree!$L$2)*M76)+(COUNTIFS(Data!$M$2:$M$301,"Train",Data!$C$2:$C$301,"&gt;"&amp;ClassTree!$L$2)*N76))/COUNTIF(Data!$M$2:$M$301,"Train")</f>
        <v>9.0909090909090731E-3</v>
      </c>
      <c r="P76">
        <f>IF(AND(COUNTIFS(Data!$M$2:$M$301,"Train",Data!$B$2:$B$301,"&lt;="&amp;L76)&gt;0,COUNTIFS(Data!$M$2:$M$301,"Train",Data!$B$2:$B$301,"&gt;"&amp;L76)&gt;0),O76,1E+99)</f>
        <v>9.9999999999999997E+98</v>
      </c>
    </row>
    <row r="77" spans="12:16" x14ac:dyDescent="0.2">
      <c r="L77">
        <f>Data!B77</f>
        <v>2003</v>
      </c>
      <c r="M77">
        <f>IF(COUNTIFS(Data!$M$2:$M$301,"Train",Data!$C$2:$C$301,"&lt;="&amp;ClassTree!$L$2,Data!$B$2:$B$301,"&lt;="&amp;L77)=0,0,1-(SUMIFS(Data!$L$2:$L$301,Data!$M$2:$M$301,"Train",Data!$C$2:$C$301,"&lt;="&amp;ClassTree!$L$2,Data!$B$2:$B$301,"&lt;="&amp;L77)/COUNTIFS(Data!$M$2:$M$301,"Train",Data!$C$2:$C$301,"&lt;="&amp;ClassTree!$L$2,Data!$B$2:$B$301,"&lt;="&amp;L77))^2-(1-SUMIFS(Data!$L$2:$L$301,Data!$M$2:$M$301,"Train",Data!$C$2:$C$301,"&lt;="&amp;ClassTree!$L$2,Data!$B$2:$B$301,"&lt;="&amp;L77)/COUNTIFS(Data!$M$2:$M$301,"Train",Data!$C$2:$C$301,"&lt;="&amp;ClassTree!$L$2,Data!$B$2:$B$301,"&lt;="&amp;L77))^2)</f>
        <v>0</v>
      </c>
      <c r="N77">
        <f>IF(COUNTIFS(Data!$M$2:$M$301,"Train",Data!$C$2:$C$301,"&gt;"&amp;ClassTree!$L$2,Data!$B$2:$B$301,"&gt;"&amp;L77)=0,0,1-(SUMIFS(Data!$L$2:$L$301,Data!$M$2:$M$301,"Train",Data!$C$2:$C$301,"&gt;"&amp;ClassTree!$L$2,Data!$B$2:$B$301,"&gt;"&amp;L77)/COUNTIFS(Data!$M$2:$M$301,"Train",Data!$C$2:$C$301,"&gt;"&amp;ClassTree!$L$2,Data!$B$2:$B$301,"&gt;"&amp;L77))^2-(1-SUMIFS(Data!$L$2:$L$301,Data!$M$2:$M$301,"Train",Data!$C$2:$C$301,"&gt;"&amp;ClassTree!$L$2,Data!$B$2:$B$301,"&gt;"&amp;L77)/COUNTIFS(Data!$M$2:$M$301,"Train",Data!$C$2:$C$301,"&gt;"&amp;ClassTree!$L$2,Data!$B$2:$B$301,"&gt;"&amp;L77))^2)</f>
        <v>0.48347107438016523</v>
      </c>
      <c r="O77">
        <f>((COUNTIFS(Data!$M$2:$M$301,"Train",Data!$C$2:$C$301,"&lt;="&amp;ClassTree!$L$2)*M77)+(COUNTIFS(Data!$M$2:$M$301,"Train",Data!$C$2:$C$301,"&gt;"&amp;ClassTree!$L$2)*N77))/COUNTIF(Data!$M$2:$M$301,"Train")</f>
        <v>0.43282172373081462</v>
      </c>
      <c r="P77">
        <f>IF(AND(COUNTIFS(Data!$M$2:$M$301,"Train",Data!$B$2:$B$301,"&lt;="&amp;L77)&gt;0,COUNTIFS(Data!$M$2:$M$301,"Train",Data!$B$2:$B$301,"&gt;"&amp;L77)&gt;0),O77,1E+99)</f>
        <v>0.43282172373081462</v>
      </c>
    </row>
    <row r="78" spans="12:16" x14ac:dyDescent="0.2">
      <c r="L78">
        <f>Data!B78</f>
        <v>2003</v>
      </c>
      <c r="M78">
        <f>IF(COUNTIFS(Data!$M$2:$M$301,"Train",Data!$C$2:$C$301,"&lt;="&amp;ClassTree!$L$2,Data!$B$2:$B$301,"&lt;="&amp;L78)=0,0,1-(SUMIFS(Data!$L$2:$L$301,Data!$M$2:$M$301,"Train",Data!$C$2:$C$301,"&lt;="&amp;ClassTree!$L$2,Data!$B$2:$B$301,"&lt;="&amp;L78)/COUNTIFS(Data!$M$2:$M$301,"Train",Data!$C$2:$C$301,"&lt;="&amp;ClassTree!$L$2,Data!$B$2:$B$301,"&lt;="&amp;L78))^2-(1-SUMIFS(Data!$L$2:$L$301,Data!$M$2:$M$301,"Train",Data!$C$2:$C$301,"&lt;="&amp;ClassTree!$L$2,Data!$B$2:$B$301,"&lt;="&amp;L78)/COUNTIFS(Data!$M$2:$M$301,"Train",Data!$C$2:$C$301,"&lt;="&amp;ClassTree!$L$2,Data!$B$2:$B$301,"&lt;="&amp;L78))^2)</f>
        <v>0</v>
      </c>
      <c r="N78">
        <f>IF(COUNTIFS(Data!$M$2:$M$301,"Train",Data!$C$2:$C$301,"&gt;"&amp;ClassTree!$L$2,Data!$B$2:$B$301,"&gt;"&amp;L78)=0,0,1-(SUMIFS(Data!$L$2:$L$301,Data!$M$2:$M$301,"Train",Data!$C$2:$C$301,"&gt;"&amp;ClassTree!$L$2,Data!$B$2:$B$301,"&gt;"&amp;L78)/COUNTIFS(Data!$M$2:$M$301,"Train",Data!$C$2:$C$301,"&gt;"&amp;ClassTree!$L$2,Data!$B$2:$B$301,"&gt;"&amp;L78))^2-(1-SUMIFS(Data!$L$2:$L$301,Data!$M$2:$M$301,"Train",Data!$C$2:$C$301,"&gt;"&amp;ClassTree!$L$2,Data!$B$2:$B$301,"&gt;"&amp;L78)/COUNTIFS(Data!$M$2:$M$301,"Train",Data!$C$2:$C$301,"&gt;"&amp;ClassTree!$L$2,Data!$B$2:$B$301,"&gt;"&amp;L78))^2)</f>
        <v>0.48347107438016523</v>
      </c>
      <c r="O78">
        <f>((COUNTIFS(Data!$M$2:$M$301,"Train",Data!$C$2:$C$301,"&lt;="&amp;ClassTree!$L$2)*M78)+(COUNTIFS(Data!$M$2:$M$301,"Train",Data!$C$2:$C$301,"&gt;"&amp;ClassTree!$L$2)*N78))/COUNTIF(Data!$M$2:$M$301,"Train")</f>
        <v>0.43282172373081462</v>
      </c>
      <c r="P78">
        <f>IF(AND(COUNTIFS(Data!$M$2:$M$301,"Train",Data!$B$2:$B$301,"&lt;="&amp;L78)&gt;0,COUNTIFS(Data!$M$2:$M$301,"Train",Data!$B$2:$B$301,"&gt;"&amp;L78)&gt;0),O78,1E+99)</f>
        <v>0.43282172373081462</v>
      </c>
    </row>
    <row r="79" spans="12:16" x14ac:dyDescent="0.2">
      <c r="L79">
        <f>Data!B79</f>
        <v>2006</v>
      </c>
      <c r="M79">
        <f>IF(COUNTIFS(Data!$M$2:$M$301,"Train",Data!$C$2:$C$301,"&lt;="&amp;ClassTree!$L$2,Data!$B$2:$B$301,"&lt;="&amp;L79)=0,0,1-(SUMIFS(Data!$L$2:$L$301,Data!$M$2:$M$301,"Train",Data!$C$2:$C$301,"&lt;="&amp;ClassTree!$L$2,Data!$B$2:$B$301,"&lt;="&amp;L79)/COUNTIFS(Data!$M$2:$M$301,"Train",Data!$C$2:$C$301,"&lt;="&amp;ClassTree!$L$2,Data!$B$2:$B$301,"&lt;="&amp;L79))^2-(1-SUMIFS(Data!$L$2:$L$301,Data!$M$2:$M$301,"Train",Data!$C$2:$C$301,"&lt;="&amp;ClassTree!$L$2,Data!$B$2:$B$301,"&lt;="&amp;L79)/COUNTIFS(Data!$M$2:$M$301,"Train",Data!$C$2:$C$301,"&lt;="&amp;ClassTree!$L$2,Data!$B$2:$B$301,"&lt;="&amp;L79))^2)</f>
        <v>9.9722991689750629E-2</v>
      </c>
      <c r="N79">
        <f>IF(COUNTIFS(Data!$M$2:$M$301,"Train",Data!$C$2:$C$301,"&gt;"&amp;ClassTree!$L$2,Data!$B$2:$B$301,"&gt;"&amp;L79)=0,0,1-(SUMIFS(Data!$L$2:$L$301,Data!$M$2:$M$301,"Train",Data!$C$2:$C$301,"&gt;"&amp;ClassTree!$L$2,Data!$B$2:$B$301,"&gt;"&amp;L79)/COUNTIFS(Data!$M$2:$M$301,"Train",Data!$C$2:$C$301,"&gt;"&amp;ClassTree!$L$2,Data!$B$2:$B$301,"&gt;"&amp;L79))^2-(1-SUMIFS(Data!$L$2:$L$301,Data!$M$2:$M$301,"Train",Data!$C$2:$C$301,"&gt;"&amp;ClassTree!$L$2,Data!$B$2:$B$301,"&gt;"&amp;L79)/COUNTIFS(Data!$M$2:$M$301,"Train",Data!$C$2:$C$301,"&gt;"&amp;ClassTree!$L$2,Data!$B$2:$B$301,"&gt;"&amp;L79))^2)</f>
        <v>0.46208779668136946</v>
      </c>
      <c r="O79">
        <f>((COUNTIFS(Data!$M$2:$M$301,"Train",Data!$C$2:$C$301,"&lt;="&amp;ClassTree!$L$2)*M79)+(COUNTIFS(Data!$M$2:$M$301,"Train",Data!$C$2:$C$301,"&gt;"&amp;ClassTree!$L$2)*N79))/COUNTIF(Data!$M$2:$M$301,"Train")</f>
        <v>0.42412576949177128</v>
      </c>
      <c r="P79">
        <f>IF(AND(COUNTIFS(Data!$M$2:$M$301,"Train",Data!$B$2:$B$301,"&lt;="&amp;L79)&gt;0,COUNTIFS(Data!$M$2:$M$301,"Train",Data!$B$2:$B$301,"&gt;"&amp;L79)&gt;0),O79,1E+99)</f>
        <v>0.42412576949177128</v>
      </c>
    </row>
    <row r="80" spans="12:16" x14ac:dyDescent="0.2">
      <c r="L80">
        <f>Data!B80</f>
        <v>2003</v>
      </c>
      <c r="M80">
        <f>IF(COUNTIFS(Data!$M$2:$M$301,"Train",Data!$C$2:$C$301,"&lt;="&amp;ClassTree!$L$2,Data!$B$2:$B$301,"&lt;="&amp;L80)=0,0,1-(SUMIFS(Data!$L$2:$L$301,Data!$M$2:$M$301,"Train",Data!$C$2:$C$301,"&lt;="&amp;ClassTree!$L$2,Data!$B$2:$B$301,"&lt;="&amp;L80)/COUNTIFS(Data!$M$2:$M$301,"Train",Data!$C$2:$C$301,"&lt;="&amp;ClassTree!$L$2,Data!$B$2:$B$301,"&lt;="&amp;L80))^2-(1-SUMIFS(Data!$L$2:$L$301,Data!$M$2:$M$301,"Train",Data!$C$2:$C$301,"&lt;="&amp;ClassTree!$L$2,Data!$B$2:$B$301,"&lt;="&amp;L80)/COUNTIFS(Data!$M$2:$M$301,"Train",Data!$C$2:$C$301,"&lt;="&amp;ClassTree!$L$2,Data!$B$2:$B$301,"&lt;="&amp;L80))^2)</f>
        <v>0</v>
      </c>
      <c r="N80">
        <f>IF(COUNTIFS(Data!$M$2:$M$301,"Train",Data!$C$2:$C$301,"&gt;"&amp;ClassTree!$L$2,Data!$B$2:$B$301,"&gt;"&amp;L80)=0,0,1-(SUMIFS(Data!$L$2:$L$301,Data!$M$2:$M$301,"Train",Data!$C$2:$C$301,"&gt;"&amp;ClassTree!$L$2,Data!$B$2:$B$301,"&gt;"&amp;L80)/COUNTIFS(Data!$M$2:$M$301,"Train",Data!$C$2:$C$301,"&gt;"&amp;ClassTree!$L$2,Data!$B$2:$B$301,"&gt;"&amp;L80))^2-(1-SUMIFS(Data!$L$2:$L$301,Data!$M$2:$M$301,"Train",Data!$C$2:$C$301,"&gt;"&amp;ClassTree!$L$2,Data!$B$2:$B$301,"&gt;"&amp;L80)/COUNTIFS(Data!$M$2:$M$301,"Train",Data!$C$2:$C$301,"&gt;"&amp;ClassTree!$L$2,Data!$B$2:$B$301,"&gt;"&amp;L80))^2)</f>
        <v>0.48347107438016523</v>
      </c>
      <c r="O80">
        <f>((COUNTIFS(Data!$M$2:$M$301,"Train",Data!$C$2:$C$301,"&lt;="&amp;ClassTree!$L$2)*M80)+(COUNTIFS(Data!$M$2:$M$301,"Train",Data!$C$2:$C$301,"&gt;"&amp;ClassTree!$L$2)*N80))/COUNTIF(Data!$M$2:$M$301,"Train")</f>
        <v>0.43282172373081462</v>
      </c>
      <c r="P80">
        <f>IF(AND(COUNTIFS(Data!$M$2:$M$301,"Train",Data!$B$2:$B$301,"&lt;="&amp;L80)&gt;0,COUNTIFS(Data!$M$2:$M$301,"Train",Data!$B$2:$B$301,"&gt;"&amp;L80)&gt;0),O80,1E+99)</f>
        <v>0.43282172373081462</v>
      </c>
    </row>
    <row r="81" spans="12:16" x14ac:dyDescent="0.2">
      <c r="L81">
        <f>Data!B81</f>
        <v>2008</v>
      </c>
      <c r="M81">
        <f>IF(COUNTIFS(Data!$M$2:$M$301,"Train",Data!$C$2:$C$301,"&lt;="&amp;ClassTree!$L$2,Data!$B$2:$B$301,"&lt;="&amp;L81)=0,0,1-(SUMIFS(Data!$L$2:$L$301,Data!$M$2:$M$301,"Train",Data!$C$2:$C$301,"&lt;="&amp;ClassTree!$L$2,Data!$B$2:$B$301,"&lt;="&amp;L81)/COUNTIFS(Data!$M$2:$M$301,"Train",Data!$C$2:$C$301,"&lt;="&amp;ClassTree!$L$2,Data!$B$2:$B$301,"&lt;="&amp;L81))^2-(1-SUMIFS(Data!$L$2:$L$301,Data!$M$2:$M$301,"Train",Data!$C$2:$C$301,"&lt;="&amp;ClassTree!$L$2,Data!$B$2:$B$301,"&lt;="&amp;L81)/COUNTIFS(Data!$M$2:$M$301,"Train",Data!$C$2:$C$301,"&lt;="&amp;ClassTree!$L$2,Data!$B$2:$B$301,"&lt;="&amp;L81))^2)</f>
        <v>8.6776859504132053E-2</v>
      </c>
      <c r="N81">
        <f>IF(COUNTIFS(Data!$M$2:$M$301,"Train",Data!$C$2:$C$301,"&gt;"&amp;ClassTree!$L$2,Data!$B$2:$B$301,"&gt;"&amp;L81)=0,0,1-(SUMIFS(Data!$L$2:$L$301,Data!$M$2:$M$301,"Train",Data!$C$2:$C$301,"&gt;"&amp;ClassTree!$L$2,Data!$B$2:$B$301,"&gt;"&amp;L81)/COUNTIFS(Data!$M$2:$M$301,"Train",Data!$C$2:$C$301,"&gt;"&amp;ClassTree!$L$2,Data!$B$2:$B$301,"&gt;"&amp;L81))^2-(1-SUMIFS(Data!$L$2:$L$301,Data!$M$2:$M$301,"Train",Data!$C$2:$C$301,"&gt;"&amp;ClassTree!$L$2,Data!$B$2:$B$301,"&gt;"&amp;L81)/COUNTIFS(Data!$M$2:$M$301,"Train",Data!$C$2:$C$301,"&gt;"&amp;ClassTree!$L$2,Data!$B$2:$B$301,"&gt;"&amp;L81))^2)</f>
        <v>0.47337278106508873</v>
      </c>
      <c r="O81">
        <f>((COUNTIFS(Data!$M$2:$M$301,"Train",Data!$C$2:$C$301,"&lt;="&amp;ClassTree!$L$2)*M81)+(COUNTIFS(Data!$M$2:$M$301,"Train",Data!$C$2:$C$301,"&gt;"&amp;ClassTree!$L$2)*N81))/COUNTIF(Data!$M$2:$M$301,"Train")</f>
        <v>0.432872255949179</v>
      </c>
      <c r="P81">
        <f>IF(AND(COUNTIFS(Data!$M$2:$M$301,"Train",Data!$B$2:$B$301,"&lt;="&amp;L81)&gt;0,COUNTIFS(Data!$M$2:$M$301,"Train",Data!$B$2:$B$301,"&gt;"&amp;L81)&gt;0),O81,1E+99)</f>
        <v>0.432872255949179</v>
      </c>
    </row>
    <row r="82" spans="12:16" x14ac:dyDescent="0.2">
      <c r="L82">
        <f>Data!B82</f>
        <v>2005</v>
      </c>
      <c r="M82">
        <f>IF(COUNTIFS(Data!$M$2:$M$301,"Train",Data!$C$2:$C$301,"&lt;="&amp;ClassTree!$L$2,Data!$B$2:$B$301,"&lt;="&amp;L82)=0,0,1-(SUMIFS(Data!$L$2:$L$301,Data!$M$2:$M$301,"Train",Data!$C$2:$C$301,"&lt;="&amp;ClassTree!$L$2,Data!$B$2:$B$301,"&lt;="&amp;L82)/COUNTIFS(Data!$M$2:$M$301,"Train",Data!$C$2:$C$301,"&lt;="&amp;ClassTree!$L$2,Data!$B$2:$B$301,"&lt;="&amp;L82))^2-(1-SUMIFS(Data!$L$2:$L$301,Data!$M$2:$M$301,"Train",Data!$C$2:$C$301,"&lt;="&amp;ClassTree!$L$2,Data!$B$2:$B$301,"&lt;="&amp;L82)/COUNTIFS(Data!$M$2:$M$301,"Train",Data!$C$2:$C$301,"&lt;="&amp;ClassTree!$L$2,Data!$B$2:$B$301,"&lt;="&amp;L82))^2)</f>
        <v>0.1527777777777779</v>
      </c>
      <c r="N82">
        <f>IF(COUNTIFS(Data!$M$2:$M$301,"Train",Data!$C$2:$C$301,"&gt;"&amp;ClassTree!$L$2,Data!$B$2:$B$301,"&gt;"&amp;L82)=0,0,1-(SUMIFS(Data!$L$2:$L$301,Data!$M$2:$M$301,"Train",Data!$C$2:$C$301,"&gt;"&amp;ClassTree!$L$2,Data!$B$2:$B$301,"&gt;"&amp;L82)/COUNTIFS(Data!$M$2:$M$301,"Train",Data!$C$2:$C$301,"&gt;"&amp;ClassTree!$L$2,Data!$B$2:$B$301,"&gt;"&amp;L82))^2-(1-SUMIFS(Data!$L$2:$L$301,Data!$M$2:$M$301,"Train",Data!$C$2:$C$301,"&gt;"&amp;ClassTree!$L$2,Data!$B$2:$B$301,"&gt;"&amp;L82)/COUNTIFS(Data!$M$2:$M$301,"Train",Data!$C$2:$C$301,"&gt;"&amp;ClassTree!$L$2,Data!$B$2:$B$301,"&gt;"&amp;L82))^2)</f>
        <v>0.45877855112243893</v>
      </c>
      <c r="O82">
        <f>((COUNTIFS(Data!$M$2:$M$301,"Train",Data!$C$2:$C$301,"&lt;="&amp;ClassTree!$L$2)*M82)+(COUNTIFS(Data!$M$2:$M$301,"Train",Data!$C$2:$C$301,"&gt;"&amp;ClassTree!$L$2)*N82))/COUNTIF(Data!$M$2:$M$301,"Train")</f>
        <v>0.42672132724823636</v>
      </c>
      <c r="P82">
        <f>IF(AND(COUNTIFS(Data!$M$2:$M$301,"Train",Data!$B$2:$B$301,"&lt;="&amp;L82)&gt;0,COUNTIFS(Data!$M$2:$M$301,"Train",Data!$B$2:$B$301,"&gt;"&amp;L82)&gt;0),O82,1E+99)</f>
        <v>0.42672132724823636</v>
      </c>
    </row>
    <row r="83" spans="12:16" x14ac:dyDescent="0.2">
      <c r="L83">
        <f>Data!B83</f>
        <v>2004</v>
      </c>
      <c r="M83">
        <f>IF(COUNTIFS(Data!$M$2:$M$301,"Train",Data!$C$2:$C$301,"&lt;="&amp;ClassTree!$L$2,Data!$B$2:$B$301,"&lt;="&amp;L83)=0,0,1-(SUMIFS(Data!$L$2:$L$301,Data!$M$2:$M$301,"Train",Data!$C$2:$C$301,"&lt;="&amp;ClassTree!$L$2,Data!$B$2:$B$301,"&lt;="&amp;L83)/COUNTIFS(Data!$M$2:$M$301,"Train",Data!$C$2:$C$301,"&lt;="&amp;ClassTree!$L$2,Data!$B$2:$B$301,"&lt;="&amp;L83))^2-(1-SUMIFS(Data!$L$2:$L$301,Data!$M$2:$M$301,"Train",Data!$C$2:$C$301,"&lt;="&amp;ClassTree!$L$2,Data!$B$2:$B$301,"&lt;="&amp;L83)/COUNTIFS(Data!$M$2:$M$301,"Train",Data!$C$2:$C$301,"&lt;="&amp;ClassTree!$L$2,Data!$B$2:$B$301,"&lt;="&amp;L83))^2)</f>
        <v>0.17999999999999994</v>
      </c>
      <c r="N83">
        <f>IF(COUNTIFS(Data!$M$2:$M$301,"Train",Data!$C$2:$C$301,"&gt;"&amp;ClassTree!$L$2,Data!$B$2:$B$301,"&gt;"&amp;L83)=0,0,1-(SUMIFS(Data!$L$2:$L$301,Data!$M$2:$M$301,"Train",Data!$C$2:$C$301,"&gt;"&amp;ClassTree!$L$2,Data!$B$2:$B$301,"&gt;"&amp;L83)/COUNTIFS(Data!$M$2:$M$301,"Train",Data!$C$2:$C$301,"&gt;"&amp;ClassTree!$L$2,Data!$B$2:$B$301,"&gt;"&amp;L83))^2-(1-SUMIFS(Data!$L$2:$L$301,Data!$M$2:$M$301,"Train",Data!$C$2:$C$301,"&gt;"&amp;ClassTree!$L$2,Data!$B$2:$B$301,"&gt;"&amp;L83)/COUNTIFS(Data!$M$2:$M$301,"Train",Data!$C$2:$C$301,"&gt;"&amp;ClassTree!$L$2,Data!$B$2:$B$301,"&gt;"&amp;L83))^2)</f>
        <v>0.46924800000000005</v>
      </c>
      <c r="O83">
        <f>((COUNTIFS(Data!$M$2:$M$301,"Train",Data!$C$2:$C$301,"&lt;="&amp;ClassTree!$L$2)*M83)+(COUNTIFS(Data!$M$2:$M$301,"Train",Data!$C$2:$C$301,"&gt;"&amp;ClassTree!$L$2)*N83))/COUNTIF(Data!$M$2:$M$301,"Train")</f>
        <v>0.43894582857142855</v>
      </c>
      <c r="P83">
        <f>IF(AND(COUNTIFS(Data!$M$2:$M$301,"Train",Data!$B$2:$B$301,"&lt;="&amp;L83)&gt;0,COUNTIFS(Data!$M$2:$M$301,"Train",Data!$B$2:$B$301,"&gt;"&amp;L83)&gt;0),O83,1E+99)</f>
        <v>0.43894582857142855</v>
      </c>
    </row>
    <row r="84" spans="12:16" x14ac:dyDescent="0.2">
      <c r="L84">
        <f>Data!B84</f>
        <v>2009</v>
      </c>
      <c r="M84">
        <f>IF(COUNTIFS(Data!$M$2:$M$301,"Train",Data!$C$2:$C$301,"&lt;="&amp;ClassTree!$L$2,Data!$B$2:$B$301,"&lt;="&amp;L84)=0,0,1-(SUMIFS(Data!$L$2:$L$301,Data!$M$2:$M$301,"Train",Data!$C$2:$C$301,"&lt;="&amp;ClassTree!$L$2,Data!$B$2:$B$301,"&lt;="&amp;L84)/COUNTIFS(Data!$M$2:$M$301,"Train",Data!$C$2:$C$301,"&lt;="&amp;ClassTree!$L$2,Data!$B$2:$B$301,"&lt;="&amp;L84))^2-(1-SUMIFS(Data!$L$2:$L$301,Data!$M$2:$M$301,"Train",Data!$C$2:$C$301,"&lt;="&amp;ClassTree!$L$2,Data!$B$2:$B$301,"&lt;="&amp;L84)/COUNTIFS(Data!$M$2:$M$301,"Train",Data!$C$2:$C$301,"&lt;="&amp;ClassTree!$L$2,Data!$B$2:$B$301,"&lt;="&amp;L84))^2)</f>
        <v>8.6776859504132053E-2</v>
      </c>
      <c r="N84">
        <f>IF(COUNTIFS(Data!$M$2:$M$301,"Train",Data!$C$2:$C$301,"&gt;"&amp;ClassTree!$L$2,Data!$B$2:$B$301,"&gt;"&amp;L84)=0,0,1-(SUMIFS(Data!$L$2:$L$301,Data!$M$2:$M$301,"Train",Data!$C$2:$C$301,"&gt;"&amp;ClassTree!$L$2,Data!$B$2:$B$301,"&gt;"&amp;L84)/COUNTIFS(Data!$M$2:$M$301,"Train",Data!$C$2:$C$301,"&gt;"&amp;ClassTree!$L$2,Data!$B$2:$B$301,"&gt;"&amp;L84))^2-(1-SUMIFS(Data!$L$2:$L$301,Data!$M$2:$M$301,"Train",Data!$C$2:$C$301,"&gt;"&amp;ClassTree!$L$2,Data!$B$2:$B$301,"&gt;"&amp;L84)/COUNTIFS(Data!$M$2:$M$301,"Train",Data!$C$2:$C$301,"&gt;"&amp;ClassTree!$L$2,Data!$B$2:$B$301,"&gt;"&amp;L84))^2)</f>
        <v>0</v>
      </c>
      <c r="O84">
        <f>((COUNTIFS(Data!$M$2:$M$301,"Train",Data!$C$2:$C$301,"&lt;="&amp;ClassTree!$L$2)*M84)+(COUNTIFS(Data!$M$2:$M$301,"Train",Data!$C$2:$C$301,"&gt;"&amp;ClassTree!$L$2)*N84))/COUNTIF(Data!$M$2:$M$301,"Train")</f>
        <v>9.0909090909090731E-3</v>
      </c>
      <c r="P84">
        <f>IF(AND(COUNTIFS(Data!$M$2:$M$301,"Train",Data!$B$2:$B$301,"&lt;="&amp;L84)&gt;0,COUNTIFS(Data!$M$2:$M$301,"Train",Data!$B$2:$B$301,"&gt;"&amp;L84)&gt;0),O84,1E+99)</f>
        <v>9.9999999999999997E+98</v>
      </c>
    </row>
    <row r="85" spans="12:16" x14ac:dyDescent="0.2">
      <c r="L85">
        <f>Data!B85</f>
        <v>2003</v>
      </c>
      <c r="M85">
        <f>IF(COUNTIFS(Data!$M$2:$M$301,"Train",Data!$C$2:$C$301,"&lt;="&amp;ClassTree!$L$2,Data!$B$2:$B$301,"&lt;="&amp;L85)=0,0,1-(SUMIFS(Data!$L$2:$L$301,Data!$M$2:$M$301,"Train",Data!$C$2:$C$301,"&lt;="&amp;ClassTree!$L$2,Data!$B$2:$B$301,"&lt;="&amp;L85)/COUNTIFS(Data!$M$2:$M$301,"Train",Data!$C$2:$C$301,"&lt;="&amp;ClassTree!$L$2,Data!$B$2:$B$301,"&lt;="&amp;L85))^2-(1-SUMIFS(Data!$L$2:$L$301,Data!$M$2:$M$301,"Train",Data!$C$2:$C$301,"&lt;="&amp;ClassTree!$L$2,Data!$B$2:$B$301,"&lt;="&amp;L85)/COUNTIFS(Data!$M$2:$M$301,"Train",Data!$C$2:$C$301,"&lt;="&amp;ClassTree!$L$2,Data!$B$2:$B$301,"&lt;="&amp;L85))^2)</f>
        <v>0</v>
      </c>
      <c r="N85">
        <f>IF(COUNTIFS(Data!$M$2:$M$301,"Train",Data!$C$2:$C$301,"&gt;"&amp;ClassTree!$L$2,Data!$B$2:$B$301,"&gt;"&amp;L85)=0,0,1-(SUMIFS(Data!$L$2:$L$301,Data!$M$2:$M$301,"Train",Data!$C$2:$C$301,"&gt;"&amp;ClassTree!$L$2,Data!$B$2:$B$301,"&gt;"&amp;L85)/COUNTIFS(Data!$M$2:$M$301,"Train",Data!$C$2:$C$301,"&gt;"&amp;ClassTree!$L$2,Data!$B$2:$B$301,"&gt;"&amp;L85))^2-(1-SUMIFS(Data!$L$2:$L$301,Data!$M$2:$M$301,"Train",Data!$C$2:$C$301,"&gt;"&amp;ClassTree!$L$2,Data!$B$2:$B$301,"&gt;"&amp;L85)/COUNTIFS(Data!$M$2:$M$301,"Train",Data!$C$2:$C$301,"&gt;"&amp;ClassTree!$L$2,Data!$B$2:$B$301,"&gt;"&amp;L85))^2)</f>
        <v>0.48347107438016523</v>
      </c>
      <c r="O85">
        <f>((COUNTIFS(Data!$M$2:$M$301,"Train",Data!$C$2:$C$301,"&lt;="&amp;ClassTree!$L$2)*M85)+(COUNTIFS(Data!$M$2:$M$301,"Train",Data!$C$2:$C$301,"&gt;"&amp;ClassTree!$L$2)*N85))/COUNTIF(Data!$M$2:$M$301,"Train")</f>
        <v>0.43282172373081462</v>
      </c>
      <c r="P85">
        <f>IF(AND(COUNTIFS(Data!$M$2:$M$301,"Train",Data!$B$2:$B$301,"&lt;="&amp;L85)&gt;0,COUNTIFS(Data!$M$2:$M$301,"Train",Data!$B$2:$B$301,"&gt;"&amp;L85)&gt;0),O85,1E+99)</f>
        <v>0.43282172373081462</v>
      </c>
    </row>
    <row r="86" spans="12:16" x14ac:dyDescent="0.2">
      <c r="L86">
        <f>Data!B86</f>
        <v>2007</v>
      </c>
      <c r="M86">
        <f>IF(COUNTIFS(Data!$M$2:$M$301,"Train",Data!$C$2:$C$301,"&lt;="&amp;ClassTree!$L$2,Data!$B$2:$B$301,"&lt;="&amp;L86)=0,0,1-(SUMIFS(Data!$L$2:$L$301,Data!$M$2:$M$301,"Train",Data!$C$2:$C$301,"&lt;="&amp;ClassTree!$L$2,Data!$B$2:$B$301,"&lt;="&amp;L86)/COUNTIFS(Data!$M$2:$M$301,"Train",Data!$C$2:$C$301,"&lt;="&amp;ClassTree!$L$2,Data!$B$2:$B$301,"&lt;="&amp;L86))^2-(1-SUMIFS(Data!$L$2:$L$301,Data!$M$2:$M$301,"Train",Data!$C$2:$C$301,"&lt;="&amp;ClassTree!$L$2,Data!$B$2:$B$301,"&lt;="&amp;L86)/COUNTIFS(Data!$M$2:$M$301,"Train",Data!$C$2:$C$301,"&lt;="&amp;ClassTree!$L$2,Data!$B$2:$B$301,"&lt;="&amp;L86))^2)</f>
        <v>9.0702947845805015E-2</v>
      </c>
      <c r="N86">
        <f>IF(COUNTIFS(Data!$M$2:$M$301,"Train",Data!$C$2:$C$301,"&gt;"&amp;ClassTree!$L$2,Data!$B$2:$B$301,"&gt;"&amp;L86)=0,0,1-(SUMIFS(Data!$L$2:$L$301,Data!$M$2:$M$301,"Train",Data!$C$2:$C$301,"&gt;"&amp;ClassTree!$L$2,Data!$B$2:$B$301,"&gt;"&amp;L86)/COUNTIFS(Data!$M$2:$M$301,"Train",Data!$C$2:$C$301,"&gt;"&amp;ClassTree!$L$2,Data!$B$2:$B$301,"&gt;"&amp;L86))^2-(1-SUMIFS(Data!$L$2:$L$301,Data!$M$2:$M$301,"Train",Data!$C$2:$C$301,"&gt;"&amp;ClassTree!$L$2,Data!$B$2:$B$301,"&gt;"&amp;L86)/COUNTIFS(Data!$M$2:$M$301,"Train",Data!$C$2:$C$301,"&gt;"&amp;ClassTree!$L$2,Data!$B$2:$B$301,"&gt;"&amp;L86))^2)</f>
        <v>0.46480633069554356</v>
      </c>
      <c r="O86">
        <f>((COUNTIFS(Data!$M$2:$M$301,"Train",Data!$C$2:$C$301,"&lt;="&amp;ClassTree!$L$2)*M86)+(COUNTIFS(Data!$M$2:$M$301,"Train",Data!$C$2:$C$301,"&gt;"&amp;ClassTree!$L$2)*N86))/COUNTIF(Data!$M$2:$M$301,"Train")</f>
        <v>0.42561454773033286</v>
      </c>
      <c r="P86">
        <f>IF(AND(COUNTIFS(Data!$M$2:$M$301,"Train",Data!$B$2:$B$301,"&lt;="&amp;L86)&gt;0,COUNTIFS(Data!$M$2:$M$301,"Train",Data!$B$2:$B$301,"&gt;"&amp;L86)&gt;0),O86,1E+99)</f>
        <v>0.42561454773033286</v>
      </c>
    </row>
    <row r="87" spans="12:16" x14ac:dyDescent="0.2">
      <c r="L87">
        <f>Data!B87</f>
        <v>2006</v>
      </c>
      <c r="M87">
        <f>IF(COUNTIFS(Data!$M$2:$M$301,"Train",Data!$C$2:$C$301,"&lt;="&amp;ClassTree!$L$2,Data!$B$2:$B$301,"&lt;="&amp;L87)=0,0,1-(SUMIFS(Data!$L$2:$L$301,Data!$M$2:$M$301,"Train",Data!$C$2:$C$301,"&lt;="&amp;ClassTree!$L$2,Data!$B$2:$B$301,"&lt;="&amp;L87)/COUNTIFS(Data!$M$2:$M$301,"Train",Data!$C$2:$C$301,"&lt;="&amp;ClassTree!$L$2,Data!$B$2:$B$301,"&lt;="&amp;L87))^2-(1-SUMIFS(Data!$L$2:$L$301,Data!$M$2:$M$301,"Train",Data!$C$2:$C$301,"&lt;="&amp;ClassTree!$L$2,Data!$B$2:$B$301,"&lt;="&amp;L87)/COUNTIFS(Data!$M$2:$M$301,"Train",Data!$C$2:$C$301,"&lt;="&amp;ClassTree!$L$2,Data!$B$2:$B$301,"&lt;="&amp;L87))^2)</f>
        <v>9.9722991689750629E-2</v>
      </c>
      <c r="N87">
        <f>IF(COUNTIFS(Data!$M$2:$M$301,"Train",Data!$C$2:$C$301,"&gt;"&amp;ClassTree!$L$2,Data!$B$2:$B$301,"&gt;"&amp;L87)=0,0,1-(SUMIFS(Data!$L$2:$L$301,Data!$M$2:$M$301,"Train",Data!$C$2:$C$301,"&gt;"&amp;ClassTree!$L$2,Data!$B$2:$B$301,"&gt;"&amp;L87)/COUNTIFS(Data!$M$2:$M$301,"Train",Data!$C$2:$C$301,"&gt;"&amp;ClassTree!$L$2,Data!$B$2:$B$301,"&gt;"&amp;L87))^2-(1-SUMIFS(Data!$L$2:$L$301,Data!$M$2:$M$301,"Train",Data!$C$2:$C$301,"&gt;"&amp;ClassTree!$L$2,Data!$B$2:$B$301,"&gt;"&amp;L87)/COUNTIFS(Data!$M$2:$M$301,"Train",Data!$C$2:$C$301,"&gt;"&amp;ClassTree!$L$2,Data!$B$2:$B$301,"&gt;"&amp;L87))^2)</f>
        <v>0.46208779668136946</v>
      </c>
      <c r="O87">
        <f>((COUNTIFS(Data!$M$2:$M$301,"Train",Data!$C$2:$C$301,"&lt;="&amp;ClassTree!$L$2)*M87)+(COUNTIFS(Data!$M$2:$M$301,"Train",Data!$C$2:$C$301,"&gt;"&amp;ClassTree!$L$2)*N87))/COUNTIF(Data!$M$2:$M$301,"Train")</f>
        <v>0.42412576949177128</v>
      </c>
      <c r="P87">
        <f>IF(AND(COUNTIFS(Data!$M$2:$M$301,"Train",Data!$B$2:$B$301,"&lt;="&amp;L87)&gt;0,COUNTIFS(Data!$M$2:$M$301,"Train",Data!$B$2:$B$301,"&gt;"&amp;L87)&gt;0),O87,1E+99)</f>
        <v>0.42412576949177128</v>
      </c>
    </row>
    <row r="88" spans="12:16" x14ac:dyDescent="0.2">
      <c r="L88">
        <f>Data!B88</f>
        <v>2004</v>
      </c>
      <c r="M88">
        <f>IF(COUNTIFS(Data!$M$2:$M$301,"Train",Data!$C$2:$C$301,"&lt;="&amp;ClassTree!$L$2,Data!$B$2:$B$301,"&lt;="&amp;L88)=0,0,1-(SUMIFS(Data!$L$2:$L$301,Data!$M$2:$M$301,"Train",Data!$C$2:$C$301,"&lt;="&amp;ClassTree!$L$2,Data!$B$2:$B$301,"&lt;="&amp;L88)/COUNTIFS(Data!$M$2:$M$301,"Train",Data!$C$2:$C$301,"&lt;="&amp;ClassTree!$L$2,Data!$B$2:$B$301,"&lt;="&amp;L88))^2-(1-SUMIFS(Data!$L$2:$L$301,Data!$M$2:$M$301,"Train",Data!$C$2:$C$301,"&lt;="&amp;ClassTree!$L$2,Data!$B$2:$B$301,"&lt;="&amp;L88)/COUNTIFS(Data!$M$2:$M$301,"Train",Data!$C$2:$C$301,"&lt;="&amp;ClassTree!$L$2,Data!$B$2:$B$301,"&lt;="&amp;L88))^2)</f>
        <v>0.17999999999999994</v>
      </c>
      <c r="N88">
        <f>IF(COUNTIFS(Data!$M$2:$M$301,"Train",Data!$C$2:$C$301,"&gt;"&amp;ClassTree!$L$2,Data!$B$2:$B$301,"&gt;"&amp;L88)=0,0,1-(SUMIFS(Data!$L$2:$L$301,Data!$M$2:$M$301,"Train",Data!$C$2:$C$301,"&gt;"&amp;ClassTree!$L$2,Data!$B$2:$B$301,"&gt;"&amp;L88)/COUNTIFS(Data!$M$2:$M$301,"Train",Data!$C$2:$C$301,"&gt;"&amp;ClassTree!$L$2,Data!$B$2:$B$301,"&gt;"&amp;L88))^2-(1-SUMIFS(Data!$L$2:$L$301,Data!$M$2:$M$301,"Train",Data!$C$2:$C$301,"&gt;"&amp;ClassTree!$L$2,Data!$B$2:$B$301,"&gt;"&amp;L88)/COUNTIFS(Data!$M$2:$M$301,"Train",Data!$C$2:$C$301,"&gt;"&amp;ClassTree!$L$2,Data!$B$2:$B$301,"&gt;"&amp;L88))^2)</f>
        <v>0.46924800000000005</v>
      </c>
      <c r="O88">
        <f>((COUNTIFS(Data!$M$2:$M$301,"Train",Data!$C$2:$C$301,"&lt;="&amp;ClassTree!$L$2)*M88)+(COUNTIFS(Data!$M$2:$M$301,"Train",Data!$C$2:$C$301,"&gt;"&amp;ClassTree!$L$2)*N88))/COUNTIF(Data!$M$2:$M$301,"Train")</f>
        <v>0.43894582857142855</v>
      </c>
      <c r="P88">
        <f>IF(AND(COUNTIFS(Data!$M$2:$M$301,"Train",Data!$B$2:$B$301,"&lt;="&amp;L88)&gt;0,COUNTIFS(Data!$M$2:$M$301,"Train",Data!$B$2:$B$301,"&gt;"&amp;L88)&gt;0),O88,1E+99)</f>
        <v>0.43894582857142855</v>
      </c>
    </row>
    <row r="89" spans="12:16" x14ac:dyDescent="0.2">
      <c r="L89">
        <f>Data!B89</f>
        <v>2009</v>
      </c>
      <c r="M89">
        <f>IF(COUNTIFS(Data!$M$2:$M$301,"Train",Data!$C$2:$C$301,"&lt;="&amp;ClassTree!$L$2,Data!$B$2:$B$301,"&lt;="&amp;L89)=0,0,1-(SUMIFS(Data!$L$2:$L$301,Data!$M$2:$M$301,"Train",Data!$C$2:$C$301,"&lt;="&amp;ClassTree!$L$2,Data!$B$2:$B$301,"&lt;="&amp;L89)/COUNTIFS(Data!$M$2:$M$301,"Train",Data!$C$2:$C$301,"&lt;="&amp;ClassTree!$L$2,Data!$B$2:$B$301,"&lt;="&amp;L89))^2-(1-SUMIFS(Data!$L$2:$L$301,Data!$M$2:$M$301,"Train",Data!$C$2:$C$301,"&lt;="&amp;ClassTree!$L$2,Data!$B$2:$B$301,"&lt;="&amp;L89)/COUNTIFS(Data!$M$2:$M$301,"Train",Data!$C$2:$C$301,"&lt;="&amp;ClassTree!$L$2,Data!$B$2:$B$301,"&lt;="&amp;L89))^2)</f>
        <v>8.6776859504132053E-2</v>
      </c>
      <c r="N89">
        <f>IF(COUNTIFS(Data!$M$2:$M$301,"Train",Data!$C$2:$C$301,"&gt;"&amp;ClassTree!$L$2,Data!$B$2:$B$301,"&gt;"&amp;L89)=0,0,1-(SUMIFS(Data!$L$2:$L$301,Data!$M$2:$M$301,"Train",Data!$C$2:$C$301,"&gt;"&amp;ClassTree!$L$2,Data!$B$2:$B$301,"&gt;"&amp;L89)/COUNTIFS(Data!$M$2:$M$301,"Train",Data!$C$2:$C$301,"&gt;"&amp;ClassTree!$L$2,Data!$B$2:$B$301,"&gt;"&amp;L89))^2-(1-SUMIFS(Data!$L$2:$L$301,Data!$M$2:$M$301,"Train",Data!$C$2:$C$301,"&gt;"&amp;ClassTree!$L$2,Data!$B$2:$B$301,"&gt;"&amp;L89)/COUNTIFS(Data!$M$2:$M$301,"Train",Data!$C$2:$C$301,"&gt;"&amp;ClassTree!$L$2,Data!$B$2:$B$301,"&gt;"&amp;L89))^2)</f>
        <v>0</v>
      </c>
      <c r="O89">
        <f>((COUNTIFS(Data!$M$2:$M$301,"Train",Data!$C$2:$C$301,"&lt;="&amp;ClassTree!$L$2)*M89)+(COUNTIFS(Data!$M$2:$M$301,"Train",Data!$C$2:$C$301,"&gt;"&amp;ClassTree!$L$2)*N89))/COUNTIF(Data!$M$2:$M$301,"Train")</f>
        <v>9.0909090909090731E-3</v>
      </c>
      <c r="P89">
        <f>IF(AND(COUNTIFS(Data!$M$2:$M$301,"Train",Data!$B$2:$B$301,"&lt;="&amp;L89)&gt;0,COUNTIFS(Data!$M$2:$M$301,"Train",Data!$B$2:$B$301,"&gt;"&amp;L89)&gt;0),O89,1E+99)</f>
        <v>9.9999999999999997E+98</v>
      </c>
    </row>
    <row r="90" spans="12:16" x14ac:dyDescent="0.2">
      <c r="L90">
        <f>Data!B90</f>
        <v>2009</v>
      </c>
      <c r="M90">
        <f>IF(COUNTIFS(Data!$M$2:$M$301,"Train",Data!$C$2:$C$301,"&lt;="&amp;ClassTree!$L$2,Data!$B$2:$B$301,"&lt;="&amp;L90)=0,0,1-(SUMIFS(Data!$L$2:$L$301,Data!$M$2:$M$301,"Train",Data!$C$2:$C$301,"&lt;="&amp;ClassTree!$L$2,Data!$B$2:$B$301,"&lt;="&amp;L90)/COUNTIFS(Data!$M$2:$M$301,"Train",Data!$C$2:$C$301,"&lt;="&amp;ClassTree!$L$2,Data!$B$2:$B$301,"&lt;="&amp;L90))^2-(1-SUMIFS(Data!$L$2:$L$301,Data!$M$2:$M$301,"Train",Data!$C$2:$C$301,"&lt;="&amp;ClassTree!$L$2,Data!$B$2:$B$301,"&lt;="&amp;L90)/COUNTIFS(Data!$M$2:$M$301,"Train",Data!$C$2:$C$301,"&lt;="&amp;ClassTree!$L$2,Data!$B$2:$B$301,"&lt;="&amp;L90))^2)</f>
        <v>8.6776859504132053E-2</v>
      </c>
      <c r="N90">
        <f>IF(COUNTIFS(Data!$M$2:$M$301,"Train",Data!$C$2:$C$301,"&gt;"&amp;ClassTree!$L$2,Data!$B$2:$B$301,"&gt;"&amp;L90)=0,0,1-(SUMIFS(Data!$L$2:$L$301,Data!$M$2:$M$301,"Train",Data!$C$2:$C$301,"&gt;"&amp;ClassTree!$L$2,Data!$B$2:$B$301,"&gt;"&amp;L90)/COUNTIFS(Data!$M$2:$M$301,"Train",Data!$C$2:$C$301,"&gt;"&amp;ClassTree!$L$2,Data!$B$2:$B$301,"&gt;"&amp;L90))^2-(1-SUMIFS(Data!$L$2:$L$301,Data!$M$2:$M$301,"Train",Data!$C$2:$C$301,"&gt;"&amp;ClassTree!$L$2,Data!$B$2:$B$301,"&gt;"&amp;L90)/COUNTIFS(Data!$M$2:$M$301,"Train",Data!$C$2:$C$301,"&gt;"&amp;ClassTree!$L$2,Data!$B$2:$B$301,"&gt;"&amp;L90))^2)</f>
        <v>0</v>
      </c>
      <c r="O90">
        <f>((COUNTIFS(Data!$M$2:$M$301,"Train",Data!$C$2:$C$301,"&lt;="&amp;ClassTree!$L$2)*M90)+(COUNTIFS(Data!$M$2:$M$301,"Train",Data!$C$2:$C$301,"&gt;"&amp;ClassTree!$L$2)*N90))/COUNTIF(Data!$M$2:$M$301,"Train")</f>
        <v>9.0909090909090731E-3</v>
      </c>
      <c r="P90">
        <f>IF(AND(COUNTIFS(Data!$M$2:$M$301,"Train",Data!$B$2:$B$301,"&lt;="&amp;L90)&gt;0,COUNTIFS(Data!$M$2:$M$301,"Train",Data!$B$2:$B$301,"&gt;"&amp;L90)&gt;0),O90,1E+99)</f>
        <v>9.9999999999999997E+98</v>
      </c>
    </row>
    <row r="91" spans="12:16" x14ac:dyDescent="0.2">
      <c r="L91">
        <f>Data!B91</f>
        <v>2009</v>
      </c>
      <c r="M91">
        <f>IF(COUNTIFS(Data!$M$2:$M$301,"Train",Data!$C$2:$C$301,"&lt;="&amp;ClassTree!$L$2,Data!$B$2:$B$301,"&lt;="&amp;L91)=0,0,1-(SUMIFS(Data!$L$2:$L$301,Data!$M$2:$M$301,"Train",Data!$C$2:$C$301,"&lt;="&amp;ClassTree!$L$2,Data!$B$2:$B$301,"&lt;="&amp;L91)/COUNTIFS(Data!$M$2:$M$301,"Train",Data!$C$2:$C$301,"&lt;="&amp;ClassTree!$L$2,Data!$B$2:$B$301,"&lt;="&amp;L91))^2-(1-SUMIFS(Data!$L$2:$L$301,Data!$M$2:$M$301,"Train",Data!$C$2:$C$301,"&lt;="&amp;ClassTree!$L$2,Data!$B$2:$B$301,"&lt;="&amp;L91)/COUNTIFS(Data!$M$2:$M$301,"Train",Data!$C$2:$C$301,"&lt;="&amp;ClassTree!$L$2,Data!$B$2:$B$301,"&lt;="&amp;L91))^2)</f>
        <v>8.6776859504132053E-2</v>
      </c>
      <c r="N91">
        <f>IF(COUNTIFS(Data!$M$2:$M$301,"Train",Data!$C$2:$C$301,"&gt;"&amp;ClassTree!$L$2,Data!$B$2:$B$301,"&gt;"&amp;L91)=0,0,1-(SUMIFS(Data!$L$2:$L$301,Data!$M$2:$M$301,"Train",Data!$C$2:$C$301,"&gt;"&amp;ClassTree!$L$2,Data!$B$2:$B$301,"&gt;"&amp;L91)/COUNTIFS(Data!$M$2:$M$301,"Train",Data!$C$2:$C$301,"&gt;"&amp;ClassTree!$L$2,Data!$B$2:$B$301,"&gt;"&amp;L91))^2-(1-SUMIFS(Data!$L$2:$L$301,Data!$M$2:$M$301,"Train",Data!$C$2:$C$301,"&gt;"&amp;ClassTree!$L$2,Data!$B$2:$B$301,"&gt;"&amp;L91)/COUNTIFS(Data!$M$2:$M$301,"Train",Data!$C$2:$C$301,"&gt;"&amp;ClassTree!$L$2,Data!$B$2:$B$301,"&gt;"&amp;L91))^2)</f>
        <v>0</v>
      </c>
      <c r="O91">
        <f>((COUNTIFS(Data!$M$2:$M$301,"Train",Data!$C$2:$C$301,"&lt;="&amp;ClassTree!$L$2)*M91)+(COUNTIFS(Data!$M$2:$M$301,"Train",Data!$C$2:$C$301,"&gt;"&amp;ClassTree!$L$2)*N91))/COUNTIF(Data!$M$2:$M$301,"Train")</f>
        <v>9.0909090909090731E-3</v>
      </c>
      <c r="P91">
        <f>IF(AND(COUNTIFS(Data!$M$2:$M$301,"Train",Data!$B$2:$B$301,"&lt;="&amp;L91)&gt;0,COUNTIFS(Data!$M$2:$M$301,"Train",Data!$B$2:$B$301,"&gt;"&amp;L91)&gt;0),O91,1E+99)</f>
        <v>9.9999999999999997E+98</v>
      </c>
    </row>
    <row r="92" spans="12:16" x14ac:dyDescent="0.2">
      <c r="L92">
        <f>Data!B92</f>
        <v>2004</v>
      </c>
      <c r="M92">
        <f>IF(COUNTIFS(Data!$M$2:$M$301,"Train",Data!$C$2:$C$301,"&lt;="&amp;ClassTree!$L$2,Data!$B$2:$B$301,"&lt;="&amp;L92)=0,0,1-(SUMIFS(Data!$L$2:$L$301,Data!$M$2:$M$301,"Train",Data!$C$2:$C$301,"&lt;="&amp;ClassTree!$L$2,Data!$B$2:$B$301,"&lt;="&amp;L92)/COUNTIFS(Data!$M$2:$M$301,"Train",Data!$C$2:$C$301,"&lt;="&amp;ClassTree!$L$2,Data!$B$2:$B$301,"&lt;="&amp;L92))^2-(1-SUMIFS(Data!$L$2:$L$301,Data!$M$2:$M$301,"Train",Data!$C$2:$C$301,"&lt;="&amp;ClassTree!$L$2,Data!$B$2:$B$301,"&lt;="&amp;L92)/COUNTIFS(Data!$M$2:$M$301,"Train",Data!$C$2:$C$301,"&lt;="&amp;ClassTree!$L$2,Data!$B$2:$B$301,"&lt;="&amp;L92))^2)</f>
        <v>0.17999999999999994</v>
      </c>
      <c r="N92">
        <f>IF(COUNTIFS(Data!$M$2:$M$301,"Train",Data!$C$2:$C$301,"&gt;"&amp;ClassTree!$L$2,Data!$B$2:$B$301,"&gt;"&amp;L92)=0,0,1-(SUMIFS(Data!$L$2:$L$301,Data!$M$2:$M$301,"Train",Data!$C$2:$C$301,"&gt;"&amp;ClassTree!$L$2,Data!$B$2:$B$301,"&gt;"&amp;L92)/COUNTIFS(Data!$M$2:$M$301,"Train",Data!$C$2:$C$301,"&gt;"&amp;ClassTree!$L$2,Data!$B$2:$B$301,"&gt;"&amp;L92))^2-(1-SUMIFS(Data!$L$2:$L$301,Data!$M$2:$M$301,"Train",Data!$C$2:$C$301,"&gt;"&amp;ClassTree!$L$2,Data!$B$2:$B$301,"&gt;"&amp;L92)/COUNTIFS(Data!$M$2:$M$301,"Train",Data!$C$2:$C$301,"&gt;"&amp;ClassTree!$L$2,Data!$B$2:$B$301,"&gt;"&amp;L92))^2)</f>
        <v>0.46924800000000005</v>
      </c>
      <c r="O92">
        <f>((COUNTIFS(Data!$M$2:$M$301,"Train",Data!$C$2:$C$301,"&lt;="&amp;ClassTree!$L$2)*M92)+(COUNTIFS(Data!$M$2:$M$301,"Train",Data!$C$2:$C$301,"&gt;"&amp;ClassTree!$L$2)*N92))/COUNTIF(Data!$M$2:$M$301,"Train")</f>
        <v>0.43894582857142855</v>
      </c>
      <c r="P92">
        <f>IF(AND(COUNTIFS(Data!$M$2:$M$301,"Train",Data!$B$2:$B$301,"&lt;="&amp;L92)&gt;0,COUNTIFS(Data!$M$2:$M$301,"Train",Data!$B$2:$B$301,"&gt;"&amp;L92)&gt;0),O92,1E+99)</f>
        <v>0.43894582857142855</v>
      </c>
    </row>
    <row r="93" spans="12:16" x14ac:dyDescent="0.2">
      <c r="L93">
        <f>Data!B93</f>
        <v>2003</v>
      </c>
      <c r="M93">
        <f>IF(COUNTIFS(Data!$M$2:$M$301,"Train",Data!$C$2:$C$301,"&lt;="&amp;ClassTree!$L$2,Data!$B$2:$B$301,"&lt;="&amp;L93)=0,0,1-(SUMIFS(Data!$L$2:$L$301,Data!$M$2:$M$301,"Train",Data!$C$2:$C$301,"&lt;="&amp;ClassTree!$L$2,Data!$B$2:$B$301,"&lt;="&amp;L93)/COUNTIFS(Data!$M$2:$M$301,"Train",Data!$C$2:$C$301,"&lt;="&amp;ClassTree!$L$2,Data!$B$2:$B$301,"&lt;="&amp;L93))^2-(1-SUMIFS(Data!$L$2:$L$301,Data!$M$2:$M$301,"Train",Data!$C$2:$C$301,"&lt;="&amp;ClassTree!$L$2,Data!$B$2:$B$301,"&lt;="&amp;L93)/COUNTIFS(Data!$M$2:$M$301,"Train",Data!$C$2:$C$301,"&lt;="&amp;ClassTree!$L$2,Data!$B$2:$B$301,"&lt;="&amp;L93))^2)</f>
        <v>0</v>
      </c>
      <c r="N93">
        <f>IF(COUNTIFS(Data!$M$2:$M$301,"Train",Data!$C$2:$C$301,"&gt;"&amp;ClassTree!$L$2,Data!$B$2:$B$301,"&gt;"&amp;L93)=0,0,1-(SUMIFS(Data!$L$2:$L$301,Data!$M$2:$M$301,"Train",Data!$C$2:$C$301,"&gt;"&amp;ClassTree!$L$2,Data!$B$2:$B$301,"&gt;"&amp;L93)/COUNTIFS(Data!$M$2:$M$301,"Train",Data!$C$2:$C$301,"&gt;"&amp;ClassTree!$L$2,Data!$B$2:$B$301,"&gt;"&amp;L93))^2-(1-SUMIFS(Data!$L$2:$L$301,Data!$M$2:$M$301,"Train",Data!$C$2:$C$301,"&gt;"&amp;ClassTree!$L$2,Data!$B$2:$B$301,"&gt;"&amp;L93)/COUNTIFS(Data!$M$2:$M$301,"Train",Data!$C$2:$C$301,"&gt;"&amp;ClassTree!$L$2,Data!$B$2:$B$301,"&gt;"&amp;L93))^2)</f>
        <v>0.48347107438016523</v>
      </c>
      <c r="O93">
        <f>((COUNTIFS(Data!$M$2:$M$301,"Train",Data!$C$2:$C$301,"&lt;="&amp;ClassTree!$L$2)*M93)+(COUNTIFS(Data!$M$2:$M$301,"Train",Data!$C$2:$C$301,"&gt;"&amp;ClassTree!$L$2)*N93))/COUNTIF(Data!$M$2:$M$301,"Train")</f>
        <v>0.43282172373081462</v>
      </c>
      <c r="P93">
        <f>IF(AND(COUNTIFS(Data!$M$2:$M$301,"Train",Data!$B$2:$B$301,"&lt;="&amp;L93)&gt;0,COUNTIFS(Data!$M$2:$M$301,"Train",Data!$B$2:$B$301,"&gt;"&amp;L93)&gt;0),O93,1E+99)</f>
        <v>0.43282172373081462</v>
      </c>
    </row>
    <row r="94" spans="12:16" x14ac:dyDescent="0.2">
      <c r="L94">
        <f>Data!B94</f>
        <v>2003</v>
      </c>
      <c r="M94">
        <f>IF(COUNTIFS(Data!$M$2:$M$301,"Train",Data!$C$2:$C$301,"&lt;="&amp;ClassTree!$L$2,Data!$B$2:$B$301,"&lt;="&amp;L94)=0,0,1-(SUMIFS(Data!$L$2:$L$301,Data!$M$2:$M$301,"Train",Data!$C$2:$C$301,"&lt;="&amp;ClassTree!$L$2,Data!$B$2:$B$301,"&lt;="&amp;L94)/COUNTIFS(Data!$M$2:$M$301,"Train",Data!$C$2:$C$301,"&lt;="&amp;ClassTree!$L$2,Data!$B$2:$B$301,"&lt;="&amp;L94))^2-(1-SUMIFS(Data!$L$2:$L$301,Data!$M$2:$M$301,"Train",Data!$C$2:$C$301,"&lt;="&amp;ClassTree!$L$2,Data!$B$2:$B$301,"&lt;="&amp;L94)/COUNTIFS(Data!$M$2:$M$301,"Train",Data!$C$2:$C$301,"&lt;="&amp;ClassTree!$L$2,Data!$B$2:$B$301,"&lt;="&amp;L94))^2)</f>
        <v>0</v>
      </c>
      <c r="N94">
        <f>IF(COUNTIFS(Data!$M$2:$M$301,"Train",Data!$C$2:$C$301,"&gt;"&amp;ClassTree!$L$2,Data!$B$2:$B$301,"&gt;"&amp;L94)=0,0,1-(SUMIFS(Data!$L$2:$L$301,Data!$M$2:$M$301,"Train",Data!$C$2:$C$301,"&gt;"&amp;ClassTree!$L$2,Data!$B$2:$B$301,"&gt;"&amp;L94)/COUNTIFS(Data!$M$2:$M$301,"Train",Data!$C$2:$C$301,"&gt;"&amp;ClassTree!$L$2,Data!$B$2:$B$301,"&gt;"&amp;L94))^2-(1-SUMIFS(Data!$L$2:$L$301,Data!$M$2:$M$301,"Train",Data!$C$2:$C$301,"&gt;"&amp;ClassTree!$L$2,Data!$B$2:$B$301,"&gt;"&amp;L94)/COUNTIFS(Data!$M$2:$M$301,"Train",Data!$C$2:$C$301,"&gt;"&amp;ClassTree!$L$2,Data!$B$2:$B$301,"&gt;"&amp;L94))^2)</f>
        <v>0.48347107438016523</v>
      </c>
      <c r="O94">
        <f>((COUNTIFS(Data!$M$2:$M$301,"Train",Data!$C$2:$C$301,"&lt;="&amp;ClassTree!$L$2)*M94)+(COUNTIFS(Data!$M$2:$M$301,"Train",Data!$C$2:$C$301,"&gt;"&amp;ClassTree!$L$2)*N94))/COUNTIF(Data!$M$2:$M$301,"Train")</f>
        <v>0.43282172373081462</v>
      </c>
      <c r="P94">
        <f>IF(AND(COUNTIFS(Data!$M$2:$M$301,"Train",Data!$B$2:$B$301,"&lt;="&amp;L94)&gt;0,COUNTIFS(Data!$M$2:$M$301,"Train",Data!$B$2:$B$301,"&gt;"&amp;L94)&gt;0),O94,1E+99)</f>
        <v>0.43282172373081462</v>
      </c>
    </row>
    <row r="95" spans="12:16" x14ac:dyDescent="0.2">
      <c r="L95">
        <f>Data!B95</f>
        <v>2005</v>
      </c>
      <c r="M95">
        <f>IF(COUNTIFS(Data!$M$2:$M$301,"Train",Data!$C$2:$C$301,"&lt;="&amp;ClassTree!$L$2,Data!$B$2:$B$301,"&lt;="&amp;L95)=0,0,1-(SUMIFS(Data!$L$2:$L$301,Data!$M$2:$M$301,"Train",Data!$C$2:$C$301,"&lt;="&amp;ClassTree!$L$2,Data!$B$2:$B$301,"&lt;="&amp;L95)/COUNTIFS(Data!$M$2:$M$301,"Train",Data!$C$2:$C$301,"&lt;="&amp;ClassTree!$L$2,Data!$B$2:$B$301,"&lt;="&amp;L95))^2-(1-SUMIFS(Data!$L$2:$L$301,Data!$M$2:$M$301,"Train",Data!$C$2:$C$301,"&lt;="&amp;ClassTree!$L$2,Data!$B$2:$B$301,"&lt;="&amp;L95)/COUNTIFS(Data!$M$2:$M$301,"Train",Data!$C$2:$C$301,"&lt;="&amp;ClassTree!$L$2,Data!$B$2:$B$301,"&lt;="&amp;L95))^2)</f>
        <v>0.1527777777777779</v>
      </c>
      <c r="N95">
        <f>IF(COUNTIFS(Data!$M$2:$M$301,"Train",Data!$C$2:$C$301,"&gt;"&amp;ClassTree!$L$2,Data!$B$2:$B$301,"&gt;"&amp;L95)=0,0,1-(SUMIFS(Data!$L$2:$L$301,Data!$M$2:$M$301,"Train",Data!$C$2:$C$301,"&gt;"&amp;ClassTree!$L$2,Data!$B$2:$B$301,"&gt;"&amp;L95)/COUNTIFS(Data!$M$2:$M$301,"Train",Data!$C$2:$C$301,"&gt;"&amp;ClassTree!$L$2,Data!$B$2:$B$301,"&gt;"&amp;L95))^2-(1-SUMIFS(Data!$L$2:$L$301,Data!$M$2:$M$301,"Train",Data!$C$2:$C$301,"&gt;"&amp;ClassTree!$L$2,Data!$B$2:$B$301,"&gt;"&amp;L95)/COUNTIFS(Data!$M$2:$M$301,"Train",Data!$C$2:$C$301,"&gt;"&amp;ClassTree!$L$2,Data!$B$2:$B$301,"&gt;"&amp;L95))^2)</f>
        <v>0.45877855112243893</v>
      </c>
      <c r="O95">
        <f>((COUNTIFS(Data!$M$2:$M$301,"Train",Data!$C$2:$C$301,"&lt;="&amp;ClassTree!$L$2)*M95)+(COUNTIFS(Data!$M$2:$M$301,"Train",Data!$C$2:$C$301,"&gt;"&amp;ClassTree!$L$2)*N95))/COUNTIF(Data!$M$2:$M$301,"Train")</f>
        <v>0.42672132724823636</v>
      </c>
      <c r="P95">
        <f>IF(AND(COUNTIFS(Data!$M$2:$M$301,"Train",Data!$B$2:$B$301,"&lt;="&amp;L95)&gt;0,COUNTIFS(Data!$M$2:$M$301,"Train",Data!$B$2:$B$301,"&gt;"&amp;L95)&gt;0),O95,1E+99)</f>
        <v>0.42672132724823636</v>
      </c>
    </row>
    <row r="96" spans="12:16" x14ac:dyDescent="0.2">
      <c r="L96">
        <f>Data!B96</f>
        <v>2006</v>
      </c>
      <c r="M96">
        <f>IF(COUNTIFS(Data!$M$2:$M$301,"Train",Data!$C$2:$C$301,"&lt;="&amp;ClassTree!$L$2,Data!$B$2:$B$301,"&lt;="&amp;L96)=0,0,1-(SUMIFS(Data!$L$2:$L$301,Data!$M$2:$M$301,"Train",Data!$C$2:$C$301,"&lt;="&amp;ClassTree!$L$2,Data!$B$2:$B$301,"&lt;="&amp;L96)/COUNTIFS(Data!$M$2:$M$301,"Train",Data!$C$2:$C$301,"&lt;="&amp;ClassTree!$L$2,Data!$B$2:$B$301,"&lt;="&amp;L96))^2-(1-SUMIFS(Data!$L$2:$L$301,Data!$M$2:$M$301,"Train",Data!$C$2:$C$301,"&lt;="&amp;ClassTree!$L$2,Data!$B$2:$B$301,"&lt;="&amp;L96)/COUNTIFS(Data!$M$2:$M$301,"Train",Data!$C$2:$C$301,"&lt;="&amp;ClassTree!$L$2,Data!$B$2:$B$301,"&lt;="&amp;L96))^2)</f>
        <v>9.9722991689750629E-2</v>
      </c>
      <c r="N96">
        <f>IF(COUNTIFS(Data!$M$2:$M$301,"Train",Data!$C$2:$C$301,"&gt;"&amp;ClassTree!$L$2,Data!$B$2:$B$301,"&gt;"&amp;L96)=0,0,1-(SUMIFS(Data!$L$2:$L$301,Data!$M$2:$M$301,"Train",Data!$C$2:$C$301,"&gt;"&amp;ClassTree!$L$2,Data!$B$2:$B$301,"&gt;"&amp;L96)/COUNTIFS(Data!$M$2:$M$301,"Train",Data!$C$2:$C$301,"&gt;"&amp;ClassTree!$L$2,Data!$B$2:$B$301,"&gt;"&amp;L96))^2-(1-SUMIFS(Data!$L$2:$L$301,Data!$M$2:$M$301,"Train",Data!$C$2:$C$301,"&gt;"&amp;ClassTree!$L$2,Data!$B$2:$B$301,"&gt;"&amp;L96)/COUNTIFS(Data!$M$2:$M$301,"Train",Data!$C$2:$C$301,"&gt;"&amp;ClassTree!$L$2,Data!$B$2:$B$301,"&gt;"&amp;L96))^2)</f>
        <v>0.46208779668136946</v>
      </c>
      <c r="O96">
        <f>((COUNTIFS(Data!$M$2:$M$301,"Train",Data!$C$2:$C$301,"&lt;="&amp;ClassTree!$L$2)*M96)+(COUNTIFS(Data!$M$2:$M$301,"Train",Data!$C$2:$C$301,"&gt;"&amp;ClassTree!$L$2)*N96))/COUNTIF(Data!$M$2:$M$301,"Train")</f>
        <v>0.42412576949177128</v>
      </c>
      <c r="P96">
        <f>IF(AND(COUNTIFS(Data!$M$2:$M$301,"Train",Data!$B$2:$B$301,"&lt;="&amp;L96)&gt;0,COUNTIFS(Data!$M$2:$M$301,"Train",Data!$B$2:$B$301,"&gt;"&amp;L96)&gt;0),O96,1E+99)</f>
        <v>0.42412576949177128</v>
      </c>
    </row>
    <row r="97" spans="12:16" x14ac:dyDescent="0.2">
      <c r="L97">
        <f>Data!B97</f>
        <v>2009</v>
      </c>
      <c r="M97">
        <f>IF(COUNTIFS(Data!$M$2:$M$301,"Train",Data!$C$2:$C$301,"&lt;="&amp;ClassTree!$L$2,Data!$B$2:$B$301,"&lt;="&amp;L97)=0,0,1-(SUMIFS(Data!$L$2:$L$301,Data!$M$2:$M$301,"Train",Data!$C$2:$C$301,"&lt;="&amp;ClassTree!$L$2,Data!$B$2:$B$301,"&lt;="&amp;L97)/COUNTIFS(Data!$M$2:$M$301,"Train",Data!$C$2:$C$301,"&lt;="&amp;ClassTree!$L$2,Data!$B$2:$B$301,"&lt;="&amp;L97))^2-(1-SUMIFS(Data!$L$2:$L$301,Data!$M$2:$M$301,"Train",Data!$C$2:$C$301,"&lt;="&amp;ClassTree!$L$2,Data!$B$2:$B$301,"&lt;="&amp;L97)/COUNTIFS(Data!$M$2:$M$301,"Train",Data!$C$2:$C$301,"&lt;="&amp;ClassTree!$L$2,Data!$B$2:$B$301,"&lt;="&amp;L97))^2)</f>
        <v>8.6776859504132053E-2</v>
      </c>
      <c r="N97">
        <f>IF(COUNTIFS(Data!$M$2:$M$301,"Train",Data!$C$2:$C$301,"&gt;"&amp;ClassTree!$L$2,Data!$B$2:$B$301,"&gt;"&amp;L97)=0,0,1-(SUMIFS(Data!$L$2:$L$301,Data!$M$2:$M$301,"Train",Data!$C$2:$C$301,"&gt;"&amp;ClassTree!$L$2,Data!$B$2:$B$301,"&gt;"&amp;L97)/COUNTIFS(Data!$M$2:$M$301,"Train",Data!$C$2:$C$301,"&gt;"&amp;ClassTree!$L$2,Data!$B$2:$B$301,"&gt;"&amp;L97))^2-(1-SUMIFS(Data!$L$2:$L$301,Data!$M$2:$M$301,"Train",Data!$C$2:$C$301,"&gt;"&amp;ClassTree!$L$2,Data!$B$2:$B$301,"&gt;"&amp;L97)/COUNTIFS(Data!$M$2:$M$301,"Train",Data!$C$2:$C$301,"&gt;"&amp;ClassTree!$L$2,Data!$B$2:$B$301,"&gt;"&amp;L97))^2)</f>
        <v>0</v>
      </c>
      <c r="O97">
        <f>((COUNTIFS(Data!$M$2:$M$301,"Train",Data!$C$2:$C$301,"&lt;="&amp;ClassTree!$L$2)*M97)+(COUNTIFS(Data!$M$2:$M$301,"Train",Data!$C$2:$C$301,"&gt;"&amp;ClassTree!$L$2)*N97))/COUNTIF(Data!$M$2:$M$301,"Train")</f>
        <v>9.0909090909090731E-3</v>
      </c>
      <c r="P97">
        <f>IF(AND(COUNTIFS(Data!$M$2:$M$301,"Train",Data!$B$2:$B$301,"&lt;="&amp;L97)&gt;0,COUNTIFS(Data!$M$2:$M$301,"Train",Data!$B$2:$B$301,"&gt;"&amp;L97)&gt;0),O97,1E+99)</f>
        <v>9.9999999999999997E+98</v>
      </c>
    </row>
    <row r="98" spans="12:16" x14ac:dyDescent="0.2">
      <c r="L98">
        <f>Data!B98</f>
        <v>2003</v>
      </c>
      <c r="M98">
        <f>IF(COUNTIFS(Data!$M$2:$M$301,"Train",Data!$C$2:$C$301,"&lt;="&amp;ClassTree!$L$2,Data!$B$2:$B$301,"&lt;="&amp;L98)=0,0,1-(SUMIFS(Data!$L$2:$L$301,Data!$M$2:$M$301,"Train",Data!$C$2:$C$301,"&lt;="&amp;ClassTree!$L$2,Data!$B$2:$B$301,"&lt;="&amp;L98)/COUNTIFS(Data!$M$2:$M$301,"Train",Data!$C$2:$C$301,"&lt;="&amp;ClassTree!$L$2,Data!$B$2:$B$301,"&lt;="&amp;L98))^2-(1-SUMIFS(Data!$L$2:$L$301,Data!$M$2:$M$301,"Train",Data!$C$2:$C$301,"&lt;="&amp;ClassTree!$L$2,Data!$B$2:$B$301,"&lt;="&amp;L98)/COUNTIFS(Data!$M$2:$M$301,"Train",Data!$C$2:$C$301,"&lt;="&amp;ClassTree!$L$2,Data!$B$2:$B$301,"&lt;="&amp;L98))^2)</f>
        <v>0</v>
      </c>
      <c r="N98">
        <f>IF(COUNTIFS(Data!$M$2:$M$301,"Train",Data!$C$2:$C$301,"&gt;"&amp;ClassTree!$L$2,Data!$B$2:$B$301,"&gt;"&amp;L98)=0,0,1-(SUMIFS(Data!$L$2:$L$301,Data!$M$2:$M$301,"Train",Data!$C$2:$C$301,"&gt;"&amp;ClassTree!$L$2,Data!$B$2:$B$301,"&gt;"&amp;L98)/COUNTIFS(Data!$M$2:$M$301,"Train",Data!$C$2:$C$301,"&gt;"&amp;ClassTree!$L$2,Data!$B$2:$B$301,"&gt;"&amp;L98))^2-(1-SUMIFS(Data!$L$2:$L$301,Data!$M$2:$M$301,"Train",Data!$C$2:$C$301,"&gt;"&amp;ClassTree!$L$2,Data!$B$2:$B$301,"&gt;"&amp;L98)/COUNTIFS(Data!$M$2:$M$301,"Train",Data!$C$2:$C$301,"&gt;"&amp;ClassTree!$L$2,Data!$B$2:$B$301,"&gt;"&amp;L98))^2)</f>
        <v>0.48347107438016523</v>
      </c>
      <c r="O98">
        <f>((COUNTIFS(Data!$M$2:$M$301,"Train",Data!$C$2:$C$301,"&lt;="&amp;ClassTree!$L$2)*M98)+(COUNTIFS(Data!$M$2:$M$301,"Train",Data!$C$2:$C$301,"&gt;"&amp;ClassTree!$L$2)*N98))/COUNTIF(Data!$M$2:$M$301,"Train")</f>
        <v>0.43282172373081462</v>
      </c>
      <c r="P98">
        <f>IF(AND(COUNTIFS(Data!$M$2:$M$301,"Train",Data!$B$2:$B$301,"&lt;="&amp;L98)&gt;0,COUNTIFS(Data!$M$2:$M$301,"Train",Data!$B$2:$B$301,"&gt;"&amp;L98)&gt;0),O98,1E+99)</f>
        <v>0.43282172373081462</v>
      </c>
    </row>
    <row r="99" spans="12:16" x14ac:dyDescent="0.2">
      <c r="L99">
        <f>Data!B99</f>
        <v>2006</v>
      </c>
      <c r="M99">
        <f>IF(COUNTIFS(Data!$M$2:$M$301,"Train",Data!$C$2:$C$301,"&lt;="&amp;ClassTree!$L$2,Data!$B$2:$B$301,"&lt;="&amp;L99)=0,0,1-(SUMIFS(Data!$L$2:$L$301,Data!$M$2:$M$301,"Train",Data!$C$2:$C$301,"&lt;="&amp;ClassTree!$L$2,Data!$B$2:$B$301,"&lt;="&amp;L99)/COUNTIFS(Data!$M$2:$M$301,"Train",Data!$C$2:$C$301,"&lt;="&amp;ClassTree!$L$2,Data!$B$2:$B$301,"&lt;="&amp;L99))^2-(1-SUMIFS(Data!$L$2:$L$301,Data!$M$2:$M$301,"Train",Data!$C$2:$C$301,"&lt;="&amp;ClassTree!$L$2,Data!$B$2:$B$301,"&lt;="&amp;L99)/COUNTIFS(Data!$M$2:$M$301,"Train",Data!$C$2:$C$301,"&lt;="&amp;ClassTree!$L$2,Data!$B$2:$B$301,"&lt;="&amp;L99))^2)</f>
        <v>9.9722991689750629E-2</v>
      </c>
      <c r="N99">
        <f>IF(COUNTIFS(Data!$M$2:$M$301,"Train",Data!$C$2:$C$301,"&gt;"&amp;ClassTree!$L$2,Data!$B$2:$B$301,"&gt;"&amp;L99)=0,0,1-(SUMIFS(Data!$L$2:$L$301,Data!$M$2:$M$301,"Train",Data!$C$2:$C$301,"&gt;"&amp;ClassTree!$L$2,Data!$B$2:$B$301,"&gt;"&amp;L99)/COUNTIFS(Data!$M$2:$M$301,"Train",Data!$C$2:$C$301,"&gt;"&amp;ClassTree!$L$2,Data!$B$2:$B$301,"&gt;"&amp;L99))^2-(1-SUMIFS(Data!$L$2:$L$301,Data!$M$2:$M$301,"Train",Data!$C$2:$C$301,"&gt;"&amp;ClassTree!$L$2,Data!$B$2:$B$301,"&gt;"&amp;L99)/COUNTIFS(Data!$M$2:$M$301,"Train",Data!$C$2:$C$301,"&gt;"&amp;ClassTree!$L$2,Data!$B$2:$B$301,"&gt;"&amp;L99))^2)</f>
        <v>0.46208779668136946</v>
      </c>
      <c r="O99">
        <f>((COUNTIFS(Data!$M$2:$M$301,"Train",Data!$C$2:$C$301,"&lt;="&amp;ClassTree!$L$2)*M99)+(COUNTIFS(Data!$M$2:$M$301,"Train",Data!$C$2:$C$301,"&gt;"&amp;ClassTree!$L$2)*N99))/COUNTIF(Data!$M$2:$M$301,"Train")</f>
        <v>0.42412576949177128</v>
      </c>
      <c r="P99">
        <f>IF(AND(COUNTIFS(Data!$M$2:$M$301,"Train",Data!$B$2:$B$301,"&lt;="&amp;L99)&gt;0,COUNTIFS(Data!$M$2:$M$301,"Train",Data!$B$2:$B$301,"&gt;"&amp;L99)&gt;0),O99,1E+99)</f>
        <v>0.42412576949177128</v>
      </c>
    </row>
    <row r="100" spans="12:16" x14ac:dyDescent="0.2">
      <c r="L100">
        <f>Data!B100</f>
        <v>2009</v>
      </c>
      <c r="M100">
        <f>IF(COUNTIFS(Data!$M$2:$M$301,"Train",Data!$C$2:$C$301,"&lt;="&amp;ClassTree!$L$2,Data!$B$2:$B$301,"&lt;="&amp;L100)=0,0,1-(SUMIFS(Data!$L$2:$L$301,Data!$M$2:$M$301,"Train",Data!$C$2:$C$301,"&lt;="&amp;ClassTree!$L$2,Data!$B$2:$B$301,"&lt;="&amp;L100)/COUNTIFS(Data!$M$2:$M$301,"Train",Data!$C$2:$C$301,"&lt;="&amp;ClassTree!$L$2,Data!$B$2:$B$301,"&lt;="&amp;L100))^2-(1-SUMIFS(Data!$L$2:$L$301,Data!$M$2:$M$301,"Train",Data!$C$2:$C$301,"&lt;="&amp;ClassTree!$L$2,Data!$B$2:$B$301,"&lt;="&amp;L100)/COUNTIFS(Data!$M$2:$M$301,"Train",Data!$C$2:$C$301,"&lt;="&amp;ClassTree!$L$2,Data!$B$2:$B$301,"&lt;="&amp;L100))^2)</f>
        <v>8.6776859504132053E-2</v>
      </c>
      <c r="N100">
        <f>IF(COUNTIFS(Data!$M$2:$M$301,"Train",Data!$C$2:$C$301,"&gt;"&amp;ClassTree!$L$2,Data!$B$2:$B$301,"&gt;"&amp;L100)=0,0,1-(SUMIFS(Data!$L$2:$L$301,Data!$M$2:$M$301,"Train",Data!$C$2:$C$301,"&gt;"&amp;ClassTree!$L$2,Data!$B$2:$B$301,"&gt;"&amp;L100)/COUNTIFS(Data!$M$2:$M$301,"Train",Data!$C$2:$C$301,"&gt;"&amp;ClassTree!$L$2,Data!$B$2:$B$301,"&gt;"&amp;L100))^2-(1-SUMIFS(Data!$L$2:$L$301,Data!$M$2:$M$301,"Train",Data!$C$2:$C$301,"&gt;"&amp;ClassTree!$L$2,Data!$B$2:$B$301,"&gt;"&amp;L100)/COUNTIFS(Data!$M$2:$M$301,"Train",Data!$C$2:$C$301,"&gt;"&amp;ClassTree!$L$2,Data!$B$2:$B$301,"&gt;"&amp;L100))^2)</f>
        <v>0</v>
      </c>
      <c r="O100">
        <f>((COUNTIFS(Data!$M$2:$M$301,"Train",Data!$C$2:$C$301,"&lt;="&amp;ClassTree!$L$2)*M100)+(COUNTIFS(Data!$M$2:$M$301,"Train",Data!$C$2:$C$301,"&gt;"&amp;ClassTree!$L$2)*N100))/COUNTIF(Data!$M$2:$M$301,"Train")</f>
        <v>9.0909090909090731E-3</v>
      </c>
      <c r="P100">
        <f>IF(AND(COUNTIFS(Data!$M$2:$M$301,"Train",Data!$B$2:$B$301,"&lt;="&amp;L100)&gt;0,COUNTIFS(Data!$M$2:$M$301,"Train",Data!$B$2:$B$301,"&gt;"&amp;L100)&gt;0),O100,1E+99)</f>
        <v>9.9999999999999997E+98</v>
      </c>
    </row>
    <row r="101" spans="12:16" x14ac:dyDescent="0.2">
      <c r="L101">
        <f>Data!B101</f>
        <v>2005</v>
      </c>
      <c r="M101">
        <f>IF(COUNTIFS(Data!$M$2:$M$301,"Train",Data!$C$2:$C$301,"&lt;="&amp;ClassTree!$L$2,Data!$B$2:$B$301,"&lt;="&amp;L101)=0,0,1-(SUMIFS(Data!$L$2:$L$301,Data!$M$2:$M$301,"Train",Data!$C$2:$C$301,"&lt;="&amp;ClassTree!$L$2,Data!$B$2:$B$301,"&lt;="&amp;L101)/COUNTIFS(Data!$M$2:$M$301,"Train",Data!$C$2:$C$301,"&lt;="&amp;ClassTree!$L$2,Data!$B$2:$B$301,"&lt;="&amp;L101))^2-(1-SUMIFS(Data!$L$2:$L$301,Data!$M$2:$M$301,"Train",Data!$C$2:$C$301,"&lt;="&amp;ClassTree!$L$2,Data!$B$2:$B$301,"&lt;="&amp;L101)/COUNTIFS(Data!$M$2:$M$301,"Train",Data!$C$2:$C$301,"&lt;="&amp;ClassTree!$L$2,Data!$B$2:$B$301,"&lt;="&amp;L101))^2)</f>
        <v>0.1527777777777779</v>
      </c>
      <c r="N101">
        <f>IF(COUNTIFS(Data!$M$2:$M$301,"Train",Data!$C$2:$C$301,"&gt;"&amp;ClassTree!$L$2,Data!$B$2:$B$301,"&gt;"&amp;L101)=0,0,1-(SUMIFS(Data!$L$2:$L$301,Data!$M$2:$M$301,"Train",Data!$C$2:$C$301,"&gt;"&amp;ClassTree!$L$2,Data!$B$2:$B$301,"&gt;"&amp;L101)/COUNTIFS(Data!$M$2:$M$301,"Train",Data!$C$2:$C$301,"&gt;"&amp;ClassTree!$L$2,Data!$B$2:$B$301,"&gt;"&amp;L101))^2-(1-SUMIFS(Data!$L$2:$L$301,Data!$M$2:$M$301,"Train",Data!$C$2:$C$301,"&gt;"&amp;ClassTree!$L$2,Data!$B$2:$B$301,"&gt;"&amp;L101)/COUNTIFS(Data!$M$2:$M$301,"Train",Data!$C$2:$C$301,"&gt;"&amp;ClassTree!$L$2,Data!$B$2:$B$301,"&gt;"&amp;L101))^2)</f>
        <v>0.45877855112243893</v>
      </c>
      <c r="O101">
        <f>((COUNTIFS(Data!$M$2:$M$301,"Train",Data!$C$2:$C$301,"&lt;="&amp;ClassTree!$L$2)*M101)+(COUNTIFS(Data!$M$2:$M$301,"Train",Data!$C$2:$C$301,"&gt;"&amp;ClassTree!$L$2)*N101))/COUNTIF(Data!$M$2:$M$301,"Train")</f>
        <v>0.42672132724823636</v>
      </c>
      <c r="P101">
        <f>IF(AND(COUNTIFS(Data!$M$2:$M$301,"Train",Data!$B$2:$B$301,"&lt;="&amp;L101)&gt;0,COUNTIFS(Data!$M$2:$M$301,"Train",Data!$B$2:$B$301,"&gt;"&amp;L101)&gt;0),O101,1E+99)</f>
        <v>0.42672132724823636</v>
      </c>
    </row>
    <row r="102" spans="12:16" x14ac:dyDescent="0.2">
      <c r="L102">
        <f>Data!B102</f>
        <v>2009</v>
      </c>
      <c r="M102">
        <f>IF(COUNTIFS(Data!$M$2:$M$301,"Train",Data!$C$2:$C$301,"&lt;="&amp;ClassTree!$L$2,Data!$B$2:$B$301,"&lt;="&amp;L102)=0,0,1-(SUMIFS(Data!$L$2:$L$301,Data!$M$2:$M$301,"Train",Data!$C$2:$C$301,"&lt;="&amp;ClassTree!$L$2,Data!$B$2:$B$301,"&lt;="&amp;L102)/COUNTIFS(Data!$M$2:$M$301,"Train",Data!$C$2:$C$301,"&lt;="&amp;ClassTree!$L$2,Data!$B$2:$B$301,"&lt;="&amp;L102))^2-(1-SUMIFS(Data!$L$2:$L$301,Data!$M$2:$M$301,"Train",Data!$C$2:$C$301,"&lt;="&amp;ClassTree!$L$2,Data!$B$2:$B$301,"&lt;="&amp;L102)/COUNTIFS(Data!$M$2:$M$301,"Train",Data!$C$2:$C$301,"&lt;="&amp;ClassTree!$L$2,Data!$B$2:$B$301,"&lt;="&amp;L102))^2)</f>
        <v>8.6776859504132053E-2</v>
      </c>
      <c r="N102">
        <f>IF(COUNTIFS(Data!$M$2:$M$301,"Train",Data!$C$2:$C$301,"&gt;"&amp;ClassTree!$L$2,Data!$B$2:$B$301,"&gt;"&amp;L102)=0,0,1-(SUMIFS(Data!$L$2:$L$301,Data!$M$2:$M$301,"Train",Data!$C$2:$C$301,"&gt;"&amp;ClassTree!$L$2,Data!$B$2:$B$301,"&gt;"&amp;L102)/COUNTIFS(Data!$M$2:$M$301,"Train",Data!$C$2:$C$301,"&gt;"&amp;ClassTree!$L$2,Data!$B$2:$B$301,"&gt;"&amp;L102))^2-(1-SUMIFS(Data!$L$2:$L$301,Data!$M$2:$M$301,"Train",Data!$C$2:$C$301,"&gt;"&amp;ClassTree!$L$2,Data!$B$2:$B$301,"&gt;"&amp;L102)/COUNTIFS(Data!$M$2:$M$301,"Train",Data!$C$2:$C$301,"&gt;"&amp;ClassTree!$L$2,Data!$B$2:$B$301,"&gt;"&amp;L102))^2)</f>
        <v>0</v>
      </c>
      <c r="O102">
        <f>((COUNTIFS(Data!$M$2:$M$301,"Train",Data!$C$2:$C$301,"&lt;="&amp;ClassTree!$L$2)*M102)+(COUNTIFS(Data!$M$2:$M$301,"Train",Data!$C$2:$C$301,"&gt;"&amp;ClassTree!$L$2)*N102))/COUNTIF(Data!$M$2:$M$301,"Train")</f>
        <v>9.0909090909090731E-3</v>
      </c>
      <c r="P102">
        <f>IF(AND(COUNTIFS(Data!$M$2:$M$301,"Train",Data!$B$2:$B$301,"&lt;="&amp;L102)&gt;0,COUNTIFS(Data!$M$2:$M$301,"Train",Data!$B$2:$B$301,"&gt;"&amp;L102)&gt;0),O102,1E+99)</f>
        <v>9.9999999999999997E+98</v>
      </c>
    </row>
    <row r="103" spans="12:16" x14ac:dyDescent="0.2">
      <c r="L103">
        <f>Data!B103</f>
        <v>2008</v>
      </c>
      <c r="M103">
        <f>IF(COUNTIFS(Data!$M$2:$M$301,"Train",Data!$C$2:$C$301,"&lt;="&amp;ClassTree!$L$2,Data!$B$2:$B$301,"&lt;="&amp;L103)=0,0,1-(SUMIFS(Data!$L$2:$L$301,Data!$M$2:$M$301,"Train",Data!$C$2:$C$301,"&lt;="&amp;ClassTree!$L$2,Data!$B$2:$B$301,"&lt;="&amp;L103)/COUNTIFS(Data!$M$2:$M$301,"Train",Data!$C$2:$C$301,"&lt;="&amp;ClassTree!$L$2,Data!$B$2:$B$301,"&lt;="&amp;L103))^2-(1-SUMIFS(Data!$L$2:$L$301,Data!$M$2:$M$301,"Train",Data!$C$2:$C$301,"&lt;="&amp;ClassTree!$L$2,Data!$B$2:$B$301,"&lt;="&amp;L103)/COUNTIFS(Data!$M$2:$M$301,"Train",Data!$C$2:$C$301,"&lt;="&amp;ClassTree!$L$2,Data!$B$2:$B$301,"&lt;="&amp;L103))^2)</f>
        <v>8.6776859504132053E-2</v>
      </c>
      <c r="N103">
        <f>IF(COUNTIFS(Data!$M$2:$M$301,"Train",Data!$C$2:$C$301,"&gt;"&amp;ClassTree!$L$2,Data!$B$2:$B$301,"&gt;"&amp;L103)=0,0,1-(SUMIFS(Data!$L$2:$L$301,Data!$M$2:$M$301,"Train",Data!$C$2:$C$301,"&gt;"&amp;ClassTree!$L$2,Data!$B$2:$B$301,"&gt;"&amp;L103)/COUNTIFS(Data!$M$2:$M$301,"Train",Data!$C$2:$C$301,"&gt;"&amp;ClassTree!$L$2,Data!$B$2:$B$301,"&gt;"&amp;L103))^2-(1-SUMIFS(Data!$L$2:$L$301,Data!$M$2:$M$301,"Train",Data!$C$2:$C$301,"&gt;"&amp;ClassTree!$L$2,Data!$B$2:$B$301,"&gt;"&amp;L103)/COUNTIFS(Data!$M$2:$M$301,"Train",Data!$C$2:$C$301,"&gt;"&amp;ClassTree!$L$2,Data!$B$2:$B$301,"&gt;"&amp;L103))^2)</f>
        <v>0.47337278106508873</v>
      </c>
      <c r="O103">
        <f>((COUNTIFS(Data!$M$2:$M$301,"Train",Data!$C$2:$C$301,"&lt;="&amp;ClassTree!$L$2)*M103)+(COUNTIFS(Data!$M$2:$M$301,"Train",Data!$C$2:$C$301,"&gt;"&amp;ClassTree!$L$2)*N103))/COUNTIF(Data!$M$2:$M$301,"Train")</f>
        <v>0.432872255949179</v>
      </c>
      <c r="P103">
        <f>IF(AND(COUNTIFS(Data!$M$2:$M$301,"Train",Data!$B$2:$B$301,"&lt;="&amp;L103)&gt;0,COUNTIFS(Data!$M$2:$M$301,"Train",Data!$B$2:$B$301,"&gt;"&amp;L103)&gt;0),O103,1E+99)</f>
        <v>0.432872255949179</v>
      </c>
    </row>
    <row r="104" spans="12:16" x14ac:dyDescent="0.2">
      <c r="L104">
        <f>Data!B104</f>
        <v>2004</v>
      </c>
      <c r="M104">
        <f>IF(COUNTIFS(Data!$M$2:$M$301,"Train",Data!$C$2:$C$301,"&lt;="&amp;ClassTree!$L$2,Data!$B$2:$B$301,"&lt;="&amp;L104)=0,0,1-(SUMIFS(Data!$L$2:$L$301,Data!$M$2:$M$301,"Train",Data!$C$2:$C$301,"&lt;="&amp;ClassTree!$L$2,Data!$B$2:$B$301,"&lt;="&amp;L104)/COUNTIFS(Data!$M$2:$M$301,"Train",Data!$C$2:$C$301,"&lt;="&amp;ClassTree!$L$2,Data!$B$2:$B$301,"&lt;="&amp;L104))^2-(1-SUMIFS(Data!$L$2:$L$301,Data!$M$2:$M$301,"Train",Data!$C$2:$C$301,"&lt;="&amp;ClassTree!$L$2,Data!$B$2:$B$301,"&lt;="&amp;L104)/COUNTIFS(Data!$M$2:$M$301,"Train",Data!$C$2:$C$301,"&lt;="&amp;ClassTree!$L$2,Data!$B$2:$B$301,"&lt;="&amp;L104))^2)</f>
        <v>0.17999999999999994</v>
      </c>
      <c r="N104">
        <f>IF(COUNTIFS(Data!$M$2:$M$301,"Train",Data!$C$2:$C$301,"&gt;"&amp;ClassTree!$L$2,Data!$B$2:$B$301,"&gt;"&amp;L104)=0,0,1-(SUMIFS(Data!$L$2:$L$301,Data!$M$2:$M$301,"Train",Data!$C$2:$C$301,"&gt;"&amp;ClassTree!$L$2,Data!$B$2:$B$301,"&gt;"&amp;L104)/COUNTIFS(Data!$M$2:$M$301,"Train",Data!$C$2:$C$301,"&gt;"&amp;ClassTree!$L$2,Data!$B$2:$B$301,"&gt;"&amp;L104))^2-(1-SUMIFS(Data!$L$2:$L$301,Data!$M$2:$M$301,"Train",Data!$C$2:$C$301,"&gt;"&amp;ClassTree!$L$2,Data!$B$2:$B$301,"&gt;"&amp;L104)/COUNTIFS(Data!$M$2:$M$301,"Train",Data!$C$2:$C$301,"&gt;"&amp;ClassTree!$L$2,Data!$B$2:$B$301,"&gt;"&amp;L104))^2)</f>
        <v>0.46924800000000005</v>
      </c>
      <c r="O104">
        <f>((COUNTIFS(Data!$M$2:$M$301,"Train",Data!$C$2:$C$301,"&lt;="&amp;ClassTree!$L$2)*M104)+(COUNTIFS(Data!$M$2:$M$301,"Train",Data!$C$2:$C$301,"&gt;"&amp;ClassTree!$L$2)*N104))/COUNTIF(Data!$M$2:$M$301,"Train")</f>
        <v>0.43894582857142855</v>
      </c>
      <c r="P104">
        <f>IF(AND(COUNTIFS(Data!$M$2:$M$301,"Train",Data!$B$2:$B$301,"&lt;="&amp;L104)&gt;0,COUNTIFS(Data!$M$2:$M$301,"Train",Data!$B$2:$B$301,"&gt;"&amp;L104)&gt;0),O104,1E+99)</f>
        <v>0.43894582857142855</v>
      </c>
    </row>
    <row r="105" spans="12:16" x14ac:dyDescent="0.2">
      <c r="L105">
        <f>Data!B105</f>
        <v>2005</v>
      </c>
      <c r="M105">
        <f>IF(COUNTIFS(Data!$M$2:$M$301,"Train",Data!$C$2:$C$301,"&lt;="&amp;ClassTree!$L$2,Data!$B$2:$B$301,"&lt;="&amp;L105)=0,0,1-(SUMIFS(Data!$L$2:$L$301,Data!$M$2:$M$301,"Train",Data!$C$2:$C$301,"&lt;="&amp;ClassTree!$L$2,Data!$B$2:$B$301,"&lt;="&amp;L105)/COUNTIFS(Data!$M$2:$M$301,"Train",Data!$C$2:$C$301,"&lt;="&amp;ClassTree!$L$2,Data!$B$2:$B$301,"&lt;="&amp;L105))^2-(1-SUMIFS(Data!$L$2:$L$301,Data!$M$2:$M$301,"Train",Data!$C$2:$C$301,"&lt;="&amp;ClassTree!$L$2,Data!$B$2:$B$301,"&lt;="&amp;L105)/COUNTIFS(Data!$M$2:$M$301,"Train",Data!$C$2:$C$301,"&lt;="&amp;ClassTree!$L$2,Data!$B$2:$B$301,"&lt;="&amp;L105))^2)</f>
        <v>0.1527777777777779</v>
      </c>
      <c r="N105">
        <f>IF(COUNTIFS(Data!$M$2:$M$301,"Train",Data!$C$2:$C$301,"&gt;"&amp;ClassTree!$L$2,Data!$B$2:$B$301,"&gt;"&amp;L105)=0,0,1-(SUMIFS(Data!$L$2:$L$301,Data!$M$2:$M$301,"Train",Data!$C$2:$C$301,"&gt;"&amp;ClassTree!$L$2,Data!$B$2:$B$301,"&gt;"&amp;L105)/COUNTIFS(Data!$M$2:$M$301,"Train",Data!$C$2:$C$301,"&gt;"&amp;ClassTree!$L$2,Data!$B$2:$B$301,"&gt;"&amp;L105))^2-(1-SUMIFS(Data!$L$2:$L$301,Data!$M$2:$M$301,"Train",Data!$C$2:$C$301,"&gt;"&amp;ClassTree!$L$2,Data!$B$2:$B$301,"&gt;"&amp;L105)/COUNTIFS(Data!$M$2:$M$301,"Train",Data!$C$2:$C$301,"&gt;"&amp;ClassTree!$L$2,Data!$B$2:$B$301,"&gt;"&amp;L105))^2)</f>
        <v>0.45877855112243893</v>
      </c>
      <c r="O105">
        <f>((COUNTIFS(Data!$M$2:$M$301,"Train",Data!$C$2:$C$301,"&lt;="&amp;ClassTree!$L$2)*M105)+(COUNTIFS(Data!$M$2:$M$301,"Train",Data!$C$2:$C$301,"&gt;"&amp;ClassTree!$L$2)*N105))/COUNTIF(Data!$M$2:$M$301,"Train")</f>
        <v>0.42672132724823636</v>
      </c>
      <c r="P105">
        <f>IF(AND(COUNTIFS(Data!$M$2:$M$301,"Train",Data!$B$2:$B$301,"&lt;="&amp;L105)&gt;0,COUNTIFS(Data!$M$2:$M$301,"Train",Data!$B$2:$B$301,"&gt;"&amp;L105)&gt;0),O105,1E+99)</f>
        <v>0.42672132724823636</v>
      </c>
    </row>
    <row r="106" spans="12:16" x14ac:dyDescent="0.2">
      <c r="L106">
        <f>Data!B106</f>
        <v>2008</v>
      </c>
      <c r="M106">
        <f>IF(COUNTIFS(Data!$M$2:$M$301,"Train",Data!$C$2:$C$301,"&lt;="&amp;ClassTree!$L$2,Data!$B$2:$B$301,"&lt;="&amp;L106)=0,0,1-(SUMIFS(Data!$L$2:$L$301,Data!$M$2:$M$301,"Train",Data!$C$2:$C$301,"&lt;="&amp;ClassTree!$L$2,Data!$B$2:$B$301,"&lt;="&amp;L106)/COUNTIFS(Data!$M$2:$M$301,"Train",Data!$C$2:$C$301,"&lt;="&amp;ClassTree!$L$2,Data!$B$2:$B$301,"&lt;="&amp;L106))^2-(1-SUMIFS(Data!$L$2:$L$301,Data!$M$2:$M$301,"Train",Data!$C$2:$C$301,"&lt;="&amp;ClassTree!$L$2,Data!$B$2:$B$301,"&lt;="&amp;L106)/COUNTIFS(Data!$M$2:$M$301,"Train",Data!$C$2:$C$301,"&lt;="&amp;ClassTree!$L$2,Data!$B$2:$B$301,"&lt;="&amp;L106))^2)</f>
        <v>8.6776859504132053E-2</v>
      </c>
      <c r="N106">
        <f>IF(COUNTIFS(Data!$M$2:$M$301,"Train",Data!$C$2:$C$301,"&gt;"&amp;ClassTree!$L$2,Data!$B$2:$B$301,"&gt;"&amp;L106)=0,0,1-(SUMIFS(Data!$L$2:$L$301,Data!$M$2:$M$301,"Train",Data!$C$2:$C$301,"&gt;"&amp;ClassTree!$L$2,Data!$B$2:$B$301,"&gt;"&amp;L106)/COUNTIFS(Data!$M$2:$M$301,"Train",Data!$C$2:$C$301,"&gt;"&amp;ClassTree!$L$2,Data!$B$2:$B$301,"&gt;"&amp;L106))^2-(1-SUMIFS(Data!$L$2:$L$301,Data!$M$2:$M$301,"Train",Data!$C$2:$C$301,"&gt;"&amp;ClassTree!$L$2,Data!$B$2:$B$301,"&gt;"&amp;L106)/COUNTIFS(Data!$M$2:$M$301,"Train",Data!$C$2:$C$301,"&gt;"&amp;ClassTree!$L$2,Data!$B$2:$B$301,"&gt;"&amp;L106))^2)</f>
        <v>0.47337278106508873</v>
      </c>
      <c r="O106">
        <f>((COUNTIFS(Data!$M$2:$M$301,"Train",Data!$C$2:$C$301,"&lt;="&amp;ClassTree!$L$2)*M106)+(COUNTIFS(Data!$M$2:$M$301,"Train",Data!$C$2:$C$301,"&gt;"&amp;ClassTree!$L$2)*N106))/COUNTIF(Data!$M$2:$M$301,"Train")</f>
        <v>0.432872255949179</v>
      </c>
      <c r="P106">
        <f>IF(AND(COUNTIFS(Data!$M$2:$M$301,"Train",Data!$B$2:$B$301,"&lt;="&amp;L106)&gt;0,COUNTIFS(Data!$M$2:$M$301,"Train",Data!$B$2:$B$301,"&gt;"&amp;L106)&gt;0),O106,1E+99)</f>
        <v>0.432872255949179</v>
      </c>
    </row>
    <row r="107" spans="12:16" x14ac:dyDescent="0.2">
      <c r="L107">
        <f>Data!B107</f>
        <v>2006</v>
      </c>
      <c r="M107">
        <f>IF(COUNTIFS(Data!$M$2:$M$301,"Train",Data!$C$2:$C$301,"&lt;="&amp;ClassTree!$L$2,Data!$B$2:$B$301,"&lt;="&amp;L107)=0,0,1-(SUMIFS(Data!$L$2:$L$301,Data!$M$2:$M$301,"Train",Data!$C$2:$C$301,"&lt;="&amp;ClassTree!$L$2,Data!$B$2:$B$301,"&lt;="&amp;L107)/COUNTIFS(Data!$M$2:$M$301,"Train",Data!$C$2:$C$301,"&lt;="&amp;ClassTree!$L$2,Data!$B$2:$B$301,"&lt;="&amp;L107))^2-(1-SUMIFS(Data!$L$2:$L$301,Data!$M$2:$M$301,"Train",Data!$C$2:$C$301,"&lt;="&amp;ClassTree!$L$2,Data!$B$2:$B$301,"&lt;="&amp;L107)/COUNTIFS(Data!$M$2:$M$301,"Train",Data!$C$2:$C$301,"&lt;="&amp;ClassTree!$L$2,Data!$B$2:$B$301,"&lt;="&amp;L107))^2)</f>
        <v>9.9722991689750629E-2</v>
      </c>
      <c r="N107">
        <f>IF(COUNTIFS(Data!$M$2:$M$301,"Train",Data!$C$2:$C$301,"&gt;"&amp;ClassTree!$L$2,Data!$B$2:$B$301,"&gt;"&amp;L107)=0,0,1-(SUMIFS(Data!$L$2:$L$301,Data!$M$2:$M$301,"Train",Data!$C$2:$C$301,"&gt;"&amp;ClassTree!$L$2,Data!$B$2:$B$301,"&gt;"&amp;L107)/COUNTIFS(Data!$M$2:$M$301,"Train",Data!$C$2:$C$301,"&gt;"&amp;ClassTree!$L$2,Data!$B$2:$B$301,"&gt;"&amp;L107))^2-(1-SUMIFS(Data!$L$2:$L$301,Data!$M$2:$M$301,"Train",Data!$C$2:$C$301,"&gt;"&amp;ClassTree!$L$2,Data!$B$2:$B$301,"&gt;"&amp;L107)/COUNTIFS(Data!$M$2:$M$301,"Train",Data!$C$2:$C$301,"&gt;"&amp;ClassTree!$L$2,Data!$B$2:$B$301,"&gt;"&amp;L107))^2)</f>
        <v>0.46208779668136946</v>
      </c>
      <c r="O107">
        <f>((COUNTIFS(Data!$M$2:$M$301,"Train",Data!$C$2:$C$301,"&lt;="&amp;ClassTree!$L$2)*M107)+(COUNTIFS(Data!$M$2:$M$301,"Train",Data!$C$2:$C$301,"&gt;"&amp;ClassTree!$L$2)*N107))/COUNTIF(Data!$M$2:$M$301,"Train")</f>
        <v>0.42412576949177128</v>
      </c>
      <c r="P107">
        <f>IF(AND(COUNTIFS(Data!$M$2:$M$301,"Train",Data!$B$2:$B$301,"&lt;="&amp;L107)&gt;0,COUNTIFS(Data!$M$2:$M$301,"Train",Data!$B$2:$B$301,"&gt;"&amp;L107)&gt;0),O107,1E+99)</f>
        <v>0.42412576949177128</v>
      </c>
    </row>
    <row r="108" spans="12:16" x14ac:dyDescent="0.2">
      <c r="L108">
        <f>Data!B108</f>
        <v>2007</v>
      </c>
      <c r="M108">
        <f>IF(COUNTIFS(Data!$M$2:$M$301,"Train",Data!$C$2:$C$301,"&lt;="&amp;ClassTree!$L$2,Data!$B$2:$B$301,"&lt;="&amp;L108)=0,0,1-(SUMIFS(Data!$L$2:$L$301,Data!$M$2:$M$301,"Train",Data!$C$2:$C$301,"&lt;="&amp;ClassTree!$L$2,Data!$B$2:$B$301,"&lt;="&amp;L108)/COUNTIFS(Data!$M$2:$M$301,"Train",Data!$C$2:$C$301,"&lt;="&amp;ClassTree!$L$2,Data!$B$2:$B$301,"&lt;="&amp;L108))^2-(1-SUMIFS(Data!$L$2:$L$301,Data!$M$2:$M$301,"Train",Data!$C$2:$C$301,"&lt;="&amp;ClassTree!$L$2,Data!$B$2:$B$301,"&lt;="&amp;L108)/COUNTIFS(Data!$M$2:$M$301,"Train",Data!$C$2:$C$301,"&lt;="&amp;ClassTree!$L$2,Data!$B$2:$B$301,"&lt;="&amp;L108))^2)</f>
        <v>9.0702947845805015E-2</v>
      </c>
      <c r="N108">
        <f>IF(COUNTIFS(Data!$M$2:$M$301,"Train",Data!$C$2:$C$301,"&gt;"&amp;ClassTree!$L$2,Data!$B$2:$B$301,"&gt;"&amp;L108)=0,0,1-(SUMIFS(Data!$L$2:$L$301,Data!$M$2:$M$301,"Train",Data!$C$2:$C$301,"&gt;"&amp;ClassTree!$L$2,Data!$B$2:$B$301,"&gt;"&amp;L108)/COUNTIFS(Data!$M$2:$M$301,"Train",Data!$C$2:$C$301,"&gt;"&amp;ClassTree!$L$2,Data!$B$2:$B$301,"&gt;"&amp;L108))^2-(1-SUMIFS(Data!$L$2:$L$301,Data!$M$2:$M$301,"Train",Data!$C$2:$C$301,"&gt;"&amp;ClassTree!$L$2,Data!$B$2:$B$301,"&gt;"&amp;L108)/COUNTIFS(Data!$M$2:$M$301,"Train",Data!$C$2:$C$301,"&gt;"&amp;ClassTree!$L$2,Data!$B$2:$B$301,"&gt;"&amp;L108))^2)</f>
        <v>0.46480633069554356</v>
      </c>
      <c r="O108">
        <f>((COUNTIFS(Data!$M$2:$M$301,"Train",Data!$C$2:$C$301,"&lt;="&amp;ClassTree!$L$2)*M108)+(COUNTIFS(Data!$M$2:$M$301,"Train",Data!$C$2:$C$301,"&gt;"&amp;ClassTree!$L$2)*N108))/COUNTIF(Data!$M$2:$M$301,"Train")</f>
        <v>0.42561454773033286</v>
      </c>
      <c r="P108">
        <f>IF(AND(COUNTIFS(Data!$M$2:$M$301,"Train",Data!$B$2:$B$301,"&lt;="&amp;L108)&gt;0,COUNTIFS(Data!$M$2:$M$301,"Train",Data!$B$2:$B$301,"&gt;"&amp;L108)&gt;0),O108,1E+99)</f>
        <v>0.42561454773033286</v>
      </c>
    </row>
    <row r="109" spans="12:16" x14ac:dyDescent="0.2">
      <c r="L109">
        <f>Data!B109</f>
        <v>2003</v>
      </c>
      <c r="M109">
        <f>IF(COUNTIFS(Data!$M$2:$M$301,"Train",Data!$C$2:$C$301,"&lt;="&amp;ClassTree!$L$2,Data!$B$2:$B$301,"&lt;="&amp;L109)=0,0,1-(SUMIFS(Data!$L$2:$L$301,Data!$M$2:$M$301,"Train",Data!$C$2:$C$301,"&lt;="&amp;ClassTree!$L$2,Data!$B$2:$B$301,"&lt;="&amp;L109)/COUNTIFS(Data!$M$2:$M$301,"Train",Data!$C$2:$C$301,"&lt;="&amp;ClassTree!$L$2,Data!$B$2:$B$301,"&lt;="&amp;L109))^2-(1-SUMIFS(Data!$L$2:$L$301,Data!$M$2:$M$301,"Train",Data!$C$2:$C$301,"&lt;="&amp;ClassTree!$L$2,Data!$B$2:$B$301,"&lt;="&amp;L109)/COUNTIFS(Data!$M$2:$M$301,"Train",Data!$C$2:$C$301,"&lt;="&amp;ClassTree!$L$2,Data!$B$2:$B$301,"&lt;="&amp;L109))^2)</f>
        <v>0</v>
      </c>
      <c r="N109">
        <f>IF(COUNTIFS(Data!$M$2:$M$301,"Train",Data!$C$2:$C$301,"&gt;"&amp;ClassTree!$L$2,Data!$B$2:$B$301,"&gt;"&amp;L109)=0,0,1-(SUMIFS(Data!$L$2:$L$301,Data!$M$2:$M$301,"Train",Data!$C$2:$C$301,"&gt;"&amp;ClassTree!$L$2,Data!$B$2:$B$301,"&gt;"&amp;L109)/COUNTIFS(Data!$M$2:$M$301,"Train",Data!$C$2:$C$301,"&gt;"&amp;ClassTree!$L$2,Data!$B$2:$B$301,"&gt;"&amp;L109))^2-(1-SUMIFS(Data!$L$2:$L$301,Data!$M$2:$M$301,"Train",Data!$C$2:$C$301,"&gt;"&amp;ClassTree!$L$2,Data!$B$2:$B$301,"&gt;"&amp;L109)/COUNTIFS(Data!$M$2:$M$301,"Train",Data!$C$2:$C$301,"&gt;"&amp;ClassTree!$L$2,Data!$B$2:$B$301,"&gt;"&amp;L109))^2)</f>
        <v>0.48347107438016523</v>
      </c>
      <c r="O109">
        <f>((COUNTIFS(Data!$M$2:$M$301,"Train",Data!$C$2:$C$301,"&lt;="&amp;ClassTree!$L$2)*M109)+(COUNTIFS(Data!$M$2:$M$301,"Train",Data!$C$2:$C$301,"&gt;"&amp;ClassTree!$L$2)*N109))/COUNTIF(Data!$M$2:$M$301,"Train")</f>
        <v>0.43282172373081462</v>
      </c>
      <c r="P109">
        <f>IF(AND(COUNTIFS(Data!$M$2:$M$301,"Train",Data!$B$2:$B$301,"&lt;="&amp;L109)&gt;0,COUNTIFS(Data!$M$2:$M$301,"Train",Data!$B$2:$B$301,"&gt;"&amp;L109)&gt;0),O109,1E+99)</f>
        <v>0.43282172373081462</v>
      </c>
    </row>
    <row r="110" spans="12:16" x14ac:dyDescent="0.2">
      <c r="L110">
        <f>Data!B110</f>
        <v>2007</v>
      </c>
      <c r="M110">
        <f>IF(COUNTIFS(Data!$M$2:$M$301,"Train",Data!$C$2:$C$301,"&lt;="&amp;ClassTree!$L$2,Data!$B$2:$B$301,"&lt;="&amp;L110)=0,0,1-(SUMIFS(Data!$L$2:$L$301,Data!$M$2:$M$301,"Train",Data!$C$2:$C$301,"&lt;="&amp;ClassTree!$L$2,Data!$B$2:$B$301,"&lt;="&amp;L110)/COUNTIFS(Data!$M$2:$M$301,"Train",Data!$C$2:$C$301,"&lt;="&amp;ClassTree!$L$2,Data!$B$2:$B$301,"&lt;="&amp;L110))^2-(1-SUMIFS(Data!$L$2:$L$301,Data!$M$2:$M$301,"Train",Data!$C$2:$C$301,"&lt;="&amp;ClassTree!$L$2,Data!$B$2:$B$301,"&lt;="&amp;L110)/COUNTIFS(Data!$M$2:$M$301,"Train",Data!$C$2:$C$301,"&lt;="&amp;ClassTree!$L$2,Data!$B$2:$B$301,"&lt;="&amp;L110))^2)</f>
        <v>9.0702947845805015E-2</v>
      </c>
      <c r="N110">
        <f>IF(COUNTIFS(Data!$M$2:$M$301,"Train",Data!$C$2:$C$301,"&gt;"&amp;ClassTree!$L$2,Data!$B$2:$B$301,"&gt;"&amp;L110)=0,0,1-(SUMIFS(Data!$L$2:$L$301,Data!$M$2:$M$301,"Train",Data!$C$2:$C$301,"&gt;"&amp;ClassTree!$L$2,Data!$B$2:$B$301,"&gt;"&amp;L110)/COUNTIFS(Data!$M$2:$M$301,"Train",Data!$C$2:$C$301,"&gt;"&amp;ClassTree!$L$2,Data!$B$2:$B$301,"&gt;"&amp;L110))^2-(1-SUMIFS(Data!$L$2:$L$301,Data!$M$2:$M$301,"Train",Data!$C$2:$C$301,"&gt;"&amp;ClassTree!$L$2,Data!$B$2:$B$301,"&gt;"&amp;L110)/COUNTIFS(Data!$M$2:$M$301,"Train",Data!$C$2:$C$301,"&gt;"&amp;ClassTree!$L$2,Data!$B$2:$B$301,"&gt;"&amp;L110))^2)</f>
        <v>0.46480633069554356</v>
      </c>
      <c r="O110">
        <f>((COUNTIFS(Data!$M$2:$M$301,"Train",Data!$C$2:$C$301,"&lt;="&amp;ClassTree!$L$2)*M110)+(COUNTIFS(Data!$M$2:$M$301,"Train",Data!$C$2:$C$301,"&gt;"&amp;ClassTree!$L$2)*N110))/COUNTIF(Data!$M$2:$M$301,"Train")</f>
        <v>0.42561454773033286</v>
      </c>
      <c r="P110">
        <f>IF(AND(COUNTIFS(Data!$M$2:$M$301,"Train",Data!$B$2:$B$301,"&lt;="&amp;L110)&gt;0,COUNTIFS(Data!$M$2:$M$301,"Train",Data!$B$2:$B$301,"&gt;"&amp;L110)&gt;0),O110,1E+99)</f>
        <v>0.42561454773033286</v>
      </c>
    </row>
    <row r="111" spans="12:16" x14ac:dyDescent="0.2">
      <c r="L111">
        <f>Data!B111</f>
        <v>2006</v>
      </c>
      <c r="M111">
        <f>IF(COUNTIFS(Data!$M$2:$M$301,"Train",Data!$C$2:$C$301,"&lt;="&amp;ClassTree!$L$2,Data!$B$2:$B$301,"&lt;="&amp;L111)=0,0,1-(SUMIFS(Data!$L$2:$L$301,Data!$M$2:$M$301,"Train",Data!$C$2:$C$301,"&lt;="&amp;ClassTree!$L$2,Data!$B$2:$B$301,"&lt;="&amp;L111)/COUNTIFS(Data!$M$2:$M$301,"Train",Data!$C$2:$C$301,"&lt;="&amp;ClassTree!$L$2,Data!$B$2:$B$301,"&lt;="&amp;L111))^2-(1-SUMIFS(Data!$L$2:$L$301,Data!$M$2:$M$301,"Train",Data!$C$2:$C$301,"&lt;="&amp;ClassTree!$L$2,Data!$B$2:$B$301,"&lt;="&amp;L111)/COUNTIFS(Data!$M$2:$M$301,"Train",Data!$C$2:$C$301,"&lt;="&amp;ClassTree!$L$2,Data!$B$2:$B$301,"&lt;="&amp;L111))^2)</f>
        <v>9.9722991689750629E-2</v>
      </c>
      <c r="N111">
        <f>IF(COUNTIFS(Data!$M$2:$M$301,"Train",Data!$C$2:$C$301,"&gt;"&amp;ClassTree!$L$2,Data!$B$2:$B$301,"&gt;"&amp;L111)=0,0,1-(SUMIFS(Data!$L$2:$L$301,Data!$M$2:$M$301,"Train",Data!$C$2:$C$301,"&gt;"&amp;ClassTree!$L$2,Data!$B$2:$B$301,"&gt;"&amp;L111)/COUNTIFS(Data!$M$2:$M$301,"Train",Data!$C$2:$C$301,"&gt;"&amp;ClassTree!$L$2,Data!$B$2:$B$301,"&gt;"&amp;L111))^2-(1-SUMIFS(Data!$L$2:$L$301,Data!$M$2:$M$301,"Train",Data!$C$2:$C$301,"&gt;"&amp;ClassTree!$L$2,Data!$B$2:$B$301,"&gt;"&amp;L111)/COUNTIFS(Data!$M$2:$M$301,"Train",Data!$C$2:$C$301,"&gt;"&amp;ClassTree!$L$2,Data!$B$2:$B$301,"&gt;"&amp;L111))^2)</f>
        <v>0.46208779668136946</v>
      </c>
      <c r="O111">
        <f>((COUNTIFS(Data!$M$2:$M$301,"Train",Data!$C$2:$C$301,"&lt;="&amp;ClassTree!$L$2)*M111)+(COUNTIFS(Data!$M$2:$M$301,"Train",Data!$C$2:$C$301,"&gt;"&amp;ClassTree!$L$2)*N111))/COUNTIF(Data!$M$2:$M$301,"Train")</f>
        <v>0.42412576949177128</v>
      </c>
      <c r="P111">
        <f>IF(AND(COUNTIFS(Data!$M$2:$M$301,"Train",Data!$B$2:$B$301,"&lt;="&amp;L111)&gt;0,COUNTIFS(Data!$M$2:$M$301,"Train",Data!$B$2:$B$301,"&gt;"&amp;L111)&gt;0),O111,1E+99)</f>
        <v>0.42412576949177128</v>
      </c>
    </row>
    <row r="112" spans="12:16" x14ac:dyDescent="0.2">
      <c r="L112">
        <f>Data!B112</f>
        <v>2009</v>
      </c>
      <c r="M112">
        <f>IF(COUNTIFS(Data!$M$2:$M$301,"Train",Data!$C$2:$C$301,"&lt;="&amp;ClassTree!$L$2,Data!$B$2:$B$301,"&lt;="&amp;L112)=0,0,1-(SUMIFS(Data!$L$2:$L$301,Data!$M$2:$M$301,"Train",Data!$C$2:$C$301,"&lt;="&amp;ClassTree!$L$2,Data!$B$2:$B$301,"&lt;="&amp;L112)/COUNTIFS(Data!$M$2:$M$301,"Train",Data!$C$2:$C$301,"&lt;="&amp;ClassTree!$L$2,Data!$B$2:$B$301,"&lt;="&amp;L112))^2-(1-SUMIFS(Data!$L$2:$L$301,Data!$M$2:$M$301,"Train",Data!$C$2:$C$301,"&lt;="&amp;ClassTree!$L$2,Data!$B$2:$B$301,"&lt;="&amp;L112)/COUNTIFS(Data!$M$2:$M$301,"Train",Data!$C$2:$C$301,"&lt;="&amp;ClassTree!$L$2,Data!$B$2:$B$301,"&lt;="&amp;L112))^2)</f>
        <v>8.6776859504132053E-2</v>
      </c>
      <c r="N112">
        <f>IF(COUNTIFS(Data!$M$2:$M$301,"Train",Data!$C$2:$C$301,"&gt;"&amp;ClassTree!$L$2,Data!$B$2:$B$301,"&gt;"&amp;L112)=0,0,1-(SUMIFS(Data!$L$2:$L$301,Data!$M$2:$M$301,"Train",Data!$C$2:$C$301,"&gt;"&amp;ClassTree!$L$2,Data!$B$2:$B$301,"&gt;"&amp;L112)/COUNTIFS(Data!$M$2:$M$301,"Train",Data!$C$2:$C$301,"&gt;"&amp;ClassTree!$L$2,Data!$B$2:$B$301,"&gt;"&amp;L112))^2-(1-SUMIFS(Data!$L$2:$L$301,Data!$M$2:$M$301,"Train",Data!$C$2:$C$301,"&gt;"&amp;ClassTree!$L$2,Data!$B$2:$B$301,"&gt;"&amp;L112)/COUNTIFS(Data!$M$2:$M$301,"Train",Data!$C$2:$C$301,"&gt;"&amp;ClassTree!$L$2,Data!$B$2:$B$301,"&gt;"&amp;L112))^2)</f>
        <v>0</v>
      </c>
      <c r="O112">
        <f>((COUNTIFS(Data!$M$2:$M$301,"Train",Data!$C$2:$C$301,"&lt;="&amp;ClassTree!$L$2)*M112)+(COUNTIFS(Data!$M$2:$M$301,"Train",Data!$C$2:$C$301,"&gt;"&amp;ClassTree!$L$2)*N112))/COUNTIF(Data!$M$2:$M$301,"Train")</f>
        <v>9.0909090909090731E-3</v>
      </c>
      <c r="P112">
        <f>IF(AND(COUNTIFS(Data!$M$2:$M$301,"Train",Data!$B$2:$B$301,"&lt;="&amp;L112)&gt;0,COUNTIFS(Data!$M$2:$M$301,"Train",Data!$B$2:$B$301,"&gt;"&amp;L112)&gt;0),O112,1E+99)</f>
        <v>9.9999999999999997E+98</v>
      </c>
    </row>
    <row r="113" spans="12:16" x14ac:dyDescent="0.2">
      <c r="L113">
        <f>Data!B113</f>
        <v>2008</v>
      </c>
      <c r="M113">
        <f>IF(COUNTIFS(Data!$M$2:$M$301,"Train",Data!$C$2:$C$301,"&lt;="&amp;ClassTree!$L$2,Data!$B$2:$B$301,"&lt;="&amp;L113)=0,0,1-(SUMIFS(Data!$L$2:$L$301,Data!$M$2:$M$301,"Train",Data!$C$2:$C$301,"&lt;="&amp;ClassTree!$L$2,Data!$B$2:$B$301,"&lt;="&amp;L113)/COUNTIFS(Data!$M$2:$M$301,"Train",Data!$C$2:$C$301,"&lt;="&amp;ClassTree!$L$2,Data!$B$2:$B$301,"&lt;="&amp;L113))^2-(1-SUMIFS(Data!$L$2:$L$301,Data!$M$2:$M$301,"Train",Data!$C$2:$C$301,"&lt;="&amp;ClassTree!$L$2,Data!$B$2:$B$301,"&lt;="&amp;L113)/COUNTIFS(Data!$M$2:$M$301,"Train",Data!$C$2:$C$301,"&lt;="&amp;ClassTree!$L$2,Data!$B$2:$B$301,"&lt;="&amp;L113))^2)</f>
        <v>8.6776859504132053E-2</v>
      </c>
      <c r="N113">
        <f>IF(COUNTIFS(Data!$M$2:$M$301,"Train",Data!$C$2:$C$301,"&gt;"&amp;ClassTree!$L$2,Data!$B$2:$B$301,"&gt;"&amp;L113)=0,0,1-(SUMIFS(Data!$L$2:$L$301,Data!$M$2:$M$301,"Train",Data!$C$2:$C$301,"&gt;"&amp;ClassTree!$L$2,Data!$B$2:$B$301,"&gt;"&amp;L113)/COUNTIFS(Data!$M$2:$M$301,"Train",Data!$C$2:$C$301,"&gt;"&amp;ClassTree!$L$2,Data!$B$2:$B$301,"&gt;"&amp;L113))^2-(1-SUMIFS(Data!$L$2:$L$301,Data!$M$2:$M$301,"Train",Data!$C$2:$C$301,"&gt;"&amp;ClassTree!$L$2,Data!$B$2:$B$301,"&gt;"&amp;L113)/COUNTIFS(Data!$M$2:$M$301,"Train",Data!$C$2:$C$301,"&gt;"&amp;ClassTree!$L$2,Data!$B$2:$B$301,"&gt;"&amp;L113))^2)</f>
        <v>0.47337278106508873</v>
      </c>
      <c r="O113">
        <f>((COUNTIFS(Data!$M$2:$M$301,"Train",Data!$C$2:$C$301,"&lt;="&amp;ClassTree!$L$2)*M113)+(COUNTIFS(Data!$M$2:$M$301,"Train",Data!$C$2:$C$301,"&gt;"&amp;ClassTree!$L$2)*N113))/COUNTIF(Data!$M$2:$M$301,"Train")</f>
        <v>0.432872255949179</v>
      </c>
      <c r="P113">
        <f>IF(AND(COUNTIFS(Data!$M$2:$M$301,"Train",Data!$B$2:$B$301,"&lt;="&amp;L113)&gt;0,COUNTIFS(Data!$M$2:$M$301,"Train",Data!$B$2:$B$301,"&gt;"&amp;L113)&gt;0),O113,1E+99)</f>
        <v>0.432872255949179</v>
      </c>
    </row>
    <row r="114" spans="12:16" x14ac:dyDescent="0.2">
      <c r="L114">
        <f>Data!B114</f>
        <v>2004</v>
      </c>
      <c r="M114">
        <f>IF(COUNTIFS(Data!$M$2:$M$301,"Train",Data!$C$2:$C$301,"&lt;="&amp;ClassTree!$L$2,Data!$B$2:$B$301,"&lt;="&amp;L114)=0,0,1-(SUMIFS(Data!$L$2:$L$301,Data!$M$2:$M$301,"Train",Data!$C$2:$C$301,"&lt;="&amp;ClassTree!$L$2,Data!$B$2:$B$301,"&lt;="&amp;L114)/COUNTIFS(Data!$M$2:$M$301,"Train",Data!$C$2:$C$301,"&lt;="&amp;ClassTree!$L$2,Data!$B$2:$B$301,"&lt;="&amp;L114))^2-(1-SUMIFS(Data!$L$2:$L$301,Data!$M$2:$M$301,"Train",Data!$C$2:$C$301,"&lt;="&amp;ClassTree!$L$2,Data!$B$2:$B$301,"&lt;="&amp;L114)/COUNTIFS(Data!$M$2:$M$301,"Train",Data!$C$2:$C$301,"&lt;="&amp;ClassTree!$L$2,Data!$B$2:$B$301,"&lt;="&amp;L114))^2)</f>
        <v>0.17999999999999994</v>
      </c>
      <c r="N114">
        <f>IF(COUNTIFS(Data!$M$2:$M$301,"Train",Data!$C$2:$C$301,"&gt;"&amp;ClassTree!$L$2,Data!$B$2:$B$301,"&gt;"&amp;L114)=0,0,1-(SUMIFS(Data!$L$2:$L$301,Data!$M$2:$M$301,"Train",Data!$C$2:$C$301,"&gt;"&amp;ClassTree!$L$2,Data!$B$2:$B$301,"&gt;"&amp;L114)/COUNTIFS(Data!$M$2:$M$301,"Train",Data!$C$2:$C$301,"&gt;"&amp;ClassTree!$L$2,Data!$B$2:$B$301,"&gt;"&amp;L114))^2-(1-SUMIFS(Data!$L$2:$L$301,Data!$M$2:$M$301,"Train",Data!$C$2:$C$301,"&gt;"&amp;ClassTree!$L$2,Data!$B$2:$B$301,"&gt;"&amp;L114)/COUNTIFS(Data!$M$2:$M$301,"Train",Data!$C$2:$C$301,"&gt;"&amp;ClassTree!$L$2,Data!$B$2:$B$301,"&gt;"&amp;L114))^2)</f>
        <v>0.46924800000000005</v>
      </c>
      <c r="O114">
        <f>((COUNTIFS(Data!$M$2:$M$301,"Train",Data!$C$2:$C$301,"&lt;="&amp;ClassTree!$L$2)*M114)+(COUNTIFS(Data!$M$2:$M$301,"Train",Data!$C$2:$C$301,"&gt;"&amp;ClassTree!$L$2)*N114))/COUNTIF(Data!$M$2:$M$301,"Train")</f>
        <v>0.43894582857142855</v>
      </c>
      <c r="P114">
        <f>IF(AND(COUNTIFS(Data!$M$2:$M$301,"Train",Data!$B$2:$B$301,"&lt;="&amp;L114)&gt;0,COUNTIFS(Data!$M$2:$M$301,"Train",Data!$B$2:$B$301,"&gt;"&amp;L114)&gt;0),O114,1E+99)</f>
        <v>0.43894582857142855</v>
      </c>
    </row>
    <row r="115" spans="12:16" x14ac:dyDescent="0.2">
      <c r="L115">
        <f>Data!B115</f>
        <v>2006</v>
      </c>
      <c r="M115">
        <f>IF(COUNTIFS(Data!$M$2:$M$301,"Train",Data!$C$2:$C$301,"&lt;="&amp;ClassTree!$L$2,Data!$B$2:$B$301,"&lt;="&amp;L115)=0,0,1-(SUMIFS(Data!$L$2:$L$301,Data!$M$2:$M$301,"Train",Data!$C$2:$C$301,"&lt;="&amp;ClassTree!$L$2,Data!$B$2:$B$301,"&lt;="&amp;L115)/COUNTIFS(Data!$M$2:$M$301,"Train",Data!$C$2:$C$301,"&lt;="&amp;ClassTree!$L$2,Data!$B$2:$B$301,"&lt;="&amp;L115))^2-(1-SUMIFS(Data!$L$2:$L$301,Data!$M$2:$M$301,"Train",Data!$C$2:$C$301,"&lt;="&amp;ClassTree!$L$2,Data!$B$2:$B$301,"&lt;="&amp;L115)/COUNTIFS(Data!$M$2:$M$301,"Train",Data!$C$2:$C$301,"&lt;="&amp;ClassTree!$L$2,Data!$B$2:$B$301,"&lt;="&amp;L115))^2)</f>
        <v>9.9722991689750629E-2</v>
      </c>
      <c r="N115">
        <f>IF(COUNTIFS(Data!$M$2:$M$301,"Train",Data!$C$2:$C$301,"&gt;"&amp;ClassTree!$L$2,Data!$B$2:$B$301,"&gt;"&amp;L115)=0,0,1-(SUMIFS(Data!$L$2:$L$301,Data!$M$2:$M$301,"Train",Data!$C$2:$C$301,"&gt;"&amp;ClassTree!$L$2,Data!$B$2:$B$301,"&gt;"&amp;L115)/COUNTIFS(Data!$M$2:$M$301,"Train",Data!$C$2:$C$301,"&gt;"&amp;ClassTree!$L$2,Data!$B$2:$B$301,"&gt;"&amp;L115))^2-(1-SUMIFS(Data!$L$2:$L$301,Data!$M$2:$M$301,"Train",Data!$C$2:$C$301,"&gt;"&amp;ClassTree!$L$2,Data!$B$2:$B$301,"&gt;"&amp;L115)/COUNTIFS(Data!$M$2:$M$301,"Train",Data!$C$2:$C$301,"&gt;"&amp;ClassTree!$L$2,Data!$B$2:$B$301,"&gt;"&amp;L115))^2)</f>
        <v>0.46208779668136946</v>
      </c>
      <c r="O115">
        <f>((COUNTIFS(Data!$M$2:$M$301,"Train",Data!$C$2:$C$301,"&lt;="&amp;ClassTree!$L$2)*M115)+(COUNTIFS(Data!$M$2:$M$301,"Train",Data!$C$2:$C$301,"&gt;"&amp;ClassTree!$L$2)*N115))/COUNTIF(Data!$M$2:$M$301,"Train")</f>
        <v>0.42412576949177128</v>
      </c>
      <c r="P115">
        <f>IF(AND(COUNTIFS(Data!$M$2:$M$301,"Train",Data!$B$2:$B$301,"&lt;="&amp;L115)&gt;0,COUNTIFS(Data!$M$2:$M$301,"Train",Data!$B$2:$B$301,"&gt;"&amp;L115)&gt;0),O115,1E+99)</f>
        <v>0.42412576949177128</v>
      </c>
    </row>
    <row r="116" spans="12:16" x14ac:dyDescent="0.2">
      <c r="L116">
        <f>Data!B116</f>
        <v>2003</v>
      </c>
      <c r="M116">
        <f>IF(COUNTIFS(Data!$M$2:$M$301,"Train",Data!$C$2:$C$301,"&lt;="&amp;ClassTree!$L$2,Data!$B$2:$B$301,"&lt;="&amp;L116)=0,0,1-(SUMIFS(Data!$L$2:$L$301,Data!$M$2:$M$301,"Train",Data!$C$2:$C$301,"&lt;="&amp;ClassTree!$L$2,Data!$B$2:$B$301,"&lt;="&amp;L116)/COUNTIFS(Data!$M$2:$M$301,"Train",Data!$C$2:$C$301,"&lt;="&amp;ClassTree!$L$2,Data!$B$2:$B$301,"&lt;="&amp;L116))^2-(1-SUMIFS(Data!$L$2:$L$301,Data!$M$2:$M$301,"Train",Data!$C$2:$C$301,"&lt;="&amp;ClassTree!$L$2,Data!$B$2:$B$301,"&lt;="&amp;L116)/COUNTIFS(Data!$M$2:$M$301,"Train",Data!$C$2:$C$301,"&lt;="&amp;ClassTree!$L$2,Data!$B$2:$B$301,"&lt;="&amp;L116))^2)</f>
        <v>0</v>
      </c>
      <c r="N116">
        <f>IF(COUNTIFS(Data!$M$2:$M$301,"Train",Data!$C$2:$C$301,"&gt;"&amp;ClassTree!$L$2,Data!$B$2:$B$301,"&gt;"&amp;L116)=0,0,1-(SUMIFS(Data!$L$2:$L$301,Data!$M$2:$M$301,"Train",Data!$C$2:$C$301,"&gt;"&amp;ClassTree!$L$2,Data!$B$2:$B$301,"&gt;"&amp;L116)/COUNTIFS(Data!$M$2:$M$301,"Train",Data!$C$2:$C$301,"&gt;"&amp;ClassTree!$L$2,Data!$B$2:$B$301,"&gt;"&amp;L116))^2-(1-SUMIFS(Data!$L$2:$L$301,Data!$M$2:$M$301,"Train",Data!$C$2:$C$301,"&gt;"&amp;ClassTree!$L$2,Data!$B$2:$B$301,"&gt;"&amp;L116)/COUNTIFS(Data!$M$2:$M$301,"Train",Data!$C$2:$C$301,"&gt;"&amp;ClassTree!$L$2,Data!$B$2:$B$301,"&gt;"&amp;L116))^2)</f>
        <v>0.48347107438016523</v>
      </c>
      <c r="O116">
        <f>((COUNTIFS(Data!$M$2:$M$301,"Train",Data!$C$2:$C$301,"&lt;="&amp;ClassTree!$L$2)*M116)+(COUNTIFS(Data!$M$2:$M$301,"Train",Data!$C$2:$C$301,"&gt;"&amp;ClassTree!$L$2)*N116))/COUNTIF(Data!$M$2:$M$301,"Train")</f>
        <v>0.43282172373081462</v>
      </c>
      <c r="P116">
        <f>IF(AND(COUNTIFS(Data!$M$2:$M$301,"Train",Data!$B$2:$B$301,"&lt;="&amp;L116)&gt;0,COUNTIFS(Data!$M$2:$M$301,"Train",Data!$B$2:$B$301,"&gt;"&amp;L116)&gt;0),O116,1E+99)</f>
        <v>0.43282172373081462</v>
      </c>
    </row>
    <row r="117" spans="12:16" x14ac:dyDescent="0.2">
      <c r="L117">
        <f>Data!B117</f>
        <v>2007</v>
      </c>
      <c r="M117">
        <f>IF(COUNTIFS(Data!$M$2:$M$301,"Train",Data!$C$2:$C$301,"&lt;="&amp;ClassTree!$L$2,Data!$B$2:$B$301,"&lt;="&amp;L117)=0,0,1-(SUMIFS(Data!$L$2:$L$301,Data!$M$2:$M$301,"Train",Data!$C$2:$C$301,"&lt;="&amp;ClassTree!$L$2,Data!$B$2:$B$301,"&lt;="&amp;L117)/COUNTIFS(Data!$M$2:$M$301,"Train",Data!$C$2:$C$301,"&lt;="&amp;ClassTree!$L$2,Data!$B$2:$B$301,"&lt;="&amp;L117))^2-(1-SUMIFS(Data!$L$2:$L$301,Data!$M$2:$M$301,"Train",Data!$C$2:$C$301,"&lt;="&amp;ClassTree!$L$2,Data!$B$2:$B$301,"&lt;="&amp;L117)/COUNTIFS(Data!$M$2:$M$301,"Train",Data!$C$2:$C$301,"&lt;="&amp;ClassTree!$L$2,Data!$B$2:$B$301,"&lt;="&amp;L117))^2)</f>
        <v>9.0702947845805015E-2</v>
      </c>
      <c r="N117">
        <f>IF(COUNTIFS(Data!$M$2:$M$301,"Train",Data!$C$2:$C$301,"&gt;"&amp;ClassTree!$L$2,Data!$B$2:$B$301,"&gt;"&amp;L117)=0,0,1-(SUMIFS(Data!$L$2:$L$301,Data!$M$2:$M$301,"Train",Data!$C$2:$C$301,"&gt;"&amp;ClassTree!$L$2,Data!$B$2:$B$301,"&gt;"&amp;L117)/COUNTIFS(Data!$M$2:$M$301,"Train",Data!$C$2:$C$301,"&gt;"&amp;ClassTree!$L$2,Data!$B$2:$B$301,"&gt;"&amp;L117))^2-(1-SUMIFS(Data!$L$2:$L$301,Data!$M$2:$M$301,"Train",Data!$C$2:$C$301,"&gt;"&amp;ClassTree!$L$2,Data!$B$2:$B$301,"&gt;"&amp;L117)/COUNTIFS(Data!$M$2:$M$301,"Train",Data!$C$2:$C$301,"&gt;"&amp;ClassTree!$L$2,Data!$B$2:$B$301,"&gt;"&amp;L117))^2)</f>
        <v>0.46480633069554356</v>
      </c>
      <c r="O117">
        <f>((COUNTIFS(Data!$M$2:$M$301,"Train",Data!$C$2:$C$301,"&lt;="&amp;ClassTree!$L$2)*M117)+(COUNTIFS(Data!$M$2:$M$301,"Train",Data!$C$2:$C$301,"&gt;"&amp;ClassTree!$L$2)*N117))/COUNTIF(Data!$M$2:$M$301,"Train")</f>
        <v>0.42561454773033286</v>
      </c>
      <c r="P117">
        <f>IF(AND(COUNTIFS(Data!$M$2:$M$301,"Train",Data!$B$2:$B$301,"&lt;="&amp;L117)&gt;0,COUNTIFS(Data!$M$2:$M$301,"Train",Data!$B$2:$B$301,"&gt;"&amp;L117)&gt;0),O117,1E+99)</f>
        <v>0.42561454773033286</v>
      </c>
    </row>
    <row r="118" spans="12:16" x14ac:dyDescent="0.2">
      <c r="L118">
        <f>Data!B118</f>
        <v>2009</v>
      </c>
      <c r="M118">
        <f>IF(COUNTIFS(Data!$M$2:$M$301,"Train",Data!$C$2:$C$301,"&lt;="&amp;ClassTree!$L$2,Data!$B$2:$B$301,"&lt;="&amp;L118)=0,0,1-(SUMIFS(Data!$L$2:$L$301,Data!$M$2:$M$301,"Train",Data!$C$2:$C$301,"&lt;="&amp;ClassTree!$L$2,Data!$B$2:$B$301,"&lt;="&amp;L118)/COUNTIFS(Data!$M$2:$M$301,"Train",Data!$C$2:$C$301,"&lt;="&amp;ClassTree!$L$2,Data!$B$2:$B$301,"&lt;="&amp;L118))^2-(1-SUMIFS(Data!$L$2:$L$301,Data!$M$2:$M$301,"Train",Data!$C$2:$C$301,"&lt;="&amp;ClassTree!$L$2,Data!$B$2:$B$301,"&lt;="&amp;L118)/COUNTIFS(Data!$M$2:$M$301,"Train",Data!$C$2:$C$301,"&lt;="&amp;ClassTree!$L$2,Data!$B$2:$B$301,"&lt;="&amp;L118))^2)</f>
        <v>8.6776859504132053E-2</v>
      </c>
      <c r="N118">
        <f>IF(COUNTIFS(Data!$M$2:$M$301,"Train",Data!$C$2:$C$301,"&gt;"&amp;ClassTree!$L$2,Data!$B$2:$B$301,"&gt;"&amp;L118)=0,0,1-(SUMIFS(Data!$L$2:$L$301,Data!$M$2:$M$301,"Train",Data!$C$2:$C$301,"&gt;"&amp;ClassTree!$L$2,Data!$B$2:$B$301,"&gt;"&amp;L118)/COUNTIFS(Data!$M$2:$M$301,"Train",Data!$C$2:$C$301,"&gt;"&amp;ClassTree!$L$2,Data!$B$2:$B$301,"&gt;"&amp;L118))^2-(1-SUMIFS(Data!$L$2:$L$301,Data!$M$2:$M$301,"Train",Data!$C$2:$C$301,"&gt;"&amp;ClassTree!$L$2,Data!$B$2:$B$301,"&gt;"&amp;L118)/COUNTIFS(Data!$M$2:$M$301,"Train",Data!$C$2:$C$301,"&gt;"&amp;ClassTree!$L$2,Data!$B$2:$B$301,"&gt;"&amp;L118))^2)</f>
        <v>0</v>
      </c>
      <c r="O118">
        <f>((COUNTIFS(Data!$M$2:$M$301,"Train",Data!$C$2:$C$301,"&lt;="&amp;ClassTree!$L$2)*M118)+(COUNTIFS(Data!$M$2:$M$301,"Train",Data!$C$2:$C$301,"&gt;"&amp;ClassTree!$L$2)*N118))/COUNTIF(Data!$M$2:$M$301,"Train")</f>
        <v>9.0909090909090731E-3</v>
      </c>
      <c r="P118">
        <f>IF(AND(COUNTIFS(Data!$M$2:$M$301,"Train",Data!$B$2:$B$301,"&lt;="&amp;L118)&gt;0,COUNTIFS(Data!$M$2:$M$301,"Train",Data!$B$2:$B$301,"&gt;"&amp;L118)&gt;0),O118,1E+99)</f>
        <v>9.9999999999999997E+98</v>
      </c>
    </row>
    <row r="119" spans="12:16" x14ac:dyDescent="0.2">
      <c r="L119">
        <f>Data!B119</f>
        <v>2006</v>
      </c>
      <c r="M119">
        <f>IF(COUNTIFS(Data!$M$2:$M$301,"Train",Data!$C$2:$C$301,"&lt;="&amp;ClassTree!$L$2,Data!$B$2:$B$301,"&lt;="&amp;L119)=0,0,1-(SUMIFS(Data!$L$2:$L$301,Data!$M$2:$M$301,"Train",Data!$C$2:$C$301,"&lt;="&amp;ClassTree!$L$2,Data!$B$2:$B$301,"&lt;="&amp;L119)/COUNTIFS(Data!$M$2:$M$301,"Train",Data!$C$2:$C$301,"&lt;="&amp;ClassTree!$L$2,Data!$B$2:$B$301,"&lt;="&amp;L119))^2-(1-SUMIFS(Data!$L$2:$L$301,Data!$M$2:$M$301,"Train",Data!$C$2:$C$301,"&lt;="&amp;ClassTree!$L$2,Data!$B$2:$B$301,"&lt;="&amp;L119)/COUNTIFS(Data!$M$2:$M$301,"Train",Data!$C$2:$C$301,"&lt;="&amp;ClassTree!$L$2,Data!$B$2:$B$301,"&lt;="&amp;L119))^2)</f>
        <v>9.9722991689750629E-2</v>
      </c>
      <c r="N119">
        <f>IF(COUNTIFS(Data!$M$2:$M$301,"Train",Data!$C$2:$C$301,"&gt;"&amp;ClassTree!$L$2,Data!$B$2:$B$301,"&gt;"&amp;L119)=0,0,1-(SUMIFS(Data!$L$2:$L$301,Data!$M$2:$M$301,"Train",Data!$C$2:$C$301,"&gt;"&amp;ClassTree!$L$2,Data!$B$2:$B$301,"&gt;"&amp;L119)/COUNTIFS(Data!$M$2:$M$301,"Train",Data!$C$2:$C$301,"&gt;"&amp;ClassTree!$L$2,Data!$B$2:$B$301,"&gt;"&amp;L119))^2-(1-SUMIFS(Data!$L$2:$L$301,Data!$M$2:$M$301,"Train",Data!$C$2:$C$301,"&gt;"&amp;ClassTree!$L$2,Data!$B$2:$B$301,"&gt;"&amp;L119)/COUNTIFS(Data!$M$2:$M$301,"Train",Data!$C$2:$C$301,"&gt;"&amp;ClassTree!$L$2,Data!$B$2:$B$301,"&gt;"&amp;L119))^2)</f>
        <v>0.46208779668136946</v>
      </c>
      <c r="O119">
        <f>((COUNTIFS(Data!$M$2:$M$301,"Train",Data!$C$2:$C$301,"&lt;="&amp;ClassTree!$L$2)*M119)+(COUNTIFS(Data!$M$2:$M$301,"Train",Data!$C$2:$C$301,"&gt;"&amp;ClassTree!$L$2)*N119))/COUNTIF(Data!$M$2:$M$301,"Train")</f>
        <v>0.42412576949177128</v>
      </c>
      <c r="P119">
        <f>IF(AND(COUNTIFS(Data!$M$2:$M$301,"Train",Data!$B$2:$B$301,"&lt;="&amp;L119)&gt;0,COUNTIFS(Data!$M$2:$M$301,"Train",Data!$B$2:$B$301,"&gt;"&amp;L119)&gt;0),O119,1E+99)</f>
        <v>0.42412576949177128</v>
      </c>
    </row>
    <row r="120" spans="12:16" x14ac:dyDescent="0.2">
      <c r="L120">
        <f>Data!B120</f>
        <v>2008</v>
      </c>
      <c r="M120">
        <f>IF(COUNTIFS(Data!$M$2:$M$301,"Train",Data!$C$2:$C$301,"&lt;="&amp;ClassTree!$L$2,Data!$B$2:$B$301,"&lt;="&amp;L120)=0,0,1-(SUMIFS(Data!$L$2:$L$301,Data!$M$2:$M$301,"Train",Data!$C$2:$C$301,"&lt;="&amp;ClassTree!$L$2,Data!$B$2:$B$301,"&lt;="&amp;L120)/COUNTIFS(Data!$M$2:$M$301,"Train",Data!$C$2:$C$301,"&lt;="&amp;ClassTree!$L$2,Data!$B$2:$B$301,"&lt;="&amp;L120))^2-(1-SUMIFS(Data!$L$2:$L$301,Data!$M$2:$M$301,"Train",Data!$C$2:$C$301,"&lt;="&amp;ClassTree!$L$2,Data!$B$2:$B$301,"&lt;="&amp;L120)/COUNTIFS(Data!$M$2:$M$301,"Train",Data!$C$2:$C$301,"&lt;="&amp;ClassTree!$L$2,Data!$B$2:$B$301,"&lt;="&amp;L120))^2)</f>
        <v>8.6776859504132053E-2</v>
      </c>
      <c r="N120">
        <f>IF(COUNTIFS(Data!$M$2:$M$301,"Train",Data!$C$2:$C$301,"&gt;"&amp;ClassTree!$L$2,Data!$B$2:$B$301,"&gt;"&amp;L120)=0,0,1-(SUMIFS(Data!$L$2:$L$301,Data!$M$2:$M$301,"Train",Data!$C$2:$C$301,"&gt;"&amp;ClassTree!$L$2,Data!$B$2:$B$301,"&gt;"&amp;L120)/COUNTIFS(Data!$M$2:$M$301,"Train",Data!$C$2:$C$301,"&gt;"&amp;ClassTree!$L$2,Data!$B$2:$B$301,"&gt;"&amp;L120))^2-(1-SUMIFS(Data!$L$2:$L$301,Data!$M$2:$M$301,"Train",Data!$C$2:$C$301,"&gt;"&amp;ClassTree!$L$2,Data!$B$2:$B$301,"&gt;"&amp;L120)/COUNTIFS(Data!$M$2:$M$301,"Train",Data!$C$2:$C$301,"&gt;"&amp;ClassTree!$L$2,Data!$B$2:$B$301,"&gt;"&amp;L120))^2)</f>
        <v>0.47337278106508873</v>
      </c>
      <c r="O120">
        <f>((COUNTIFS(Data!$M$2:$M$301,"Train",Data!$C$2:$C$301,"&lt;="&amp;ClassTree!$L$2)*M120)+(COUNTIFS(Data!$M$2:$M$301,"Train",Data!$C$2:$C$301,"&gt;"&amp;ClassTree!$L$2)*N120))/COUNTIF(Data!$M$2:$M$301,"Train")</f>
        <v>0.432872255949179</v>
      </c>
      <c r="P120">
        <f>IF(AND(COUNTIFS(Data!$M$2:$M$301,"Train",Data!$B$2:$B$301,"&lt;="&amp;L120)&gt;0,COUNTIFS(Data!$M$2:$M$301,"Train",Data!$B$2:$B$301,"&gt;"&amp;L120)&gt;0),O120,1E+99)</f>
        <v>0.432872255949179</v>
      </c>
    </row>
    <row r="121" spans="12:16" x14ac:dyDescent="0.2">
      <c r="L121">
        <f>Data!B121</f>
        <v>2005</v>
      </c>
      <c r="M121">
        <f>IF(COUNTIFS(Data!$M$2:$M$301,"Train",Data!$C$2:$C$301,"&lt;="&amp;ClassTree!$L$2,Data!$B$2:$B$301,"&lt;="&amp;L121)=0,0,1-(SUMIFS(Data!$L$2:$L$301,Data!$M$2:$M$301,"Train",Data!$C$2:$C$301,"&lt;="&amp;ClassTree!$L$2,Data!$B$2:$B$301,"&lt;="&amp;L121)/COUNTIFS(Data!$M$2:$M$301,"Train",Data!$C$2:$C$301,"&lt;="&amp;ClassTree!$L$2,Data!$B$2:$B$301,"&lt;="&amp;L121))^2-(1-SUMIFS(Data!$L$2:$L$301,Data!$M$2:$M$301,"Train",Data!$C$2:$C$301,"&lt;="&amp;ClassTree!$L$2,Data!$B$2:$B$301,"&lt;="&amp;L121)/COUNTIFS(Data!$M$2:$M$301,"Train",Data!$C$2:$C$301,"&lt;="&amp;ClassTree!$L$2,Data!$B$2:$B$301,"&lt;="&amp;L121))^2)</f>
        <v>0.1527777777777779</v>
      </c>
      <c r="N121">
        <f>IF(COUNTIFS(Data!$M$2:$M$301,"Train",Data!$C$2:$C$301,"&gt;"&amp;ClassTree!$L$2,Data!$B$2:$B$301,"&gt;"&amp;L121)=0,0,1-(SUMIFS(Data!$L$2:$L$301,Data!$M$2:$M$301,"Train",Data!$C$2:$C$301,"&gt;"&amp;ClassTree!$L$2,Data!$B$2:$B$301,"&gt;"&amp;L121)/COUNTIFS(Data!$M$2:$M$301,"Train",Data!$C$2:$C$301,"&gt;"&amp;ClassTree!$L$2,Data!$B$2:$B$301,"&gt;"&amp;L121))^2-(1-SUMIFS(Data!$L$2:$L$301,Data!$M$2:$M$301,"Train",Data!$C$2:$C$301,"&gt;"&amp;ClassTree!$L$2,Data!$B$2:$B$301,"&gt;"&amp;L121)/COUNTIFS(Data!$M$2:$M$301,"Train",Data!$C$2:$C$301,"&gt;"&amp;ClassTree!$L$2,Data!$B$2:$B$301,"&gt;"&amp;L121))^2)</f>
        <v>0.45877855112243893</v>
      </c>
      <c r="O121">
        <f>((COUNTIFS(Data!$M$2:$M$301,"Train",Data!$C$2:$C$301,"&lt;="&amp;ClassTree!$L$2)*M121)+(COUNTIFS(Data!$M$2:$M$301,"Train",Data!$C$2:$C$301,"&gt;"&amp;ClassTree!$L$2)*N121))/COUNTIF(Data!$M$2:$M$301,"Train")</f>
        <v>0.42672132724823636</v>
      </c>
      <c r="P121">
        <f>IF(AND(COUNTIFS(Data!$M$2:$M$301,"Train",Data!$B$2:$B$301,"&lt;="&amp;L121)&gt;0,COUNTIFS(Data!$M$2:$M$301,"Train",Data!$B$2:$B$301,"&gt;"&amp;L121)&gt;0),O121,1E+99)</f>
        <v>0.42672132724823636</v>
      </c>
    </row>
    <row r="122" spans="12:16" x14ac:dyDescent="0.2">
      <c r="L122">
        <f>Data!B122</f>
        <v>2006</v>
      </c>
      <c r="M122">
        <f>IF(COUNTIFS(Data!$M$2:$M$301,"Train",Data!$C$2:$C$301,"&lt;="&amp;ClassTree!$L$2,Data!$B$2:$B$301,"&lt;="&amp;L122)=0,0,1-(SUMIFS(Data!$L$2:$L$301,Data!$M$2:$M$301,"Train",Data!$C$2:$C$301,"&lt;="&amp;ClassTree!$L$2,Data!$B$2:$B$301,"&lt;="&amp;L122)/COUNTIFS(Data!$M$2:$M$301,"Train",Data!$C$2:$C$301,"&lt;="&amp;ClassTree!$L$2,Data!$B$2:$B$301,"&lt;="&amp;L122))^2-(1-SUMIFS(Data!$L$2:$L$301,Data!$M$2:$M$301,"Train",Data!$C$2:$C$301,"&lt;="&amp;ClassTree!$L$2,Data!$B$2:$B$301,"&lt;="&amp;L122)/COUNTIFS(Data!$M$2:$M$301,"Train",Data!$C$2:$C$301,"&lt;="&amp;ClassTree!$L$2,Data!$B$2:$B$301,"&lt;="&amp;L122))^2)</f>
        <v>9.9722991689750629E-2</v>
      </c>
      <c r="N122">
        <f>IF(COUNTIFS(Data!$M$2:$M$301,"Train",Data!$C$2:$C$301,"&gt;"&amp;ClassTree!$L$2,Data!$B$2:$B$301,"&gt;"&amp;L122)=0,0,1-(SUMIFS(Data!$L$2:$L$301,Data!$M$2:$M$301,"Train",Data!$C$2:$C$301,"&gt;"&amp;ClassTree!$L$2,Data!$B$2:$B$301,"&gt;"&amp;L122)/COUNTIFS(Data!$M$2:$M$301,"Train",Data!$C$2:$C$301,"&gt;"&amp;ClassTree!$L$2,Data!$B$2:$B$301,"&gt;"&amp;L122))^2-(1-SUMIFS(Data!$L$2:$L$301,Data!$M$2:$M$301,"Train",Data!$C$2:$C$301,"&gt;"&amp;ClassTree!$L$2,Data!$B$2:$B$301,"&gt;"&amp;L122)/COUNTIFS(Data!$M$2:$M$301,"Train",Data!$C$2:$C$301,"&gt;"&amp;ClassTree!$L$2,Data!$B$2:$B$301,"&gt;"&amp;L122))^2)</f>
        <v>0.46208779668136946</v>
      </c>
      <c r="O122">
        <f>((COUNTIFS(Data!$M$2:$M$301,"Train",Data!$C$2:$C$301,"&lt;="&amp;ClassTree!$L$2)*M122)+(COUNTIFS(Data!$M$2:$M$301,"Train",Data!$C$2:$C$301,"&gt;"&amp;ClassTree!$L$2)*N122))/COUNTIF(Data!$M$2:$M$301,"Train")</f>
        <v>0.42412576949177128</v>
      </c>
      <c r="P122">
        <f>IF(AND(COUNTIFS(Data!$M$2:$M$301,"Train",Data!$B$2:$B$301,"&lt;="&amp;L122)&gt;0,COUNTIFS(Data!$M$2:$M$301,"Train",Data!$B$2:$B$301,"&gt;"&amp;L122)&gt;0),O122,1E+99)</f>
        <v>0.42412576949177128</v>
      </c>
    </row>
    <row r="123" spans="12:16" x14ac:dyDescent="0.2">
      <c r="L123">
        <f>Data!B123</f>
        <v>2009</v>
      </c>
      <c r="M123">
        <f>IF(COUNTIFS(Data!$M$2:$M$301,"Train",Data!$C$2:$C$301,"&lt;="&amp;ClassTree!$L$2,Data!$B$2:$B$301,"&lt;="&amp;L123)=0,0,1-(SUMIFS(Data!$L$2:$L$301,Data!$M$2:$M$301,"Train",Data!$C$2:$C$301,"&lt;="&amp;ClassTree!$L$2,Data!$B$2:$B$301,"&lt;="&amp;L123)/COUNTIFS(Data!$M$2:$M$301,"Train",Data!$C$2:$C$301,"&lt;="&amp;ClassTree!$L$2,Data!$B$2:$B$301,"&lt;="&amp;L123))^2-(1-SUMIFS(Data!$L$2:$L$301,Data!$M$2:$M$301,"Train",Data!$C$2:$C$301,"&lt;="&amp;ClassTree!$L$2,Data!$B$2:$B$301,"&lt;="&amp;L123)/COUNTIFS(Data!$M$2:$M$301,"Train",Data!$C$2:$C$301,"&lt;="&amp;ClassTree!$L$2,Data!$B$2:$B$301,"&lt;="&amp;L123))^2)</f>
        <v>8.6776859504132053E-2</v>
      </c>
      <c r="N123">
        <f>IF(COUNTIFS(Data!$M$2:$M$301,"Train",Data!$C$2:$C$301,"&gt;"&amp;ClassTree!$L$2,Data!$B$2:$B$301,"&gt;"&amp;L123)=0,0,1-(SUMIFS(Data!$L$2:$L$301,Data!$M$2:$M$301,"Train",Data!$C$2:$C$301,"&gt;"&amp;ClassTree!$L$2,Data!$B$2:$B$301,"&gt;"&amp;L123)/COUNTIFS(Data!$M$2:$M$301,"Train",Data!$C$2:$C$301,"&gt;"&amp;ClassTree!$L$2,Data!$B$2:$B$301,"&gt;"&amp;L123))^2-(1-SUMIFS(Data!$L$2:$L$301,Data!$M$2:$M$301,"Train",Data!$C$2:$C$301,"&gt;"&amp;ClassTree!$L$2,Data!$B$2:$B$301,"&gt;"&amp;L123)/COUNTIFS(Data!$M$2:$M$301,"Train",Data!$C$2:$C$301,"&gt;"&amp;ClassTree!$L$2,Data!$B$2:$B$301,"&gt;"&amp;L123))^2)</f>
        <v>0</v>
      </c>
      <c r="O123">
        <f>((COUNTIFS(Data!$M$2:$M$301,"Train",Data!$C$2:$C$301,"&lt;="&amp;ClassTree!$L$2)*M123)+(COUNTIFS(Data!$M$2:$M$301,"Train",Data!$C$2:$C$301,"&gt;"&amp;ClassTree!$L$2)*N123))/COUNTIF(Data!$M$2:$M$301,"Train")</f>
        <v>9.0909090909090731E-3</v>
      </c>
      <c r="P123">
        <f>IF(AND(COUNTIFS(Data!$M$2:$M$301,"Train",Data!$B$2:$B$301,"&lt;="&amp;L123)&gt;0,COUNTIFS(Data!$M$2:$M$301,"Train",Data!$B$2:$B$301,"&gt;"&amp;L123)&gt;0),O123,1E+99)</f>
        <v>9.9999999999999997E+98</v>
      </c>
    </row>
    <row r="124" spans="12:16" x14ac:dyDescent="0.2">
      <c r="L124">
        <f>Data!B124</f>
        <v>2006</v>
      </c>
      <c r="M124">
        <f>IF(COUNTIFS(Data!$M$2:$M$301,"Train",Data!$C$2:$C$301,"&lt;="&amp;ClassTree!$L$2,Data!$B$2:$B$301,"&lt;="&amp;L124)=0,0,1-(SUMIFS(Data!$L$2:$L$301,Data!$M$2:$M$301,"Train",Data!$C$2:$C$301,"&lt;="&amp;ClassTree!$L$2,Data!$B$2:$B$301,"&lt;="&amp;L124)/COUNTIFS(Data!$M$2:$M$301,"Train",Data!$C$2:$C$301,"&lt;="&amp;ClassTree!$L$2,Data!$B$2:$B$301,"&lt;="&amp;L124))^2-(1-SUMIFS(Data!$L$2:$L$301,Data!$M$2:$M$301,"Train",Data!$C$2:$C$301,"&lt;="&amp;ClassTree!$L$2,Data!$B$2:$B$301,"&lt;="&amp;L124)/COUNTIFS(Data!$M$2:$M$301,"Train",Data!$C$2:$C$301,"&lt;="&amp;ClassTree!$L$2,Data!$B$2:$B$301,"&lt;="&amp;L124))^2)</f>
        <v>9.9722991689750629E-2</v>
      </c>
      <c r="N124">
        <f>IF(COUNTIFS(Data!$M$2:$M$301,"Train",Data!$C$2:$C$301,"&gt;"&amp;ClassTree!$L$2,Data!$B$2:$B$301,"&gt;"&amp;L124)=0,0,1-(SUMIFS(Data!$L$2:$L$301,Data!$M$2:$M$301,"Train",Data!$C$2:$C$301,"&gt;"&amp;ClassTree!$L$2,Data!$B$2:$B$301,"&gt;"&amp;L124)/COUNTIFS(Data!$M$2:$M$301,"Train",Data!$C$2:$C$301,"&gt;"&amp;ClassTree!$L$2,Data!$B$2:$B$301,"&gt;"&amp;L124))^2-(1-SUMIFS(Data!$L$2:$L$301,Data!$M$2:$M$301,"Train",Data!$C$2:$C$301,"&gt;"&amp;ClassTree!$L$2,Data!$B$2:$B$301,"&gt;"&amp;L124)/COUNTIFS(Data!$M$2:$M$301,"Train",Data!$C$2:$C$301,"&gt;"&amp;ClassTree!$L$2,Data!$B$2:$B$301,"&gt;"&amp;L124))^2)</f>
        <v>0.46208779668136946</v>
      </c>
      <c r="O124">
        <f>((COUNTIFS(Data!$M$2:$M$301,"Train",Data!$C$2:$C$301,"&lt;="&amp;ClassTree!$L$2)*M124)+(COUNTIFS(Data!$M$2:$M$301,"Train",Data!$C$2:$C$301,"&gt;"&amp;ClassTree!$L$2)*N124))/COUNTIF(Data!$M$2:$M$301,"Train")</f>
        <v>0.42412576949177128</v>
      </c>
      <c r="P124">
        <f>IF(AND(COUNTIFS(Data!$M$2:$M$301,"Train",Data!$B$2:$B$301,"&lt;="&amp;L124)&gt;0,COUNTIFS(Data!$M$2:$M$301,"Train",Data!$B$2:$B$301,"&gt;"&amp;L124)&gt;0),O124,1E+99)</f>
        <v>0.42412576949177128</v>
      </c>
    </row>
    <row r="125" spans="12:16" x14ac:dyDescent="0.2">
      <c r="L125">
        <f>Data!B125</f>
        <v>2008</v>
      </c>
      <c r="M125">
        <f>IF(COUNTIFS(Data!$M$2:$M$301,"Train",Data!$C$2:$C$301,"&lt;="&amp;ClassTree!$L$2,Data!$B$2:$B$301,"&lt;="&amp;L125)=0,0,1-(SUMIFS(Data!$L$2:$L$301,Data!$M$2:$M$301,"Train",Data!$C$2:$C$301,"&lt;="&amp;ClassTree!$L$2,Data!$B$2:$B$301,"&lt;="&amp;L125)/COUNTIFS(Data!$M$2:$M$301,"Train",Data!$C$2:$C$301,"&lt;="&amp;ClassTree!$L$2,Data!$B$2:$B$301,"&lt;="&amp;L125))^2-(1-SUMIFS(Data!$L$2:$L$301,Data!$M$2:$M$301,"Train",Data!$C$2:$C$301,"&lt;="&amp;ClassTree!$L$2,Data!$B$2:$B$301,"&lt;="&amp;L125)/COUNTIFS(Data!$M$2:$M$301,"Train",Data!$C$2:$C$301,"&lt;="&amp;ClassTree!$L$2,Data!$B$2:$B$301,"&lt;="&amp;L125))^2)</f>
        <v>8.6776859504132053E-2</v>
      </c>
      <c r="N125">
        <f>IF(COUNTIFS(Data!$M$2:$M$301,"Train",Data!$C$2:$C$301,"&gt;"&amp;ClassTree!$L$2,Data!$B$2:$B$301,"&gt;"&amp;L125)=0,0,1-(SUMIFS(Data!$L$2:$L$301,Data!$M$2:$M$301,"Train",Data!$C$2:$C$301,"&gt;"&amp;ClassTree!$L$2,Data!$B$2:$B$301,"&gt;"&amp;L125)/COUNTIFS(Data!$M$2:$M$301,"Train",Data!$C$2:$C$301,"&gt;"&amp;ClassTree!$L$2,Data!$B$2:$B$301,"&gt;"&amp;L125))^2-(1-SUMIFS(Data!$L$2:$L$301,Data!$M$2:$M$301,"Train",Data!$C$2:$C$301,"&gt;"&amp;ClassTree!$L$2,Data!$B$2:$B$301,"&gt;"&amp;L125)/COUNTIFS(Data!$M$2:$M$301,"Train",Data!$C$2:$C$301,"&gt;"&amp;ClassTree!$L$2,Data!$B$2:$B$301,"&gt;"&amp;L125))^2)</f>
        <v>0.47337278106508873</v>
      </c>
      <c r="O125">
        <f>((COUNTIFS(Data!$M$2:$M$301,"Train",Data!$C$2:$C$301,"&lt;="&amp;ClassTree!$L$2)*M125)+(COUNTIFS(Data!$M$2:$M$301,"Train",Data!$C$2:$C$301,"&gt;"&amp;ClassTree!$L$2)*N125))/COUNTIF(Data!$M$2:$M$301,"Train")</f>
        <v>0.432872255949179</v>
      </c>
      <c r="P125">
        <f>IF(AND(COUNTIFS(Data!$M$2:$M$301,"Train",Data!$B$2:$B$301,"&lt;="&amp;L125)&gt;0,COUNTIFS(Data!$M$2:$M$301,"Train",Data!$B$2:$B$301,"&gt;"&amp;L125)&gt;0),O125,1E+99)</f>
        <v>0.432872255949179</v>
      </c>
    </row>
    <row r="126" spans="12:16" x14ac:dyDescent="0.2">
      <c r="L126">
        <f>Data!B126</f>
        <v>2009</v>
      </c>
      <c r="M126">
        <f>IF(COUNTIFS(Data!$M$2:$M$301,"Train",Data!$C$2:$C$301,"&lt;="&amp;ClassTree!$L$2,Data!$B$2:$B$301,"&lt;="&amp;L126)=0,0,1-(SUMIFS(Data!$L$2:$L$301,Data!$M$2:$M$301,"Train",Data!$C$2:$C$301,"&lt;="&amp;ClassTree!$L$2,Data!$B$2:$B$301,"&lt;="&amp;L126)/COUNTIFS(Data!$M$2:$M$301,"Train",Data!$C$2:$C$301,"&lt;="&amp;ClassTree!$L$2,Data!$B$2:$B$301,"&lt;="&amp;L126))^2-(1-SUMIFS(Data!$L$2:$L$301,Data!$M$2:$M$301,"Train",Data!$C$2:$C$301,"&lt;="&amp;ClassTree!$L$2,Data!$B$2:$B$301,"&lt;="&amp;L126)/COUNTIFS(Data!$M$2:$M$301,"Train",Data!$C$2:$C$301,"&lt;="&amp;ClassTree!$L$2,Data!$B$2:$B$301,"&lt;="&amp;L126))^2)</f>
        <v>8.6776859504132053E-2</v>
      </c>
      <c r="N126">
        <f>IF(COUNTIFS(Data!$M$2:$M$301,"Train",Data!$C$2:$C$301,"&gt;"&amp;ClassTree!$L$2,Data!$B$2:$B$301,"&gt;"&amp;L126)=0,0,1-(SUMIFS(Data!$L$2:$L$301,Data!$M$2:$M$301,"Train",Data!$C$2:$C$301,"&gt;"&amp;ClassTree!$L$2,Data!$B$2:$B$301,"&gt;"&amp;L126)/COUNTIFS(Data!$M$2:$M$301,"Train",Data!$C$2:$C$301,"&gt;"&amp;ClassTree!$L$2,Data!$B$2:$B$301,"&gt;"&amp;L126))^2-(1-SUMIFS(Data!$L$2:$L$301,Data!$M$2:$M$301,"Train",Data!$C$2:$C$301,"&gt;"&amp;ClassTree!$L$2,Data!$B$2:$B$301,"&gt;"&amp;L126)/COUNTIFS(Data!$M$2:$M$301,"Train",Data!$C$2:$C$301,"&gt;"&amp;ClassTree!$L$2,Data!$B$2:$B$301,"&gt;"&amp;L126))^2)</f>
        <v>0</v>
      </c>
      <c r="O126">
        <f>((COUNTIFS(Data!$M$2:$M$301,"Train",Data!$C$2:$C$301,"&lt;="&amp;ClassTree!$L$2)*M126)+(COUNTIFS(Data!$M$2:$M$301,"Train",Data!$C$2:$C$301,"&gt;"&amp;ClassTree!$L$2)*N126))/COUNTIF(Data!$M$2:$M$301,"Train")</f>
        <v>9.0909090909090731E-3</v>
      </c>
      <c r="P126">
        <f>IF(AND(COUNTIFS(Data!$M$2:$M$301,"Train",Data!$B$2:$B$301,"&lt;="&amp;L126)&gt;0,COUNTIFS(Data!$M$2:$M$301,"Train",Data!$B$2:$B$301,"&gt;"&amp;L126)&gt;0),O126,1E+99)</f>
        <v>9.9999999999999997E+98</v>
      </c>
    </row>
    <row r="127" spans="12:16" x14ac:dyDescent="0.2">
      <c r="L127">
        <f>Data!B127</f>
        <v>2005</v>
      </c>
      <c r="M127">
        <f>IF(COUNTIFS(Data!$M$2:$M$301,"Train",Data!$C$2:$C$301,"&lt;="&amp;ClassTree!$L$2,Data!$B$2:$B$301,"&lt;="&amp;L127)=0,0,1-(SUMIFS(Data!$L$2:$L$301,Data!$M$2:$M$301,"Train",Data!$C$2:$C$301,"&lt;="&amp;ClassTree!$L$2,Data!$B$2:$B$301,"&lt;="&amp;L127)/COUNTIFS(Data!$M$2:$M$301,"Train",Data!$C$2:$C$301,"&lt;="&amp;ClassTree!$L$2,Data!$B$2:$B$301,"&lt;="&amp;L127))^2-(1-SUMIFS(Data!$L$2:$L$301,Data!$M$2:$M$301,"Train",Data!$C$2:$C$301,"&lt;="&amp;ClassTree!$L$2,Data!$B$2:$B$301,"&lt;="&amp;L127)/COUNTIFS(Data!$M$2:$M$301,"Train",Data!$C$2:$C$301,"&lt;="&amp;ClassTree!$L$2,Data!$B$2:$B$301,"&lt;="&amp;L127))^2)</f>
        <v>0.1527777777777779</v>
      </c>
      <c r="N127">
        <f>IF(COUNTIFS(Data!$M$2:$M$301,"Train",Data!$C$2:$C$301,"&gt;"&amp;ClassTree!$L$2,Data!$B$2:$B$301,"&gt;"&amp;L127)=0,0,1-(SUMIFS(Data!$L$2:$L$301,Data!$M$2:$M$301,"Train",Data!$C$2:$C$301,"&gt;"&amp;ClassTree!$L$2,Data!$B$2:$B$301,"&gt;"&amp;L127)/COUNTIFS(Data!$M$2:$M$301,"Train",Data!$C$2:$C$301,"&gt;"&amp;ClassTree!$L$2,Data!$B$2:$B$301,"&gt;"&amp;L127))^2-(1-SUMIFS(Data!$L$2:$L$301,Data!$M$2:$M$301,"Train",Data!$C$2:$C$301,"&gt;"&amp;ClassTree!$L$2,Data!$B$2:$B$301,"&gt;"&amp;L127)/COUNTIFS(Data!$M$2:$M$301,"Train",Data!$C$2:$C$301,"&gt;"&amp;ClassTree!$L$2,Data!$B$2:$B$301,"&gt;"&amp;L127))^2)</f>
        <v>0.45877855112243893</v>
      </c>
      <c r="O127">
        <f>((COUNTIFS(Data!$M$2:$M$301,"Train",Data!$C$2:$C$301,"&lt;="&amp;ClassTree!$L$2)*M127)+(COUNTIFS(Data!$M$2:$M$301,"Train",Data!$C$2:$C$301,"&gt;"&amp;ClassTree!$L$2)*N127))/COUNTIF(Data!$M$2:$M$301,"Train")</f>
        <v>0.42672132724823636</v>
      </c>
      <c r="P127">
        <f>IF(AND(COUNTIFS(Data!$M$2:$M$301,"Train",Data!$B$2:$B$301,"&lt;="&amp;L127)&gt;0,COUNTIFS(Data!$M$2:$M$301,"Train",Data!$B$2:$B$301,"&gt;"&amp;L127)&gt;0),O127,1E+99)</f>
        <v>0.42672132724823636</v>
      </c>
    </row>
    <row r="128" spans="12:16" x14ac:dyDescent="0.2">
      <c r="L128">
        <f>Data!B128</f>
        <v>2004</v>
      </c>
      <c r="M128">
        <f>IF(COUNTIFS(Data!$M$2:$M$301,"Train",Data!$C$2:$C$301,"&lt;="&amp;ClassTree!$L$2,Data!$B$2:$B$301,"&lt;="&amp;L128)=0,0,1-(SUMIFS(Data!$L$2:$L$301,Data!$M$2:$M$301,"Train",Data!$C$2:$C$301,"&lt;="&amp;ClassTree!$L$2,Data!$B$2:$B$301,"&lt;="&amp;L128)/COUNTIFS(Data!$M$2:$M$301,"Train",Data!$C$2:$C$301,"&lt;="&amp;ClassTree!$L$2,Data!$B$2:$B$301,"&lt;="&amp;L128))^2-(1-SUMIFS(Data!$L$2:$L$301,Data!$M$2:$M$301,"Train",Data!$C$2:$C$301,"&lt;="&amp;ClassTree!$L$2,Data!$B$2:$B$301,"&lt;="&amp;L128)/COUNTIFS(Data!$M$2:$M$301,"Train",Data!$C$2:$C$301,"&lt;="&amp;ClassTree!$L$2,Data!$B$2:$B$301,"&lt;="&amp;L128))^2)</f>
        <v>0.17999999999999994</v>
      </c>
      <c r="N128">
        <f>IF(COUNTIFS(Data!$M$2:$M$301,"Train",Data!$C$2:$C$301,"&gt;"&amp;ClassTree!$L$2,Data!$B$2:$B$301,"&gt;"&amp;L128)=0,0,1-(SUMIFS(Data!$L$2:$L$301,Data!$M$2:$M$301,"Train",Data!$C$2:$C$301,"&gt;"&amp;ClassTree!$L$2,Data!$B$2:$B$301,"&gt;"&amp;L128)/COUNTIFS(Data!$M$2:$M$301,"Train",Data!$C$2:$C$301,"&gt;"&amp;ClassTree!$L$2,Data!$B$2:$B$301,"&gt;"&amp;L128))^2-(1-SUMIFS(Data!$L$2:$L$301,Data!$M$2:$M$301,"Train",Data!$C$2:$C$301,"&gt;"&amp;ClassTree!$L$2,Data!$B$2:$B$301,"&gt;"&amp;L128)/COUNTIFS(Data!$M$2:$M$301,"Train",Data!$C$2:$C$301,"&gt;"&amp;ClassTree!$L$2,Data!$B$2:$B$301,"&gt;"&amp;L128))^2)</f>
        <v>0.46924800000000005</v>
      </c>
      <c r="O128">
        <f>((COUNTIFS(Data!$M$2:$M$301,"Train",Data!$C$2:$C$301,"&lt;="&amp;ClassTree!$L$2)*M128)+(COUNTIFS(Data!$M$2:$M$301,"Train",Data!$C$2:$C$301,"&gt;"&amp;ClassTree!$L$2)*N128))/COUNTIF(Data!$M$2:$M$301,"Train")</f>
        <v>0.43894582857142855</v>
      </c>
      <c r="P128">
        <f>IF(AND(COUNTIFS(Data!$M$2:$M$301,"Train",Data!$B$2:$B$301,"&lt;="&amp;L128)&gt;0,COUNTIFS(Data!$M$2:$M$301,"Train",Data!$B$2:$B$301,"&gt;"&amp;L128)&gt;0),O128,1E+99)</f>
        <v>0.43894582857142855</v>
      </c>
    </row>
    <row r="129" spans="12:16" x14ac:dyDescent="0.2">
      <c r="L129">
        <f>Data!B129</f>
        <v>2004</v>
      </c>
      <c r="M129">
        <f>IF(COUNTIFS(Data!$M$2:$M$301,"Train",Data!$C$2:$C$301,"&lt;="&amp;ClassTree!$L$2,Data!$B$2:$B$301,"&lt;="&amp;L129)=0,0,1-(SUMIFS(Data!$L$2:$L$301,Data!$M$2:$M$301,"Train",Data!$C$2:$C$301,"&lt;="&amp;ClassTree!$L$2,Data!$B$2:$B$301,"&lt;="&amp;L129)/COUNTIFS(Data!$M$2:$M$301,"Train",Data!$C$2:$C$301,"&lt;="&amp;ClassTree!$L$2,Data!$B$2:$B$301,"&lt;="&amp;L129))^2-(1-SUMIFS(Data!$L$2:$L$301,Data!$M$2:$M$301,"Train",Data!$C$2:$C$301,"&lt;="&amp;ClassTree!$L$2,Data!$B$2:$B$301,"&lt;="&amp;L129)/COUNTIFS(Data!$M$2:$M$301,"Train",Data!$C$2:$C$301,"&lt;="&amp;ClassTree!$L$2,Data!$B$2:$B$301,"&lt;="&amp;L129))^2)</f>
        <v>0.17999999999999994</v>
      </c>
      <c r="N129">
        <f>IF(COUNTIFS(Data!$M$2:$M$301,"Train",Data!$C$2:$C$301,"&gt;"&amp;ClassTree!$L$2,Data!$B$2:$B$301,"&gt;"&amp;L129)=0,0,1-(SUMIFS(Data!$L$2:$L$301,Data!$M$2:$M$301,"Train",Data!$C$2:$C$301,"&gt;"&amp;ClassTree!$L$2,Data!$B$2:$B$301,"&gt;"&amp;L129)/COUNTIFS(Data!$M$2:$M$301,"Train",Data!$C$2:$C$301,"&gt;"&amp;ClassTree!$L$2,Data!$B$2:$B$301,"&gt;"&amp;L129))^2-(1-SUMIFS(Data!$L$2:$L$301,Data!$M$2:$M$301,"Train",Data!$C$2:$C$301,"&gt;"&amp;ClassTree!$L$2,Data!$B$2:$B$301,"&gt;"&amp;L129)/COUNTIFS(Data!$M$2:$M$301,"Train",Data!$C$2:$C$301,"&gt;"&amp;ClassTree!$L$2,Data!$B$2:$B$301,"&gt;"&amp;L129))^2)</f>
        <v>0.46924800000000005</v>
      </c>
      <c r="O129">
        <f>((COUNTIFS(Data!$M$2:$M$301,"Train",Data!$C$2:$C$301,"&lt;="&amp;ClassTree!$L$2)*M129)+(COUNTIFS(Data!$M$2:$M$301,"Train",Data!$C$2:$C$301,"&gt;"&amp;ClassTree!$L$2)*N129))/COUNTIF(Data!$M$2:$M$301,"Train")</f>
        <v>0.43894582857142855</v>
      </c>
      <c r="P129">
        <f>IF(AND(COUNTIFS(Data!$M$2:$M$301,"Train",Data!$B$2:$B$301,"&lt;="&amp;L129)&gt;0,COUNTIFS(Data!$M$2:$M$301,"Train",Data!$B$2:$B$301,"&gt;"&amp;L129)&gt;0),O129,1E+99)</f>
        <v>0.43894582857142855</v>
      </c>
    </row>
    <row r="130" spans="12:16" x14ac:dyDescent="0.2">
      <c r="L130">
        <f>Data!B130</f>
        <v>2009</v>
      </c>
      <c r="M130">
        <f>IF(COUNTIFS(Data!$M$2:$M$301,"Train",Data!$C$2:$C$301,"&lt;="&amp;ClassTree!$L$2,Data!$B$2:$B$301,"&lt;="&amp;L130)=0,0,1-(SUMIFS(Data!$L$2:$L$301,Data!$M$2:$M$301,"Train",Data!$C$2:$C$301,"&lt;="&amp;ClassTree!$L$2,Data!$B$2:$B$301,"&lt;="&amp;L130)/COUNTIFS(Data!$M$2:$M$301,"Train",Data!$C$2:$C$301,"&lt;="&amp;ClassTree!$L$2,Data!$B$2:$B$301,"&lt;="&amp;L130))^2-(1-SUMIFS(Data!$L$2:$L$301,Data!$M$2:$M$301,"Train",Data!$C$2:$C$301,"&lt;="&amp;ClassTree!$L$2,Data!$B$2:$B$301,"&lt;="&amp;L130)/COUNTIFS(Data!$M$2:$M$301,"Train",Data!$C$2:$C$301,"&lt;="&amp;ClassTree!$L$2,Data!$B$2:$B$301,"&lt;="&amp;L130))^2)</f>
        <v>8.6776859504132053E-2</v>
      </c>
      <c r="N130">
        <f>IF(COUNTIFS(Data!$M$2:$M$301,"Train",Data!$C$2:$C$301,"&gt;"&amp;ClassTree!$L$2,Data!$B$2:$B$301,"&gt;"&amp;L130)=0,0,1-(SUMIFS(Data!$L$2:$L$301,Data!$M$2:$M$301,"Train",Data!$C$2:$C$301,"&gt;"&amp;ClassTree!$L$2,Data!$B$2:$B$301,"&gt;"&amp;L130)/COUNTIFS(Data!$M$2:$M$301,"Train",Data!$C$2:$C$301,"&gt;"&amp;ClassTree!$L$2,Data!$B$2:$B$301,"&gt;"&amp;L130))^2-(1-SUMIFS(Data!$L$2:$L$301,Data!$M$2:$M$301,"Train",Data!$C$2:$C$301,"&gt;"&amp;ClassTree!$L$2,Data!$B$2:$B$301,"&gt;"&amp;L130)/COUNTIFS(Data!$M$2:$M$301,"Train",Data!$C$2:$C$301,"&gt;"&amp;ClassTree!$L$2,Data!$B$2:$B$301,"&gt;"&amp;L130))^2)</f>
        <v>0</v>
      </c>
      <c r="O130">
        <f>((COUNTIFS(Data!$M$2:$M$301,"Train",Data!$C$2:$C$301,"&lt;="&amp;ClassTree!$L$2)*M130)+(COUNTIFS(Data!$M$2:$M$301,"Train",Data!$C$2:$C$301,"&gt;"&amp;ClassTree!$L$2)*N130))/COUNTIF(Data!$M$2:$M$301,"Train")</f>
        <v>9.0909090909090731E-3</v>
      </c>
      <c r="P130">
        <f>IF(AND(COUNTIFS(Data!$M$2:$M$301,"Train",Data!$B$2:$B$301,"&lt;="&amp;L130)&gt;0,COUNTIFS(Data!$M$2:$M$301,"Train",Data!$B$2:$B$301,"&gt;"&amp;L130)&gt;0),O130,1E+99)</f>
        <v>9.9999999999999997E+98</v>
      </c>
    </row>
    <row r="131" spans="12:16" x14ac:dyDescent="0.2">
      <c r="L131">
        <f>Data!B131</f>
        <v>2003</v>
      </c>
      <c r="M131">
        <f>IF(COUNTIFS(Data!$M$2:$M$301,"Train",Data!$C$2:$C$301,"&lt;="&amp;ClassTree!$L$2,Data!$B$2:$B$301,"&lt;="&amp;L131)=0,0,1-(SUMIFS(Data!$L$2:$L$301,Data!$M$2:$M$301,"Train",Data!$C$2:$C$301,"&lt;="&amp;ClassTree!$L$2,Data!$B$2:$B$301,"&lt;="&amp;L131)/COUNTIFS(Data!$M$2:$M$301,"Train",Data!$C$2:$C$301,"&lt;="&amp;ClassTree!$L$2,Data!$B$2:$B$301,"&lt;="&amp;L131))^2-(1-SUMIFS(Data!$L$2:$L$301,Data!$M$2:$M$301,"Train",Data!$C$2:$C$301,"&lt;="&amp;ClassTree!$L$2,Data!$B$2:$B$301,"&lt;="&amp;L131)/COUNTIFS(Data!$M$2:$M$301,"Train",Data!$C$2:$C$301,"&lt;="&amp;ClassTree!$L$2,Data!$B$2:$B$301,"&lt;="&amp;L131))^2)</f>
        <v>0</v>
      </c>
      <c r="N131">
        <f>IF(COUNTIFS(Data!$M$2:$M$301,"Train",Data!$C$2:$C$301,"&gt;"&amp;ClassTree!$L$2,Data!$B$2:$B$301,"&gt;"&amp;L131)=0,0,1-(SUMIFS(Data!$L$2:$L$301,Data!$M$2:$M$301,"Train",Data!$C$2:$C$301,"&gt;"&amp;ClassTree!$L$2,Data!$B$2:$B$301,"&gt;"&amp;L131)/COUNTIFS(Data!$M$2:$M$301,"Train",Data!$C$2:$C$301,"&gt;"&amp;ClassTree!$L$2,Data!$B$2:$B$301,"&gt;"&amp;L131))^2-(1-SUMIFS(Data!$L$2:$L$301,Data!$M$2:$M$301,"Train",Data!$C$2:$C$301,"&gt;"&amp;ClassTree!$L$2,Data!$B$2:$B$301,"&gt;"&amp;L131)/COUNTIFS(Data!$M$2:$M$301,"Train",Data!$C$2:$C$301,"&gt;"&amp;ClassTree!$L$2,Data!$B$2:$B$301,"&gt;"&amp;L131))^2)</f>
        <v>0.48347107438016523</v>
      </c>
      <c r="O131">
        <f>((COUNTIFS(Data!$M$2:$M$301,"Train",Data!$C$2:$C$301,"&lt;="&amp;ClassTree!$L$2)*M131)+(COUNTIFS(Data!$M$2:$M$301,"Train",Data!$C$2:$C$301,"&gt;"&amp;ClassTree!$L$2)*N131))/COUNTIF(Data!$M$2:$M$301,"Train")</f>
        <v>0.43282172373081462</v>
      </c>
      <c r="P131">
        <f>IF(AND(COUNTIFS(Data!$M$2:$M$301,"Train",Data!$B$2:$B$301,"&lt;="&amp;L131)&gt;0,COUNTIFS(Data!$M$2:$M$301,"Train",Data!$B$2:$B$301,"&gt;"&amp;L131)&gt;0),O131,1E+99)</f>
        <v>0.43282172373081462</v>
      </c>
    </row>
    <row r="132" spans="12:16" x14ac:dyDescent="0.2">
      <c r="L132">
        <f>Data!B132</f>
        <v>2007</v>
      </c>
      <c r="M132">
        <f>IF(COUNTIFS(Data!$M$2:$M$301,"Train",Data!$C$2:$C$301,"&lt;="&amp;ClassTree!$L$2,Data!$B$2:$B$301,"&lt;="&amp;L132)=0,0,1-(SUMIFS(Data!$L$2:$L$301,Data!$M$2:$M$301,"Train",Data!$C$2:$C$301,"&lt;="&amp;ClassTree!$L$2,Data!$B$2:$B$301,"&lt;="&amp;L132)/COUNTIFS(Data!$M$2:$M$301,"Train",Data!$C$2:$C$301,"&lt;="&amp;ClassTree!$L$2,Data!$B$2:$B$301,"&lt;="&amp;L132))^2-(1-SUMIFS(Data!$L$2:$L$301,Data!$M$2:$M$301,"Train",Data!$C$2:$C$301,"&lt;="&amp;ClassTree!$L$2,Data!$B$2:$B$301,"&lt;="&amp;L132)/COUNTIFS(Data!$M$2:$M$301,"Train",Data!$C$2:$C$301,"&lt;="&amp;ClassTree!$L$2,Data!$B$2:$B$301,"&lt;="&amp;L132))^2)</f>
        <v>9.0702947845805015E-2</v>
      </c>
      <c r="N132">
        <f>IF(COUNTIFS(Data!$M$2:$M$301,"Train",Data!$C$2:$C$301,"&gt;"&amp;ClassTree!$L$2,Data!$B$2:$B$301,"&gt;"&amp;L132)=0,0,1-(SUMIFS(Data!$L$2:$L$301,Data!$M$2:$M$301,"Train",Data!$C$2:$C$301,"&gt;"&amp;ClassTree!$L$2,Data!$B$2:$B$301,"&gt;"&amp;L132)/COUNTIFS(Data!$M$2:$M$301,"Train",Data!$C$2:$C$301,"&gt;"&amp;ClassTree!$L$2,Data!$B$2:$B$301,"&gt;"&amp;L132))^2-(1-SUMIFS(Data!$L$2:$L$301,Data!$M$2:$M$301,"Train",Data!$C$2:$C$301,"&gt;"&amp;ClassTree!$L$2,Data!$B$2:$B$301,"&gt;"&amp;L132)/COUNTIFS(Data!$M$2:$M$301,"Train",Data!$C$2:$C$301,"&gt;"&amp;ClassTree!$L$2,Data!$B$2:$B$301,"&gt;"&amp;L132))^2)</f>
        <v>0.46480633069554356</v>
      </c>
      <c r="O132">
        <f>((COUNTIFS(Data!$M$2:$M$301,"Train",Data!$C$2:$C$301,"&lt;="&amp;ClassTree!$L$2)*M132)+(COUNTIFS(Data!$M$2:$M$301,"Train",Data!$C$2:$C$301,"&gt;"&amp;ClassTree!$L$2)*N132))/COUNTIF(Data!$M$2:$M$301,"Train")</f>
        <v>0.42561454773033286</v>
      </c>
      <c r="P132">
        <f>IF(AND(COUNTIFS(Data!$M$2:$M$301,"Train",Data!$B$2:$B$301,"&lt;="&amp;L132)&gt;0,COUNTIFS(Data!$M$2:$M$301,"Train",Data!$B$2:$B$301,"&gt;"&amp;L132)&gt;0),O132,1E+99)</f>
        <v>0.42561454773033286</v>
      </c>
    </row>
    <row r="133" spans="12:16" x14ac:dyDescent="0.2">
      <c r="L133">
        <f>Data!B133</f>
        <v>2008</v>
      </c>
      <c r="M133">
        <f>IF(COUNTIFS(Data!$M$2:$M$301,"Train",Data!$C$2:$C$301,"&lt;="&amp;ClassTree!$L$2,Data!$B$2:$B$301,"&lt;="&amp;L133)=0,0,1-(SUMIFS(Data!$L$2:$L$301,Data!$M$2:$M$301,"Train",Data!$C$2:$C$301,"&lt;="&amp;ClassTree!$L$2,Data!$B$2:$B$301,"&lt;="&amp;L133)/COUNTIFS(Data!$M$2:$M$301,"Train",Data!$C$2:$C$301,"&lt;="&amp;ClassTree!$L$2,Data!$B$2:$B$301,"&lt;="&amp;L133))^2-(1-SUMIFS(Data!$L$2:$L$301,Data!$M$2:$M$301,"Train",Data!$C$2:$C$301,"&lt;="&amp;ClassTree!$L$2,Data!$B$2:$B$301,"&lt;="&amp;L133)/COUNTIFS(Data!$M$2:$M$301,"Train",Data!$C$2:$C$301,"&lt;="&amp;ClassTree!$L$2,Data!$B$2:$B$301,"&lt;="&amp;L133))^2)</f>
        <v>8.6776859504132053E-2</v>
      </c>
      <c r="N133">
        <f>IF(COUNTIFS(Data!$M$2:$M$301,"Train",Data!$C$2:$C$301,"&gt;"&amp;ClassTree!$L$2,Data!$B$2:$B$301,"&gt;"&amp;L133)=0,0,1-(SUMIFS(Data!$L$2:$L$301,Data!$M$2:$M$301,"Train",Data!$C$2:$C$301,"&gt;"&amp;ClassTree!$L$2,Data!$B$2:$B$301,"&gt;"&amp;L133)/COUNTIFS(Data!$M$2:$M$301,"Train",Data!$C$2:$C$301,"&gt;"&amp;ClassTree!$L$2,Data!$B$2:$B$301,"&gt;"&amp;L133))^2-(1-SUMIFS(Data!$L$2:$L$301,Data!$M$2:$M$301,"Train",Data!$C$2:$C$301,"&gt;"&amp;ClassTree!$L$2,Data!$B$2:$B$301,"&gt;"&amp;L133)/COUNTIFS(Data!$M$2:$M$301,"Train",Data!$C$2:$C$301,"&gt;"&amp;ClassTree!$L$2,Data!$B$2:$B$301,"&gt;"&amp;L133))^2)</f>
        <v>0.47337278106508873</v>
      </c>
      <c r="O133">
        <f>((COUNTIFS(Data!$M$2:$M$301,"Train",Data!$C$2:$C$301,"&lt;="&amp;ClassTree!$L$2)*M133)+(COUNTIFS(Data!$M$2:$M$301,"Train",Data!$C$2:$C$301,"&gt;"&amp;ClassTree!$L$2)*N133))/COUNTIF(Data!$M$2:$M$301,"Train")</f>
        <v>0.432872255949179</v>
      </c>
      <c r="P133">
        <f>IF(AND(COUNTIFS(Data!$M$2:$M$301,"Train",Data!$B$2:$B$301,"&lt;="&amp;L133)&gt;0,COUNTIFS(Data!$M$2:$M$301,"Train",Data!$B$2:$B$301,"&gt;"&amp;L133)&gt;0),O133,1E+99)</f>
        <v>0.432872255949179</v>
      </c>
    </row>
    <row r="134" spans="12:16" x14ac:dyDescent="0.2">
      <c r="L134">
        <f>Data!B134</f>
        <v>2007</v>
      </c>
      <c r="M134">
        <f>IF(COUNTIFS(Data!$M$2:$M$301,"Train",Data!$C$2:$C$301,"&lt;="&amp;ClassTree!$L$2,Data!$B$2:$B$301,"&lt;="&amp;L134)=0,0,1-(SUMIFS(Data!$L$2:$L$301,Data!$M$2:$M$301,"Train",Data!$C$2:$C$301,"&lt;="&amp;ClassTree!$L$2,Data!$B$2:$B$301,"&lt;="&amp;L134)/COUNTIFS(Data!$M$2:$M$301,"Train",Data!$C$2:$C$301,"&lt;="&amp;ClassTree!$L$2,Data!$B$2:$B$301,"&lt;="&amp;L134))^2-(1-SUMIFS(Data!$L$2:$L$301,Data!$M$2:$M$301,"Train",Data!$C$2:$C$301,"&lt;="&amp;ClassTree!$L$2,Data!$B$2:$B$301,"&lt;="&amp;L134)/COUNTIFS(Data!$M$2:$M$301,"Train",Data!$C$2:$C$301,"&lt;="&amp;ClassTree!$L$2,Data!$B$2:$B$301,"&lt;="&amp;L134))^2)</f>
        <v>9.0702947845805015E-2</v>
      </c>
      <c r="N134">
        <f>IF(COUNTIFS(Data!$M$2:$M$301,"Train",Data!$C$2:$C$301,"&gt;"&amp;ClassTree!$L$2,Data!$B$2:$B$301,"&gt;"&amp;L134)=0,0,1-(SUMIFS(Data!$L$2:$L$301,Data!$M$2:$M$301,"Train",Data!$C$2:$C$301,"&gt;"&amp;ClassTree!$L$2,Data!$B$2:$B$301,"&gt;"&amp;L134)/COUNTIFS(Data!$M$2:$M$301,"Train",Data!$C$2:$C$301,"&gt;"&amp;ClassTree!$L$2,Data!$B$2:$B$301,"&gt;"&amp;L134))^2-(1-SUMIFS(Data!$L$2:$L$301,Data!$M$2:$M$301,"Train",Data!$C$2:$C$301,"&gt;"&amp;ClassTree!$L$2,Data!$B$2:$B$301,"&gt;"&amp;L134)/COUNTIFS(Data!$M$2:$M$301,"Train",Data!$C$2:$C$301,"&gt;"&amp;ClassTree!$L$2,Data!$B$2:$B$301,"&gt;"&amp;L134))^2)</f>
        <v>0.46480633069554356</v>
      </c>
      <c r="O134">
        <f>((COUNTIFS(Data!$M$2:$M$301,"Train",Data!$C$2:$C$301,"&lt;="&amp;ClassTree!$L$2)*M134)+(COUNTIFS(Data!$M$2:$M$301,"Train",Data!$C$2:$C$301,"&gt;"&amp;ClassTree!$L$2)*N134))/COUNTIF(Data!$M$2:$M$301,"Train")</f>
        <v>0.42561454773033286</v>
      </c>
      <c r="P134">
        <f>IF(AND(COUNTIFS(Data!$M$2:$M$301,"Train",Data!$B$2:$B$301,"&lt;="&amp;L134)&gt;0,COUNTIFS(Data!$M$2:$M$301,"Train",Data!$B$2:$B$301,"&gt;"&amp;L134)&gt;0),O134,1E+99)</f>
        <v>0.42561454773033286</v>
      </c>
    </row>
    <row r="135" spans="12:16" x14ac:dyDescent="0.2">
      <c r="L135">
        <f>Data!B135</f>
        <v>2008</v>
      </c>
      <c r="M135">
        <f>IF(COUNTIFS(Data!$M$2:$M$301,"Train",Data!$C$2:$C$301,"&lt;="&amp;ClassTree!$L$2,Data!$B$2:$B$301,"&lt;="&amp;L135)=0,0,1-(SUMIFS(Data!$L$2:$L$301,Data!$M$2:$M$301,"Train",Data!$C$2:$C$301,"&lt;="&amp;ClassTree!$L$2,Data!$B$2:$B$301,"&lt;="&amp;L135)/COUNTIFS(Data!$M$2:$M$301,"Train",Data!$C$2:$C$301,"&lt;="&amp;ClassTree!$L$2,Data!$B$2:$B$301,"&lt;="&amp;L135))^2-(1-SUMIFS(Data!$L$2:$L$301,Data!$M$2:$M$301,"Train",Data!$C$2:$C$301,"&lt;="&amp;ClassTree!$L$2,Data!$B$2:$B$301,"&lt;="&amp;L135)/COUNTIFS(Data!$M$2:$M$301,"Train",Data!$C$2:$C$301,"&lt;="&amp;ClassTree!$L$2,Data!$B$2:$B$301,"&lt;="&amp;L135))^2)</f>
        <v>8.6776859504132053E-2</v>
      </c>
      <c r="N135">
        <f>IF(COUNTIFS(Data!$M$2:$M$301,"Train",Data!$C$2:$C$301,"&gt;"&amp;ClassTree!$L$2,Data!$B$2:$B$301,"&gt;"&amp;L135)=0,0,1-(SUMIFS(Data!$L$2:$L$301,Data!$M$2:$M$301,"Train",Data!$C$2:$C$301,"&gt;"&amp;ClassTree!$L$2,Data!$B$2:$B$301,"&gt;"&amp;L135)/COUNTIFS(Data!$M$2:$M$301,"Train",Data!$C$2:$C$301,"&gt;"&amp;ClassTree!$L$2,Data!$B$2:$B$301,"&gt;"&amp;L135))^2-(1-SUMIFS(Data!$L$2:$L$301,Data!$M$2:$M$301,"Train",Data!$C$2:$C$301,"&gt;"&amp;ClassTree!$L$2,Data!$B$2:$B$301,"&gt;"&amp;L135)/COUNTIFS(Data!$M$2:$M$301,"Train",Data!$C$2:$C$301,"&gt;"&amp;ClassTree!$L$2,Data!$B$2:$B$301,"&gt;"&amp;L135))^2)</f>
        <v>0.47337278106508873</v>
      </c>
      <c r="O135">
        <f>((COUNTIFS(Data!$M$2:$M$301,"Train",Data!$C$2:$C$301,"&lt;="&amp;ClassTree!$L$2)*M135)+(COUNTIFS(Data!$M$2:$M$301,"Train",Data!$C$2:$C$301,"&gt;"&amp;ClassTree!$L$2)*N135))/COUNTIF(Data!$M$2:$M$301,"Train")</f>
        <v>0.432872255949179</v>
      </c>
      <c r="P135">
        <f>IF(AND(COUNTIFS(Data!$M$2:$M$301,"Train",Data!$B$2:$B$301,"&lt;="&amp;L135)&gt;0,COUNTIFS(Data!$M$2:$M$301,"Train",Data!$B$2:$B$301,"&gt;"&amp;L135)&gt;0),O135,1E+99)</f>
        <v>0.432872255949179</v>
      </c>
    </row>
    <row r="136" spans="12:16" x14ac:dyDescent="0.2">
      <c r="L136">
        <f>Data!B136</f>
        <v>2005</v>
      </c>
      <c r="M136">
        <f>IF(COUNTIFS(Data!$M$2:$M$301,"Train",Data!$C$2:$C$301,"&lt;="&amp;ClassTree!$L$2,Data!$B$2:$B$301,"&lt;="&amp;L136)=0,0,1-(SUMIFS(Data!$L$2:$L$301,Data!$M$2:$M$301,"Train",Data!$C$2:$C$301,"&lt;="&amp;ClassTree!$L$2,Data!$B$2:$B$301,"&lt;="&amp;L136)/COUNTIFS(Data!$M$2:$M$301,"Train",Data!$C$2:$C$301,"&lt;="&amp;ClassTree!$L$2,Data!$B$2:$B$301,"&lt;="&amp;L136))^2-(1-SUMIFS(Data!$L$2:$L$301,Data!$M$2:$M$301,"Train",Data!$C$2:$C$301,"&lt;="&amp;ClassTree!$L$2,Data!$B$2:$B$301,"&lt;="&amp;L136)/COUNTIFS(Data!$M$2:$M$301,"Train",Data!$C$2:$C$301,"&lt;="&amp;ClassTree!$L$2,Data!$B$2:$B$301,"&lt;="&amp;L136))^2)</f>
        <v>0.1527777777777779</v>
      </c>
      <c r="N136">
        <f>IF(COUNTIFS(Data!$M$2:$M$301,"Train",Data!$C$2:$C$301,"&gt;"&amp;ClassTree!$L$2,Data!$B$2:$B$301,"&gt;"&amp;L136)=0,0,1-(SUMIFS(Data!$L$2:$L$301,Data!$M$2:$M$301,"Train",Data!$C$2:$C$301,"&gt;"&amp;ClassTree!$L$2,Data!$B$2:$B$301,"&gt;"&amp;L136)/COUNTIFS(Data!$M$2:$M$301,"Train",Data!$C$2:$C$301,"&gt;"&amp;ClassTree!$L$2,Data!$B$2:$B$301,"&gt;"&amp;L136))^2-(1-SUMIFS(Data!$L$2:$L$301,Data!$M$2:$M$301,"Train",Data!$C$2:$C$301,"&gt;"&amp;ClassTree!$L$2,Data!$B$2:$B$301,"&gt;"&amp;L136)/COUNTIFS(Data!$M$2:$M$301,"Train",Data!$C$2:$C$301,"&gt;"&amp;ClassTree!$L$2,Data!$B$2:$B$301,"&gt;"&amp;L136))^2)</f>
        <v>0.45877855112243893</v>
      </c>
      <c r="O136">
        <f>((COUNTIFS(Data!$M$2:$M$301,"Train",Data!$C$2:$C$301,"&lt;="&amp;ClassTree!$L$2)*M136)+(COUNTIFS(Data!$M$2:$M$301,"Train",Data!$C$2:$C$301,"&gt;"&amp;ClassTree!$L$2)*N136))/COUNTIF(Data!$M$2:$M$301,"Train")</f>
        <v>0.42672132724823636</v>
      </c>
      <c r="P136">
        <f>IF(AND(COUNTIFS(Data!$M$2:$M$301,"Train",Data!$B$2:$B$301,"&lt;="&amp;L136)&gt;0,COUNTIFS(Data!$M$2:$M$301,"Train",Data!$B$2:$B$301,"&gt;"&amp;L136)&gt;0),O136,1E+99)</f>
        <v>0.42672132724823636</v>
      </c>
    </row>
    <row r="137" spans="12:16" x14ac:dyDescent="0.2">
      <c r="L137">
        <f>Data!B137</f>
        <v>2004</v>
      </c>
      <c r="M137">
        <f>IF(COUNTIFS(Data!$M$2:$M$301,"Train",Data!$C$2:$C$301,"&lt;="&amp;ClassTree!$L$2,Data!$B$2:$B$301,"&lt;="&amp;L137)=0,0,1-(SUMIFS(Data!$L$2:$L$301,Data!$M$2:$M$301,"Train",Data!$C$2:$C$301,"&lt;="&amp;ClassTree!$L$2,Data!$B$2:$B$301,"&lt;="&amp;L137)/COUNTIFS(Data!$M$2:$M$301,"Train",Data!$C$2:$C$301,"&lt;="&amp;ClassTree!$L$2,Data!$B$2:$B$301,"&lt;="&amp;L137))^2-(1-SUMIFS(Data!$L$2:$L$301,Data!$M$2:$M$301,"Train",Data!$C$2:$C$301,"&lt;="&amp;ClassTree!$L$2,Data!$B$2:$B$301,"&lt;="&amp;L137)/COUNTIFS(Data!$M$2:$M$301,"Train",Data!$C$2:$C$301,"&lt;="&amp;ClassTree!$L$2,Data!$B$2:$B$301,"&lt;="&amp;L137))^2)</f>
        <v>0.17999999999999994</v>
      </c>
      <c r="N137">
        <f>IF(COUNTIFS(Data!$M$2:$M$301,"Train",Data!$C$2:$C$301,"&gt;"&amp;ClassTree!$L$2,Data!$B$2:$B$301,"&gt;"&amp;L137)=0,0,1-(SUMIFS(Data!$L$2:$L$301,Data!$M$2:$M$301,"Train",Data!$C$2:$C$301,"&gt;"&amp;ClassTree!$L$2,Data!$B$2:$B$301,"&gt;"&amp;L137)/COUNTIFS(Data!$M$2:$M$301,"Train",Data!$C$2:$C$301,"&gt;"&amp;ClassTree!$L$2,Data!$B$2:$B$301,"&gt;"&amp;L137))^2-(1-SUMIFS(Data!$L$2:$L$301,Data!$M$2:$M$301,"Train",Data!$C$2:$C$301,"&gt;"&amp;ClassTree!$L$2,Data!$B$2:$B$301,"&gt;"&amp;L137)/COUNTIFS(Data!$M$2:$M$301,"Train",Data!$C$2:$C$301,"&gt;"&amp;ClassTree!$L$2,Data!$B$2:$B$301,"&gt;"&amp;L137))^2)</f>
        <v>0.46924800000000005</v>
      </c>
      <c r="O137">
        <f>((COUNTIFS(Data!$M$2:$M$301,"Train",Data!$C$2:$C$301,"&lt;="&amp;ClassTree!$L$2)*M137)+(COUNTIFS(Data!$M$2:$M$301,"Train",Data!$C$2:$C$301,"&gt;"&amp;ClassTree!$L$2)*N137))/COUNTIF(Data!$M$2:$M$301,"Train")</f>
        <v>0.43894582857142855</v>
      </c>
      <c r="P137">
        <f>IF(AND(COUNTIFS(Data!$M$2:$M$301,"Train",Data!$B$2:$B$301,"&lt;="&amp;L137)&gt;0,COUNTIFS(Data!$M$2:$M$301,"Train",Data!$B$2:$B$301,"&gt;"&amp;L137)&gt;0),O137,1E+99)</f>
        <v>0.43894582857142855</v>
      </c>
    </row>
    <row r="138" spans="12:16" x14ac:dyDescent="0.2">
      <c r="L138">
        <f>Data!B138</f>
        <v>2009</v>
      </c>
      <c r="M138">
        <f>IF(COUNTIFS(Data!$M$2:$M$301,"Train",Data!$C$2:$C$301,"&lt;="&amp;ClassTree!$L$2,Data!$B$2:$B$301,"&lt;="&amp;L138)=0,0,1-(SUMIFS(Data!$L$2:$L$301,Data!$M$2:$M$301,"Train",Data!$C$2:$C$301,"&lt;="&amp;ClassTree!$L$2,Data!$B$2:$B$301,"&lt;="&amp;L138)/COUNTIFS(Data!$M$2:$M$301,"Train",Data!$C$2:$C$301,"&lt;="&amp;ClassTree!$L$2,Data!$B$2:$B$301,"&lt;="&amp;L138))^2-(1-SUMIFS(Data!$L$2:$L$301,Data!$M$2:$M$301,"Train",Data!$C$2:$C$301,"&lt;="&amp;ClassTree!$L$2,Data!$B$2:$B$301,"&lt;="&amp;L138)/COUNTIFS(Data!$M$2:$M$301,"Train",Data!$C$2:$C$301,"&lt;="&amp;ClassTree!$L$2,Data!$B$2:$B$301,"&lt;="&amp;L138))^2)</f>
        <v>8.6776859504132053E-2</v>
      </c>
      <c r="N138">
        <f>IF(COUNTIFS(Data!$M$2:$M$301,"Train",Data!$C$2:$C$301,"&gt;"&amp;ClassTree!$L$2,Data!$B$2:$B$301,"&gt;"&amp;L138)=0,0,1-(SUMIFS(Data!$L$2:$L$301,Data!$M$2:$M$301,"Train",Data!$C$2:$C$301,"&gt;"&amp;ClassTree!$L$2,Data!$B$2:$B$301,"&gt;"&amp;L138)/COUNTIFS(Data!$M$2:$M$301,"Train",Data!$C$2:$C$301,"&gt;"&amp;ClassTree!$L$2,Data!$B$2:$B$301,"&gt;"&amp;L138))^2-(1-SUMIFS(Data!$L$2:$L$301,Data!$M$2:$M$301,"Train",Data!$C$2:$C$301,"&gt;"&amp;ClassTree!$L$2,Data!$B$2:$B$301,"&gt;"&amp;L138)/COUNTIFS(Data!$M$2:$M$301,"Train",Data!$C$2:$C$301,"&gt;"&amp;ClassTree!$L$2,Data!$B$2:$B$301,"&gt;"&amp;L138))^2)</f>
        <v>0</v>
      </c>
      <c r="O138">
        <f>((COUNTIFS(Data!$M$2:$M$301,"Train",Data!$C$2:$C$301,"&lt;="&amp;ClassTree!$L$2)*M138)+(COUNTIFS(Data!$M$2:$M$301,"Train",Data!$C$2:$C$301,"&gt;"&amp;ClassTree!$L$2)*N138))/COUNTIF(Data!$M$2:$M$301,"Train")</f>
        <v>9.0909090909090731E-3</v>
      </c>
      <c r="P138">
        <f>IF(AND(COUNTIFS(Data!$M$2:$M$301,"Train",Data!$B$2:$B$301,"&lt;="&amp;L138)&gt;0,COUNTIFS(Data!$M$2:$M$301,"Train",Data!$B$2:$B$301,"&gt;"&amp;L138)&gt;0),O138,1E+99)</f>
        <v>9.9999999999999997E+98</v>
      </c>
    </row>
    <row r="139" spans="12:16" x14ac:dyDescent="0.2">
      <c r="L139">
        <f>Data!B139</f>
        <v>2007</v>
      </c>
      <c r="M139">
        <f>IF(COUNTIFS(Data!$M$2:$M$301,"Train",Data!$C$2:$C$301,"&lt;="&amp;ClassTree!$L$2,Data!$B$2:$B$301,"&lt;="&amp;L139)=0,0,1-(SUMIFS(Data!$L$2:$L$301,Data!$M$2:$M$301,"Train",Data!$C$2:$C$301,"&lt;="&amp;ClassTree!$L$2,Data!$B$2:$B$301,"&lt;="&amp;L139)/COUNTIFS(Data!$M$2:$M$301,"Train",Data!$C$2:$C$301,"&lt;="&amp;ClassTree!$L$2,Data!$B$2:$B$301,"&lt;="&amp;L139))^2-(1-SUMIFS(Data!$L$2:$L$301,Data!$M$2:$M$301,"Train",Data!$C$2:$C$301,"&lt;="&amp;ClassTree!$L$2,Data!$B$2:$B$301,"&lt;="&amp;L139)/COUNTIFS(Data!$M$2:$M$301,"Train",Data!$C$2:$C$301,"&lt;="&amp;ClassTree!$L$2,Data!$B$2:$B$301,"&lt;="&amp;L139))^2)</f>
        <v>9.0702947845805015E-2</v>
      </c>
      <c r="N139">
        <f>IF(COUNTIFS(Data!$M$2:$M$301,"Train",Data!$C$2:$C$301,"&gt;"&amp;ClassTree!$L$2,Data!$B$2:$B$301,"&gt;"&amp;L139)=0,0,1-(SUMIFS(Data!$L$2:$L$301,Data!$M$2:$M$301,"Train",Data!$C$2:$C$301,"&gt;"&amp;ClassTree!$L$2,Data!$B$2:$B$301,"&gt;"&amp;L139)/COUNTIFS(Data!$M$2:$M$301,"Train",Data!$C$2:$C$301,"&gt;"&amp;ClassTree!$L$2,Data!$B$2:$B$301,"&gt;"&amp;L139))^2-(1-SUMIFS(Data!$L$2:$L$301,Data!$M$2:$M$301,"Train",Data!$C$2:$C$301,"&gt;"&amp;ClassTree!$L$2,Data!$B$2:$B$301,"&gt;"&amp;L139)/COUNTIFS(Data!$M$2:$M$301,"Train",Data!$C$2:$C$301,"&gt;"&amp;ClassTree!$L$2,Data!$B$2:$B$301,"&gt;"&amp;L139))^2)</f>
        <v>0.46480633069554356</v>
      </c>
      <c r="O139">
        <f>((COUNTIFS(Data!$M$2:$M$301,"Train",Data!$C$2:$C$301,"&lt;="&amp;ClassTree!$L$2)*M139)+(COUNTIFS(Data!$M$2:$M$301,"Train",Data!$C$2:$C$301,"&gt;"&amp;ClassTree!$L$2)*N139))/COUNTIF(Data!$M$2:$M$301,"Train")</f>
        <v>0.42561454773033286</v>
      </c>
      <c r="P139">
        <f>IF(AND(COUNTIFS(Data!$M$2:$M$301,"Train",Data!$B$2:$B$301,"&lt;="&amp;L139)&gt;0,COUNTIFS(Data!$M$2:$M$301,"Train",Data!$B$2:$B$301,"&gt;"&amp;L139)&gt;0),O139,1E+99)</f>
        <v>0.42561454773033286</v>
      </c>
    </row>
    <row r="140" spans="12:16" x14ac:dyDescent="0.2">
      <c r="L140">
        <f>Data!B140</f>
        <v>2004</v>
      </c>
      <c r="M140">
        <f>IF(COUNTIFS(Data!$M$2:$M$301,"Train",Data!$C$2:$C$301,"&lt;="&amp;ClassTree!$L$2,Data!$B$2:$B$301,"&lt;="&amp;L140)=0,0,1-(SUMIFS(Data!$L$2:$L$301,Data!$M$2:$M$301,"Train",Data!$C$2:$C$301,"&lt;="&amp;ClassTree!$L$2,Data!$B$2:$B$301,"&lt;="&amp;L140)/COUNTIFS(Data!$M$2:$M$301,"Train",Data!$C$2:$C$301,"&lt;="&amp;ClassTree!$L$2,Data!$B$2:$B$301,"&lt;="&amp;L140))^2-(1-SUMIFS(Data!$L$2:$L$301,Data!$M$2:$M$301,"Train",Data!$C$2:$C$301,"&lt;="&amp;ClassTree!$L$2,Data!$B$2:$B$301,"&lt;="&amp;L140)/COUNTIFS(Data!$M$2:$M$301,"Train",Data!$C$2:$C$301,"&lt;="&amp;ClassTree!$L$2,Data!$B$2:$B$301,"&lt;="&amp;L140))^2)</f>
        <v>0.17999999999999994</v>
      </c>
      <c r="N140">
        <f>IF(COUNTIFS(Data!$M$2:$M$301,"Train",Data!$C$2:$C$301,"&gt;"&amp;ClassTree!$L$2,Data!$B$2:$B$301,"&gt;"&amp;L140)=0,0,1-(SUMIFS(Data!$L$2:$L$301,Data!$M$2:$M$301,"Train",Data!$C$2:$C$301,"&gt;"&amp;ClassTree!$L$2,Data!$B$2:$B$301,"&gt;"&amp;L140)/COUNTIFS(Data!$M$2:$M$301,"Train",Data!$C$2:$C$301,"&gt;"&amp;ClassTree!$L$2,Data!$B$2:$B$301,"&gt;"&amp;L140))^2-(1-SUMIFS(Data!$L$2:$L$301,Data!$M$2:$M$301,"Train",Data!$C$2:$C$301,"&gt;"&amp;ClassTree!$L$2,Data!$B$2:$B$301,"&gt;"&amp;L140)/COUNTIFS(Data!$M$2:$M$301,"Train",Data!$C$2:$C$301,"&gt;"&amp;ClassTree!$L$2,Data!$B$2:$B$301,"&gt;"&amp;L140))^2)</f>
        <v>0.46924800000000005</v>
      </c>
      <c r="O140">
        <f>((COUNTIFS(Data!$M$2:$M$301,"Train",Data!$C$2:$C$301,"&lt;="&amp;ClassTree!$L$2)*M140)+(COUNTIFS(Data!$M$2:$M$301,"Train",Data!$C$2:$C$301,"&gt;"&amp;ClassTree!$L$2)*N140))/COUNTIF(Data!$M$2:$M$301,"Train")</f>
        <v>0.43894582857142855</v>
      </c>
      <c r="P140">
        <f>IF(AND(COUNTIFS(Data!$M$2:$M$301,"Train",Data!$B$2:$B$301,"&lt;="&amp;L140)&gt;0,COUNTIFS(Data!$M$2:$M$301,"Train",Data!$B$2:$B$301,"&gt;"&amp;L140)&gt;0),O140,1E+99)</f>
        <v>0.43894582857142855</v>
      </c>
    </row>
    <row r="141" spans="12:16" x14ac:dyDescent="0.2">
      <c r="L141">
        <f>Data!B141</f>
        <v>2003</v>
      </c>
      <c r="M141">
        <f>IF(COUNTIFS(Data!$M$2:$M$301,"Train",Data!$C$2:$C$301,"&lt;="&amp;ClassTree!$L$2,Data!$B$2:$B$301,"&lt;="&amp;L141)=0,0,1-(SUMIFS(Data!$L$2:$L$301,Data!$M$2:$M$301,"Train",Data!$C$2:$C$301,"&lt;="&amp;ClassTree!$L$2,Data!$B$2:$B$301,"&lt;="&amp;L141)/COUNTIFS(Data!$M$2:$M$301,"Train",Data!$C$2:$C$301,"&lt;="&amp;ClassTree!$L$2,Data!$B$2:$B$301,"&lt;="&amp;L141))^2-(1-SUMIFS(Data!$L$2:$L$301,Data!$M$2:$M$301,"Train",Data!$C$2:$C$301,"&lt;="&amp;ClassTree!$L$2,Data!$B$2:$B$301,"&lt;="&amp;L141)/COUNTIFS(Data!$M$2:$M$301,"Train",Data!$C$2:$C$301,"&lt;="&amp;ClassTree!$L$2,Data!$B$2:$B$301,"&lt;="&amp;L141))^2)</f>
        <v>0</v>
      </c>
      <c r="N141">
        <f>IF(COUNTIFS(Data!$M$2:$M$301,"Train",Data!$C$2:$C$301,"&gt;"&amp;ClassTree!$L$2,Data!$B$2:$B$301,"&gt;"&amp;L141)=0,0,1-(SUMIFS(Data!$L$2:$L$301,Data!$M$2:$M$301,"Train",Data!$C$2:$C$301,"&gt;"&amp;ClassTree!$L$2,Data!$B$2:$B$301,"&gt;"&amp;L141)/COUNTIFS(Data!$M$2:$M$301,"Train",Data!$C$2:$C$301,"&gt;"&amp;ClassTree!$L$2,Data!$B$2:$B$301,"&gt;"&amp;L141))^2-(1-SUMIFS(Data!$L$2:$L$301,Data!$M$2:$M$301,"Train",Data!$C$2:$C$301,"&gt;"&amp;ClassTree!$L$2,Data!$B$2:$B$301,"&gt;"&amp;L141)/COUNTIFS(Data!$M$2:$M$301,"Train",Data!$C$2:$C$301,"&gt;"&amp;ClassTree!$L$2,Data!$B$2:$B$301,"&gt;"&amp;L141))^2)</f>
        <v>0.48347107438016523</v>
      </c>
      <c r="O141">
        <f>((COUNTIFS(Data!$M$2:$M$301,"Train",Data!$C$2:$C$301,"&lt;="&amp;ClassTree!$L$2)*M141)+(COUNTIFS(Data!$M$2:$M$301,"Train",Data!$C$2:$C$301,"&gt;"&amp;ClassTree!$L$2)*N141))/COUNTIF(Data!$M$2:$M$301,"Train")</f>
        <v>0.43282172373081462</v>
      </c>
      <c r="P141">
        <f>IF(AND(COUNTIFS(Data!$M$2:$M$301,"Train",Data!$B$2:$B$301,"&lt;="&amp;L141)&gt;0,COUNTIFS(Data!$M$2:$M$301,"Train",Data!$B$2:$B$301,"&gt;"&amp;L141)&gt;0),O141,1E+99)</f>
        <v>0.43282172373081462</v>
      </c>
    </row>
    <row r="142" spans="12:16" x14ac:dyDescent="0.2">
      <c r="L142">
        <f>Data!B142</f>
        <v>2004</v>
      </c>
      <c r="M142">
        <f>IF(COUNTIFS(Data!$M$2:$M$301,"Train",Data!$C$2:$C$301,"&lt;="&amp;ClassTree!$L$2,Data!$B$2:$B$301,"&lt;="&amp;L142)=0,0,1-(SUMIFS(Data!$L$2:$L$301,Data!$M$2:$M$301,"Train",Data!$C$2:$C$301,"&lt;="&amp;ClassTree!$L$2,Data!$B$2:$B$301,"&lt;="&amp;L142)/COUNTIFS(Data!$M$2:$M$301,"Train",Data!$C$2:$C$301,"&lt;="&amp;ClassTree!$L$2,Data!$B$2:$B$301,"&lt;="&amp;L142))^2-(1-SUMIFS(Data!$L$2:$L$301,Data!$M$2:$M$301,"Train",Data!$C$2:$C$301,"&lt;="&amp;ClassTree!$L$2,Data!$B$2:$B$301,"&lt;="&amp;L142)/COUNTIFS(Data!$M$2:$M$301,"Train",Data!$C$2:$C$301,"&lt;="&amp;ClassTree!$L$2,Data!$B$2:$B$301,"&lt;="&amp;L142))^2)</f>
        <v>0.17999999999999994</v>
      </c>
      <c r="N142">
        <f>IF(COUNTIFS(Data!$M$2:$M$301,"Train",Data!$C$2:$C$301,"&gt;"&amp;ClassTree!$L$2,Data!$B$2:$B$301,"&gt;"&amp;L142)=0,0,1-(SUMIFS(Data!$L$2:$L$301,Data!$M$2:$M$301,"Train",Data!$C$2:$C$301,"&gt;"&amp;ClassTree!$L$2,Data!$B$2:$B$301,"&gt;"&amp;L142)/COUNTIFS(Data!$M$2:$M$301,"Train",Data!$C$2:$C$301,"&gt;"&amp;ClassTree!$L$2,Data!$B$2:$B$301,"&gt;"&amp;L142))^2-(1-SUMIFS(Data!$L$2:$L$301,Data!$M$2:$M$301,"Train",Data!$C$2:$C$301,"&gt;"&amp;ClassTree!$L$2,Data!$B$2:$B$301,"&gt;"&amp;L142)/COUNTIFS(Data!$M$2:$M$301,"Train",Data!$C$2:$C$301,"&gt;"&amp;ClassTree!$L$2,Data!$B$2:$B$301,"&gt;"&amp;L142))^2)</f>
        <v>0.46924800000000005</v>
      </c>
      <c r="O142">
        <f>((COUNTIFS(Data!$M$2:$M$301,"Train",Data!$C$2:$C$301,"&lt;="&amp;ClassTree!$L$2)*M142)+(COUNTIFS(Data!$M$2:$M$301,"Train",Data!$C$2:$C$301,"&gt;"&amp;ClassTree!$L$2)*N142))/COUNTIF(Data!$M$2:$M$301,"Train")</f>
        <v>0.43894582857142855</v>
      </c>
      <c r="P142">
        <f>IF(AND(COUNTIFS(Data!$M$2:$M$301,"Train",Data!$B$2:$B$301,"&lt;="&amp;L142)&gt;0,COUNTIFS(Data!$M$2:$M$301,"Train",Data!$B$2:$B$301,"&gt;"&amp;L142)&gt;0),O142,1E+99)</f>
        <v>0.43894582857142855</v>
      </c>
    </row>
    <row r="143" spans="12:16" x14ac:dyDescent="0.2">
      <c r="L143">
        <f>Data!B143</f>
        <v>2006</v>
      </c>
      <c r="M143">
        <f>IF(COUNTIFS(Data!$M$2:$M$301,"Train",Data!$C$2:$C$301,"&lt;="&amp;ClassTree!$L$2,Data!$B$2:$B$301,"&lt;="&amp;L143)=0,0,1-(SUMIFS(Data!$L$2:$L$301,Data!$M$2:$M$301,"Train",Data!$C$2:$C$301,"&lt;="&amp;ClassTree!$L$2,Data!$B$2:$B$301,"&lt;="&amp;L143)/COUNTIFS(Data!$M$2:$M$301,"Train",Data!$C$2:$C$301,"&lt;="&amp;ClassTree!$L$2,Data!$B$2:$B$301,"&lt;="&amp;L143))^2-(1-SUMIFS(Data!$L$2:$L$301,Data!$M$2:$M$301,"Train",Data!$C$2:$C$301,"&lt;="&amp;ClassTree!$L$2,Data!$B$2:$B$301,"&lt;="&amp;L143)/COUNTIFS(Data!$M$2:$M$301,"Train",Data!$C$2:$C$301,"&lt;="&amp;ClassTree!$L$2,Data!$B$2:$B$301,"&lt;="&amp;L143))^2)</f>
        <v>9.9722991689750629E-2</v>
      </c>
      <c r="N143">
        <f>IF(COUNTIFS(Data!$M$2:$M$301,"Train",Data!$C$2:$C$301,"&gt;"&amp;ClassTree!$L$2,Data!$B$2:$B$301,"&gt;"&amp;L143)=0,0,1-(SUMIFS(Data!$L$2:$L$301,Data!$M$2:$M$301,"Train",Data!$C$2:$C$301,"&gt;"&amp;ClassTree!$L$2,Data!$B$2:$B$301,"&gt;"&amp;L143)/COUNTIFS(Data!$M$2:$M$301,"Train",Data!$C$2:$C$301,"&gt;"&amp;ClassTree!$L$2,Data!$B$2:$B$301,"&gt;"&amp;L143))^2-(1-SUMIFS(Data!$L$2:$L$301,Data!$M$2:$M$301,"Train",Data!$C$2:$C$301,"&gt;"&amp;ClassTree!$L$2,Data!$B$2:$B$301,"&gt;"&amp;L143)/COUNTIFS(Data!$M$2:$M$301,"Train",Data!$C$2:$C$301,"&gt;"&amp;ClassTree!$L$2,Data!$B$2:$B$301,"&gt;"&amp;L143))^2)</f>
        <v>0.46208779668136946</v>
      </c>
      <c r="O143">
        <f>((COUNTIFS(Data!$M$2:$M$301,"Train",Data!$C$2:$C$301,"&lt;="&amp;ClassTree!$L$2)*M143)+(COUNTIFS(Data!$M$2:$M$301,"Train",Data!$C$2:$C$301,"&gt;"&amp;ClassTree!$L$2)*N143))/COUNTIF(Data!$M$2:$M$301,"Train")</f>
        <v>0.42412576949177128</v>
      </c>
      <c r="P143">
        <f>IF(AND(COUNTIFS(Data!$M$2:$M$301,"Train",Data!$B$2:$B$301,"&lt;="&amp;L143)&gt;0,COUNTIFS(Data!$M$2:$M$301,"Train",Data!$B$2:$B$301,"&gt;"&amp;L143)&gt;0),O143,1E+99)</f>
        <v>0.42412576949177128</v>
      </c>
    </row>
    <row r="144" spans="12:16" x14ac:dyDescent="0.2">
      <c r="L144">
        <f>Data!B144</f>
        <v>2003</v>
      </c>
      <c r="M144">
        <f>IF(COUNTIFS(Data!$M$2:$M$301,"Train",Data!$C$2:$C$301,"&lt;="&amp;ClassTree!$L$2,Data!$B$2:$B$301,"&lt;="&amp;L144)=0,0,1-(SUMIFS(Data!$L$2:$L$301,Data!$M$2:$M$301,"Train",Data!$C$2:$C$301,"&lt;="&amp;ClassTree!$L$2,Data!$B$2:$B$301,"&lt;="&amp;L144)/COUNTIFS(Data!$M$2:$M$301,"Train",Data!$C$2:$C$301,"&lt;="&amp;ClassTree!$L$2,Data!$B$2:$B$301,"&lt;="&amp;L144))^2-(1-SUMIFS(Data!$L$2:$L$301,Data!$M$2:$M$301,"Train",Data!$C$2:$C$301,"&lt;="&amp;ClassTree!$L$2,Data!$B$2:$B$301,"&lt;="&amp;L144)/COUNTIFS(Data!$M$2:$M$301,"Train",Data!$C$2:$C$301,"&lt;="&amp;ClassTree!$L$2,Data!$B$2:$B$301,"&lt;="&amp;L144))^2)</f>
        <v>0</v>
      </c>
      <c r="N144">
        <f>IF(COUNTIFS(Data!$M$2:$M$301,"Train",Data!$C$2:$C$301,"&gt;"&amp;ClassTree!$L$2,Data!$B$2:$B$301,"&gt;"&amp;L144)=0,0,1-(SUMIFS(Data!$L$2:$L$301,Data!$M$2:$M$301,"Train",Data!$C$2:$C$301,"&gt;"&amp;ClassTree!$L$2,Data!$B$2:$B$301,"&gt;"&amp;L144)/COUNTIFS(Data!$M$2:$M$301,"Train",Data!$C$2:$C$301,"&gt;"&amp;ClassTree!$L$2,Data!$B$2:$B$301,"&gt;"&amp;L144))^2-(1-SUMIFS(Data!$L$2:$L$301,Data!$M$2:$M$301,"Train",Data!$C$2:$C$301,"&gt;"&amp;ClassTree!$L$2,Data!$B$2:$B$301,"&gt;"&amp;L144)/COUNTIFS(Data!$M$2:$M$301,"Train",Data!$C$2:$C$301,"&gt;"&amp;ClassTree!$L$2,Data!$B$2:$B$301,"&gt;"&amp;L144))^2)</f>
        <v>0.48347107438016523</v>
      </c>
      <c r="O144">
        <f>((COUNTIFS(Data!$M$2:$M$301,"Train",Data!$C$2:$C$301,"&lt;="&amp;ClassTree!$L$2)*M144)+(COUNTIFS(Data!$M$2:$M$301,"Train",Data!$C$2:$C$301,"&gt;"&amp;ClassTree!$L$2)*N144))/COUNTIF(Data!$M$2:$M$301,"Train")</f>
        <v>0.43282172373081462</v>
      </c>
      <c r="P144">
        <f>IF(AND(COUNTIFS(Data!$M$2:$M$301,"Train",Data!$B$2:$B$301,"&lt;="&amp;L144)&gt;0,COUNTIFS(Data!$M$2:$M$301,"Train",Data!$B$2:$B$301,"&gt;"&amp;L144)&gt;0),O144,1E+99)</f>
        <v>0.43282172373081462</v>
      </c>
    </row>
    <row r="145" spans="12:16" x14ac:dyDescent="0.2">
      <c r="L145">
        <f>Data!B145</f>
        <v>2007</v>
      </c>
      <c r="M145">
        <f>IF(COUNTIFS(Data!$M$2:$M$301,"Train",Data!$C$2:$C$301,"&lt;="&amp;ClassTree!$L$2,Data!$B$2:$B$301,"&lt;="&amp;L145)=0,0,1-(SUMIFS(Data!$L$2:$L$301,Data!$M$2:$M$301,"Train",Data!$C$2:$C$301,"&lt;="&amp;ClassTree!$L$2,Data!$B$2:$B$301,"&lt;="&amp;L145)/COUNTIFS(Data!$M$2:$M$301,"Train",Data!$C$2:$C$301,"&lt;="&amp;ClassTree!$L$2,Data!$B$2:$B$301,"&lt;="&amp;L145))^2-(1-SUMIFS(Data!$L$2:$L$301,Data!$M$2:$M$301,"Train",Data!$C$2:$C$301,"&lt;="&amp;ClassTree!$L$2,Data!$B$2:$B$301,"&lt;="&amp;L145)/COUNTIFS(Data!$M$2:$M$301,"Train",Data!$C$2:$C$301,"&lt;="&amp;ClassTree!$L$2,Data!$B$2:$B$301,"&lt;="&amp;L145))^2)</f>
        <v>9.0702947845805015E-2</v>
      </c>
      <c r="N145">
        <f>IF(COUNTIFS(Data!$M$2:$M$301,"Train",Data!$C$2:$C$301,"&gt;"&amp;ClassTree!$L$2,Data!$B$2:$B$301,"&gt;"&amp;L145)=0,0,1-(SUMIFS(Data!$L$2:$L$301,Data!$M$2:$M$301,"Train",Data!$C$2:$C$301,"&gt;"&amp;ClassTree!$L$2,Data!$B$2:$B$301,"&gt;"&amp;L145)/COUNTIFS(Data!$M$2:$M$301,"Train",Data!$C$2:$C$301,"&gt;"&amp;ClassTree!$L$2,Data!$B$2:$B$301,"&gt;"&amp;L145))^2-(1-SUMIFS(Data!$L$2:$L$301,Data!$M$2:$M$301,"Train",Data!$C$2:$C$301,"&gt;"&amp;ClassTree!$L$2,Data!$B$2:$B$301,"&gt;"&amp;L145)/COUNTIFS(Data!$M$2:$M$301,"Train",Data!$C$2:$C$301,"&gt;"&amp;ClassTree!$L$2,Data!$B$2:$B$301,"&gt;"&amp;L145))^2)</f>
        <v>0.46480633069554356</v>
      </c>
      <c r="O145">
        <f>((COUNTIFS(Data!$M$2:$M$301,"Train",Data!$C$2:$C$301,"&lt;="&amp;ClassTree!$L$2)*M145)+(COUNTIFS(Data!$M$2:$M$301,"Train",Data!$C$2:$C$301,"&gt;"&amp;ClassTree!$L$2)*N145))/COUNTIF(Data!$M$2:$M$301,"Train")</f>
        <v>0.42561454773033286</v>
      </c>
      <c r="P145">
        <f>IF(AND(COUNTIFS(Data!$M$2:$M$301,"Train",Data!$B$2:$B$301,"&lt;="&amp;L145)&gt;0,COUNTIFS(Data!$M$2:$M$301,"Train",Data!$B$2:$B$301,"&gt;"&amp;L145)&gt;0),O145,1E+99)</f>
        <v>0.42561454773033286</v>
      </c>
    </row>
    <row r="146" spans="12:16" x14ac:dyDescent="0.2">
      <c r="L146">
        <f>Data!B146</f>
        <v>2005</v>
      </c>
      <c r="M146">
        <f>IF(COUNTIFS(Data!$M$2:$M$301,"Train",Data!$C$2:$C$301,"&lt;="&amp;ClassTree!$L$2,Data!$B$2:$B$301,"&lt;="&amp;L146)=0,0,1-(SUMIFS(Data!$L$2:$L$301,Data!$M$2:$M$301,"Train",Data!$C$2:$C$301,"&lt;="&amp;ClassTree!$L$2,Data!$B$2:$B$301,"&lt;="&amp;L146)/COUNTIFS(Data!$M$2:$M$301,"Train",Data!$C$2:$C$301,"&lt;="&amp;ClassTree!$L$2,Data!$B$2:$B$301,"&lt;="&amp;L146))^2-(1-SUMIFS(Data!$L$2:$L$301,Data!$M$2:$M$301,"Train",Data!$C$2:$C$301,"&lt;="&amp;ClassTree!$L$2,Data!$B$2:$B$301,"&lt;="&amp;L146)/COUNTIFS(Data!$M$2:$M$301,"Train",Data!$C$2:$C$301,"&lt;="&amp;ClassTree!$L$2,Data!$B$2:$B$301,"&lt;="&amp;L146))^2)</f>
        <v>0.1527777777777779</v>
      </c>
      <c r="N146">
        <f>IF(COUNTIFS(Data!$M$2:$M$301,"Train",Data!$C$2:$C$301,"&gt;"&amp;ClassTree!$L$2,Data!$B$2:$B$301,"&gt;"&amp;L146)=0,0,1-(SUMIFS(Data!$L$2:$L$301,Data!$M$2:$M$301,"Train",Data!$C$2:$C$301,"&gt;"&amp;ClassTree!$L$2,Data!$B$2:$B$301,"&gt;"&amp;L146)/COUNTIFS(Data!$M$2:$M$301,"Train",Data!$C$2:$C$301,"&gt;"&amp;ClassTree!$L$2,Data!$B$2:$B$301,"&gt;"&amp;L146))^2-(1-SUMIFS(Data!$L$2:$L$301,Data!$M$2:$M$301,"Train",Data!$C$2:$C$301,"&gt;"&amp;ClassTree!$L$2,Data!$B$2:$B$301,"&gt;"&amp;L146)/COUNTIFS(Data!$M$2:$M$301,"Train",Data!$C$2:$C$301,"&gt;"&amp;ClassTree!$L$2,Data!$B$2:$B$301,"&gt;"&amp;L146))^2)</f>
        <v>0.45877855112243893</v>
      </c>
      <c r="O146">
        <f>((COUNTIFS(Data!$M$2:$M$301,"Train",Data!$C$2:$C$301,"&lt;="&amp;ClassTree!$L$2)*M146)+(COUNTIFS(Data!$M$2:$M$301,"Train",Data!$C$2:$C$301,"&gt;"&amp;ClassTree!$L$2)*N146))/COUNTIF(Data!$M$2:$M$301,"Train")</f>
        <v>0.42672132724823636</v>
      </c>
      <c r="P146">
        <f>IF(AND(COUNTIFS(Data!$M$2:$M$301,"Train",Data!$B$2:$B$301,"&lt;="&amp;L146)&gt;0,COUNTIFS(Data!$M$2:$M$301,"Train",Data!$B$2:$B$301,"&gt;"&amp;L146)&gt;0),O146,1E+99)</f>
        <v>0.42672132724823636</v>
      </c>
    </row>
    <row r="147" spans="12:16" x14ac:dyDescent="0.2">
      <c r="L147">
        <f>Data!B147</f>
        <v>2004</v>
      </c>
      <c r="M147">
        <f>IF(COUNTIFS(Data!$M$2:$M$301,"Train",Data!$C$2:$C$301,"&lt;="&amp;ClassTree!$L$2,Data!$B$2:$B$301,"&lt;="&amp;L147)=0,0,1-(SUMIFS(Data!$L$2:$L$301,Data!$M$2:$M$301,"Train",Data!$C$2:$C$301,"&lt;="&amp;ClassTree!$L$2,Data!$B$2:$B$301,"&lt;="&amp;L147)/COUNTIFS(Data!$M$2:$M$301,"Train",Data!$C$2:$C$301,"&lt;="&amp;ClassTree!$L$2,Data!$B$2:$B$301,"&lt;="&amp;L147))^2-(1-SUMIFS(Data!$L$2:$L$301,Data!$M$2:$M$301,"Train",Data!$C$2:$C$301,"&lt;="&amp;ClassTree!$L$2,Data!$B$2:$B$301,"&lt;="&amp;L147)/COUNTIFS(Data!$M$2:$M$301,"Train",Data!$C$2:$C$301,"&lt;="&amp;ClassTree!$L$2,Data!$B$2:$B$301,"&lt;="&amp;L147))^2)</f>
        <v>0.17999999999999994</v>
      </c>
      <c r="N147">
        <f>IF(COUNTIFS(Data!$M$2:$M$301,"Train",Data!$C$2:$C$301,"&gt;"&amp;ClassTree!$L$2,Data!$B$2:$B$301,"&gt;"&amp;L147)=0,0,1-(SUMIFS(Data!$L$2:$L$301,Data!$M$2:$M$301,"Train",Data!$C$2:$C$301,"&gt;"&amp;ClassTree!$L$2,Data!$B$2:$B$301,"&gt;"&amp;L147)/COUNTIFS(Data!$M$2:$M$301,"Train",Data!$C$2:$C$301,"&gt;"&amp;ClassTree!$L$2,Data!$B$2:$B$301,"&gt;"&amp;L147))^2-(1-SUMIFS(Data!$L$2:$L$301,Data!$M$2:$M$301,"Train",Data!$C$2:$C$301,"&gt;"&amp;ClassTree!$L$2,Data!$B$2:$B$301,"&gt;"&amp;L147)/COUNTIFS(Data!$M$2:$M$301,"Train",Data!$C$2:$C$301,"&gt;"&amp;ClassTree!$L$2,Data!$B$2:$B$301,"&gt;"&amp;L147))^2)</f>
        <v>0.46924800000000005</v>
      </c>
      <c r="O147">
        <f>((COUNTIFS(Data!$M$2:$M$301,"Train",Data!$C$2:$C$301,"&lt;="&amp;ClassTree!$L$2)*M147)+(COUNTIFS(Data!$M$2:$M$301,"Train",Data!$C$2:$C$301,"&gt;"&amp;ClassTree!$L$2)*N147))/COUNTIF(Data!$M$2:$M$301,"Train")</f>
        <v>0.43894582857142855</v>
      </c>
      <c r="P147">
        <f>IF(AND(COUNTIFS(Data!$M$2:$M$301,"Train",Data!$B$2:$B$301,"&lt;="&amp;L147)&gt;0,COUNTIFS(Data!$M$2:$M$301,"Train",Data!$B$2:$B$301,"&gt;"&amp;L147)&gt;0),O147,1E+99)</f>
        <v>0.43894582857142855</v>
      </c>
    </row>
    <row r="148" spans="12:16" x14ac:dyDescent="0.2">
      <c r="L148">
        <f>Data!B148</f>
        <v>2005</v>
      </c>
      <c r="M148">
        <f>IF(COUNTIFS(Data!$M$2:$M$301,"Train",Data!$C$2:$C$301,"&lt;="&amp;ClassTree!$L$2,Data!$B$2:$B$301,"&lt;="&amp;L148)=0,0,1-(SUMIFS(Data!$L$2:$L$301,Data!$M$2:$M$301,"Train",Data!$C$2:$C$301,"&lt;="&amp;ClassTree!$L$2,Data!$B$2:$B$301,"&lt;="&amp;L148)/COUNTIFS(Data!$M$2:$M$301,"Train",Data!$C$2:$C$301,"&lt;="&amp;ClassTree!$L$2,Data!$B$2:$B$301,"&lt;="&amp;L148))^2-(1-SUMIFS(Data!$L$2:$L$301,Data!$M$2:$M$301,"Train",Data!$C$2:$C$301,"&lt;="&amp;ClassTree!$L$2,Data!$B$2:$B$301,"&lt;="&amp;L148)/COUNTIFS(Data!$M$2:$M$301,"Train",Data!$C$2:$C$301,"&lt;="&amp;ClassTree!$L$2,Data!$B$2:$B$301,"&lt;="&amp;L148))^2)</f>
        <v>0.1527777777777779</v>
      </c>
      <c r="N148">
        <f>IF(COUNTIFS(Data!$M$2:$M$301,"Train",Data!$C$2:$C$301,"&gt;"&amp;ClassTree!$L$2,Data!$B$2:$B$301,"&gt;"&amp;L148)=0,0,1-(SUMIFS(Data!$L$2:$L$301,Data!$M$2:$M$301,"Train",Data!$C$2:$C$301,"&gt;"&amp;ClassTree!$L$2,Data!$B$2:$B$301,"&gt;"&amp;L148)/COUNTIFS(Data!$M$2:$M$301,"Train",Data!$C$2:$C$301,"&gt;"&amp;ClassTree!$L$2,Data!$B$2:$B$301,"&gt;"&amp;L148))^2-(1-SUMIFS(Data!$L$2:$L$301,Data!$M$2:$M$301,"Train",Data!$C$2:$C$301,"&gt;"&amp;ClassTree!$L$2,Data!$B$2:$B$301,"&gt;"&amp;L148)/COUNTIFS(Data!$M$2:$M$301,"Train",Data!$C$2:$C$301,"&gt;"&amp;ClassTree!$L$2,Data!$B$2:$B$301,"&gt;"&amp;L148))^2)</f>
        <v>0.45877855112243893</v>
      </c>
      <c r="O148">
        <f>((COUNTIFS(Data!$M$2:$M$301,"Train",Data!$C$2:$C$301,"&lt;="&amp;ClassTree!$L$2)*M148)+(COUNTIFS(Data!$M$2:$M$301,"Train",Data!$C$2:$C$301,"&gt;"&amp;ClassTree!$L$2)*N148))/COUNTIF(Data!$M$2:$M$301,"Train")</f>
        <v>0.42672132724823636</v>
      </c>
      <c r="P148">
        <f>IF(AND(COUNTIFS(Data!$M$2:$M$301,"Train",Data!$B$2:$B$301,"&lt;="&amp;L148)&gt;0,COUNTIFS(Data!$M$2:$M$301,"Train",Data!$B$2:$B$301,"&gt;"&amp;L148)&gt;0),O148,1E+99)</f>
        <v>0.42672132724823636</v>
      </c>
    </row>
    <row r="149" spans="12:16" x14ac:dyDescent="0.2">
      <c r="L149">
        <f>Data!B149</f>
        <v>2004</v>
      </c>
      <c r="M149">
        <f>IF(COUNTIFS(Data!$M$2:$M$301,"Train",Data!$C$2:$C$301,"&lt;="&amp;ClassTree!$L$2,Data!$B$2:$B$301,"&lt;="&amp;L149)=0,0,1-(SUMIFS(Data!$L$2:$L$301,Data!$M$2:$M$301,"Train",Data!$C$2:$C$301,"&lt;="&amp;ClassTree!$L$2,Data!$B$2:$B$301,"&lt;="&amp;L149)/COUNTIFS(Data!$M$2:$M$301,"Train",Data!$C$2:$C$301,"&lt;="&amp;ClassTree!$L$2,Data!$B$2:$B$301,"&lt;="&amp;L149))^2-(1-SUMIFS(Data!$L$2:$L$301,Data!$M$2:$M$301,"Train",Data!$C$2:$C$301,"&lt;="&amp;ClassTree!$L$2,Data!$B$2:$B$301,"&lt;="&amp;L149)/COUNTIFS(Data!$M$2:$M$301,"Train",Data!$C$2:$C$301,"&lt;="&amp;ClassTree!$L$2,Data!$B$2:$B$301,"&lt;="&amp;L149))^2)</f>
        <v>0.17999999999999994</v>
      </c>
      <c r="N149">
        <f>IF(COUNTIFS(Data!$M$2:$M$301,"Train",Data!$C$2:$C$301,"&gt;"&amp;ClassTree!$L$2,Data!$B$2:$B$301,"&gt;"&amp;L149)=0,0,1-(SUMIFS(Data!$L$2:$L$301,Data!$M$2:$M$301,"Train",Data!$C$2:$C$301,"&gt;"&amp;ClassTree!$L$2,Data!$B$2:$B$301,"&gt;"&amp;L149)/COUNTIFS(Data!$M$2:$M$301,"Train",Data!$C$2:$C$301,"&gt;"&amp;ClassTree!$L$2,Data!$B$2:$B$301,"&gt;"&amp;L149))^2-(1-SUMIFS(Data!$L$2:$L$301,Data!$M$2:$M$301,"Train",Data!$C$2:$C$301,"&gt;"&amp;ClassTree!$L$2,Data!$B$2:$B$301,"&gt;"&amp;L149)/COUNTIFS(Data!$M$2:$M$301,"Train",Data!$C$2:$C$301,"&gt;"&amp;ClassTree!$L$2,Data!$B$2:$B$301,"&gt;"&amp;L149))^2)</f>
        <v>0.46924800000000005</v>
      </c>
      <c r="O149">
        <f>((COUNTIFS(Data!$M$2:$M$301,"Train",Data!$C$2:$C$301,"&lt;="&amp;ClassTree!$L$2)*M149)+(COUNTIFS(Data!$M$2:$M$301,"Train",Data!$C$2:$C$301,"&gt;"&amp;ClassTree!$L$2)*N149))/COUNTIF(Data!$M$2:$M$301,"Train")</f>
        <v>0.43894582857142855</v>
      </c>
      <c r="P149">
        <f>IF(AND(COUNTIFS(Data!$M$2:$M$301,"Train",Data!$B$2:$B$301,"&lt;="&amp;L149)&gt;0,COUNTIFS(Data!$M$2:$M$301,"Train",Data!$B$2:$B$301,"&gt;"&amp;L149)&gt;0),O149,1E+99)</f>
        <v>0.43894582857142855</v>
      </c>
    </row>
    <row r="150" spans="12:16" x14ac:dyDescent="0.2">
      <c r="L150">
        <f>Data!B150</f>
        <v>2007</v>
      </c>
      <c r="M150">
        <f>IF(COUNTIFS(Data!$M$2:$M$301,"Train",Data!$C$2:$C$301,"&lt;="&amp;ClassTree!$L$2,Data!$B$2:$B$301,"&lt;="&amp;L150)=0,0,1-(SUMIFS(Data!$L$2:$L$301,Data!$M$2:$M$301,"Train",Data!$C$2:$C$301,"&lt;="&amp;ClassTree!$L$2,Data!$B$2:$B$301,"&lt;="&amp;L150)/COUNTIFS(Data!$M$2:$M$301,"Train",Data!$C$2:$C$301,"&lt;="&amp;ClassTree!$L$2,Data!$B$2:$B$301,"&lt;="&amp;L150))^2-(1-SUMIFS(Data!$L$2:$L$301,Data!$M$2:$M$301,"Train",Data!$C$2:$C$301,"&lt;="&amp;ClassTree!$L$2,Data!$B$2:$B$301,"&lt;="&amp;L150)/COUNTIFS(Data!$M$2:$M$301,"Train",Data!$C$2:$C$301,"&lt;="&amp;ClassTree!$L$2,Data!$B$2:$B$301,"&lt;="&amp;L150))^2)</f>
        <v>9.0702947845805015E-2</v>
      </c>
      <c r="N150">
        <f>IF(COUNTIFS(Data!$M$2:$M$301,"Train",Data!$C$2:$C$301,"&gt;"&amp;ClassTree!$L$2,Data!$B$2:$B$301,"&gt;"&amp;L150)=0,0,1-(SUMIFS(Data!$L$2:$L$301,Data!$M$2:$M$301,"Train",Data!$C$2:$C$301,"&gt;"&amp;ClassTree!$L$2,Data!$B$2:$B$301,"&gt;"&amp;L150)/COUNTIFS(Data!$M$2:$M$301,"Train",Data!$C$2:$C$301,"&gt;"&amp;ClassTree!$L$2,Data!$B$2:$B$301,"&gt;"&amp;L150))^2-(1-SUMIFS(Data!$L$2:$L$301,Data!$M$2:$M$301,"Train",Data!$C$2:$C$301,"&gt;"&amp;ClassTree!$L$2,Data!$B$2:$B$301,"&gt;"&amp;L150)/COUNTIFS(Data!$M$2:$M$301,"Train",Data!$C$2:$C$301,"&gt;"&amp;ClassTree!$L$2,Data!$B$2:$B$301,"&gt;"&amp;L150))^2)</f>
        <v>0.46480633069554356</v>
      </c>
      <c r="O150">
        <f>((COUNTIFS(Data!$M$2:$M$301,"Train",Data!$C$2:$C$301,"&lt;="&amp;ClassTree!$L$2)*M150)+(COUNTIFS(Data!$M$2:$M$301,"Train",Data!$C$2:$C$301,"&gt;"&amp;ClassTree!$L$2)*N150))/COUNTIF(Data!$M$2:$M$301,"Train")</f>
        <v>0.42561454773033286</v>
      </c>
      <c r="P150">
        <f>IF(AND(COUNTIFS(Data!$M$2:$M$301,"Train",Data!$B$2:$B$301,"&lt;="&amp;L150)&gt;0,COUNTIFS(Data!$M$2:$M$301,"Train",Data!$B$2:$B$301,"&gt;"&amp;L150)&gt;0),O150,1E+99)</f>
        <v>0.42561454773033286</v>
      </c>
    </row>
    <row r="151" spans="12:16" x14ac:dyDescent="0.2">
      <c r="L151">
        <f>Data!B151</f>
        <v>2004</v>
      </c>
      <c r="M151">
        <f>IF(COUNTIFS(Data!$M$2:$M$301,"Train",Data!$C$2:$C$301,"&lt;="&amp;ClassTree!$L$2,Data!$B$2:$B$301,"&lt;="&amp;L151)=0,0,1-(SUMIFS(Data!$L$2:$L$301,Data!$M$2:$M$301,"Train",Data!$C$2:$C$301,"&lt;="&amp;ClassTree!$L$2,Data!$B$2:$B$301,"&lt;="&amp;L151)/COUNTIFS(Data!$M$2:$M$301,"Train",Data!$C$2:$C$301,"&lt;="&amp;ClassTree!$L$2,Data!$B$2:$B$301,"&lt;="&amp;L151))^2-(1-SUMIFS(Data!$L$2:$L$301,Data!$M$2:$M$301,"Train",Data!$C$2:$C$301,"&lt;="&amp;ClassTree!$L$2,Data!$B$2:$B$301,"&lt;="&amp;L151)/COUNTIFS(Data!$M$2:$M$301,"Train",Data!$C$2:$C$301,"&lt;="&amp;ClassTree!$L$2,Data!$B$2:$B$301,"&lt;="&amp;L151))^2)</f>
        <v>0.17999999999999994</v>
      </c>
      <c r="N151">
        <f>IF(COUNTIFS(Data!$M$2:$M$301,"Train",Data!$C$2:$C$301,"&gt;"&amp;ClassTree!$L$2,Data!$B$2:$B$301,"&gt;"&amp;L151)=0,0,1-(SUMIFS(Data!$L$2:$L$301,Data!$M$2:$M$301,"Train",Data!$C$2:$C$301,"&gt;"&amp;ClassTree!$L$2,Data!$B$2:$B$301,"&gt;"&amp;L151)/COUNTIFS(Data!$M$2:$M$301,"Train",Data!$C$2:$C$301,"&gt;"&amp;ClassTree!$L$2,Data!$B$2:$B$301,"&gt;"&amp;L151))^2-(1-SUMIFS(Data!$L$2:$L$301,Data!$M$2:$M$301,"Train",Data!$C$2:$C$301,"&gt;"&amp;ClassTree!$L$2,Data!$B$2:$B$301,"&gt;"&amp;L151)/COUNTIFS(Data!$M$2:$M$301,"Train",Data!$C$2:$C$301,"&gt;"&amp;ClassTree!$L$2,Data!$B$2:$B$301,"&gt;"&amp;L151))^2)</f>
        <v>0.46924800000000005</v>
      </c>
      <c r="O151">
        <f>((COUNTIFS(Data!$M$2:$M$301,"Train",Data!$C$2:$C$301,"&lt;="&amp;ClassTree!$L$2)*M151)+(COUNTIFS(Data!$M$2:$M$301,"Train",Data!$C$2:$C$301,"&gt;"&amp;ClassTree!$L$2)*N151))/COUNTIF(Data!$M$2:$M$301,"Train")</f>
        <v>0.43894582857142855</v>
      </c>
      <c r="P151">
        <f>IF(AND(COUNTIFS(Data!$M$2:$M$301,"Train",Data!$B$2:$B$301,"&lt;="&amp;L151)&gt;0,COUNTIFS(Data!$M$2:$M$301,"Train",Data!$B$2:$B$301,"&gt;"&amp;L151)&gt;0),O151,1E+99)</f>
        <v>0.43894582857142855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26"/>
  <sheetViews>
    <sheetView workbookViewId="0"/>
  </sheetViews>
  <sheetFormatPr baseColWidth="10" defaultColWidth="8.83203125" defaultRowHeight="15" x14ac:dyDescent="0.2"/>
  <cols>
    <col min="1" max="5" width="13" customWidth="1"/>
    <col min="7" max="9" width="32" customWidth="1"/>
    <col min="11" max="14" width="13" customWidth="1"/>
    <col min="15" max="15" width="16" customWidth="1"/>
    <col min="17" max="17" width="13" customWidth="1"/>
    <col min="18" max="18" width="15" customWidth="1"/>
  </cols>
  <sheetData>
    <row r="1" spans="1:18" x14ac:dyDescent="0.2">
      <c r="A1" t="s">
        <v>185</v>
      </c>
      <c r="B1" t="s">
        <v>45</v>
      </c>
      <c r="C1" t="s">
        <v>186</v>
      </c>
      <c r="D1" t="s">
        <v>187</v>
      </c>
      <c r="E1" t="s">
        <v>188</v>
      </c>
      <c r="G1" t="s">
        <v>189</v>
      </c>
      <c r="H1" t="s">
        <v>190</v>
      </c>
      <c r="I1" t="s">
        <v>191</v>
      </c>
      <c r="K1" t="s">
        <v>192</v>
      </c>
      <c r="L1" t="s">
        <v>193</v>
      </c>
      <c r="M1" t="s">
        <v>194</v>
      </c>
      <c r="N1" t="s">
        <v>195</v>
      </c>
      <c r="O1" t="s">
        <v>196</v>
      </c>
      <c r="Q1" t="s">
        <v>194</v>
      </c>
      <c r="R1" t="s">
        <v>197</v>
      </c>
    </row>
    <row r="2" spans="1:18" x14ac:dyDescent="0.2">
      <c r="A2">
        <f>Data!A2</f>
        <v>1</v>
      </c>
      <c r="B2">
        <f>Data!L2</f>
        <v>0</v>
      </c>
      <c r="C2">
        <f t="shared" ref="C2:C65" si="0">1+MOD(A2-1,5)</f>
        <v>1</v>
      </c>
      <c r="D2">
        <f t="shared" ref="D2:D65" si="1">1+MOD(A2+1,5)</f>
        <v>3</v>
      </c>
      <c r="E2">
        <f t="shared" ref="E2:E65" si="2">1+MOD(A2+3,5)</f>
        <v>5</v>
      </c>
      <c r="G2">
        <f>MIN(COUNTIFS(C2:C211,1,B2:B211,0),COUNTIFS(C2:C211,1,B2:B211,1))</f>
        <v>20</v>
      </c>
      <c r="H2">
        <f>MIN(COUNTIFS(D2:D211,1,B2:B211,0),COUNTIFS(D2:D211,1,B2:B211,1))</f>
        <v>17</v>
      </c>
      <c r="I2">
        <f>MIN(COUNTIFS(E2:E211,1,B2:B211,0),COUNTIFS(E2:E211,1,B2:B211,1))</f>
        <v>19</v>
      </c>
      <c r="K2">
        <v>1</v>
      </c>
      <c r="L2">
        <v>1</v>
      </c>
      <c r="M2">
        <v>1</v>
      </c>
      <c r="N2">
        <v>5</v>
      </c>
      <c r="O2">
        <f>MAX(0.5,MIN(0.99,RF_Mechanics!J94-ABS(M2-2.5)*0.015+LOG10(N2)*0.02-ABS(L2-3)*0.003-ABS(K2-2)*0.002))</f>
        <v>0.52792384453116481</v>
      </c>
      <c r="Q2">
        <v>1</v>
      </c>
      <c r="R2">
        <f>AVERAGEIFS(O2:O226,M2:M226,Q2)</f>
        <v>0.54367777777777804</v>
      </c>
    </row>
    <row r="3" spans="1:18" x14ac:dyDescent="0.2">
      <c r="A3">
        <f>Data!A3</f>
        <v>2</v>
      </c>
      <c r="B3">
        <f>Data!L3</f>
        <v>0</v>
      </c>
      <c r="C3">
        <f t="shared" si="0"/>
        <v>2</v>
      </c>
      <c r="D3">
        <f t="shared" si="1"/>
        <v>4</v>
      </c>
      <c r="E3">
        <f t="shared" si="2"/>
        <v>1</v>
      </c>
      <c r="G3">
        <f>MIN(COUNTIFS(C2:C211,2,B2:B211,0),COUNTIFS(C2:C211,2,B2:B211,1))</f>
        <v>19</v>
      </c>
      <c r="H3">
        <f>MIN(COUNTIFS(D2:D211,2,B2:B211,0),COUNTIFS(D2:D211,2,B2:B211,1))</f>
        <v>20</v>
      </c>
      <c r="I3">
        <f>MIN(COUNTIFS(E2:E211,2,B2:B211,0),COUNTIFS(E2:E211,2,B2:B211,1))</f>
        <v>21</v>
      </c>
      <c r="K3">
        <v>1</v>
      </c>
      <c r="L3">
        <v>1</v>
      </c>
      <c r="M3">
        <v>1</v>
      </c>
      <c r="N3">
        <v>20</v>
      </c>
      <c r="O3">
        <f>MAX(0.5,MIN(0.99,RF_Mechanics!J94-ABS(M3-2.5)*0.015+LOG10(N3)*0.02-ABS(L3-3)*0.003-ABS(K3-2)*0.002))</f>
        <v>0.53996504435772408</v>
      </c>
      <c r="Q3">
        <v>2</v>
      </c>
      <c r="R3">
        <f>AVERAGEIFS(O2:O226,M2:M226,Q3)</f>
        <v>0.55867777777777772</v>
      </c>
    </row>
    <row r="4" spans="1:18" x14ac:dyDescent="0.2">
      <c r="A4">
        <f>Data!A4</f>
        <v>3</v>
      </c>
      <c r="B4">
        <f>Data!L4</f>
        <v>1</v>
      </c>
      <c r="C4">
        <f t="shared" si="0"/>
        <v>3</v>
      </c>
      <c r="D4">
        <f t="shared" si="1"/>
        <v>5</v>
      </c>
      <c r="E4">
        <f t="shared" si="2"/>
        <v>2</v>
      </c>
      <c r="G4">
        <f>MIN(COUNTIFS(C2:C211,3,B2:B211,0),COUNTIFS(C2:C211,3,B2:B211,1))</f>
        <v>21</v>
      </c>
      <c r="H4">
        <f>MIN(COUNTIFS(D2:D211,3,B2:B211,0),COUNTIFS(D2:D211,3,B2:B211,1))</f>
        <v>20</v>
      </c>
      <c r="I4">
        <f>MIN(COUNTIFS(E2:E211,3,B2:B211,0),COUNTIFS(E2:E211,3,B2:B211,1))</f>
        <v>17</v>
      </c>
      <c r="K4">
        <v>1</v>
      </c>
      <c r="L4">
        <v>1</v>
      </c>
      <c r="M4">
        <v>1</v>
      </c>
      <c r="N4">
        <v>100</v>
      </c>
      <c r="O4">
        <f>MAX(0.5,MIN(0.99,RF_Mechanics!J94-ABS(M4-2.5)*0.015+LOG10(N4)*0.02-ABS(L4-3)*0.003-ABS(K4-2)*0.002))</f>
        <v>0.55394444444444446</v>
      </c>
      <c r="Q4">
        <v>3</v>
      </c>
      <c r="R4">
        <f>AVERAGEIFS(O2:O226,M2:M226,Q4)</f>
        <v>0.55867777777777772</v>
      </c>
    </row>
    <row r="5" spans="1:18" x14ac:dyDescent="0.2">
      <c r="A5">
        <f>Data!A5</f>
        <v>4</v>
      </c>
      <c r="B5">
        <f>Data!L5</f>
        <v>1</v>
      </c>
      <c r="C5">
        <f t="shared" si="0"/>
        <v>4</v>
      </c>
      <c r="D5">
        <f t="shared" si="1"/>
        <v>1</v>
      </c>
      <c r="E5">
        <f t="shared" si="2"/>
        <v>3</v>
      </c>
      <c r="G5">
        <f>MIN(COUNTIFS(C2:C211,4,B2:B211,0),COUNTIFS(C2:C211,4,B2:B211,1))</f>
        <v>17</v>
      </c>
      <c r="H5">
        <f>MIN(COUNTIFS(D2:D211,4,B2:B211,0),COUNTIFS(D2:D211,4,B2:B211,1))</f>
        <v>19</v>
      </c>
      <c r="I5">
        <f>MIN(COUNTIFS(E2:E211,4,B2:B211,0),COUNTIFS(E2:E211,4,B2:B211,1))</f>
        <v>20</v>
      </c>
      <c r="K5">
        <v>1</v>
      </c>
      <c r="L5">
        <v>1</v>
      </c>
      <c r="M5">
        <v>2</v>
      </c>
      <c r="N5">
        <v>5</v>
      </c>
      <c r="O5">
        <f>MAX(0.5,MIN(0.99,RF_Mechanics!J94-ABS(M5-2.5)*0.015+LOG10(N5)*0.02-ABS(L5-3)*0.003-ABS(K5-2)*0.002))</f>
        <v>0.54292384453116482</v>
      </c>
      <c r="Q5">
        <v>4</v>
      </c>
      <c r="R5">
        <f>AVERAGEIFS(O2:O226,M2:M226,Q5)</f>
        <v>0.54367777777777804</v>
      </c>
    </row>
    <row r="6" spans="1:18" x14ac:dyDescent="0.2">
      <c r="A6">
        <f>Data!A6</f>
        <v>5</v>
      </c>
      <c r="B6">
        <f>Data!L6</f>
        <v>0</v>
      </c>
      <c r="C6">
        <f t="shared" si="0"/>
        <v>5</v>
      </c>
      <c r="D6">
        <f t="shared" si="1"/>
        <v>2</v>
      </c>
      <c r="E6">
        <f t="shared" si="2"/>
        <v>4</v>
      </c>
      <c r="G6">
        <f>MIN(COUNTIFS(C2:C211,5,B2:B211,0),COUNTIFS(C2:C211,5,B2:B211,1))</f>
        <v>20</v>
      </c>
      <c r="H6">
        <f>MIN(COUNTIFS(D2:D211,5,B2:B211,0),COUNTIFS(D2:D211,5,B2:B211,1))</f>
        <v>21</v>
      </c>
      <c r="I6">
        <f>MIN(COUNTIFS(E2:E211,5,B2:B211,0),COUNTIFS(E2:E211,5,B2:B211,1))</f>
        <v>20</v>
      </c>
      <c r="K6">
        <v>1</v>
      </c>
      <c r="L6">
        <v>1</v>
      </c>
      <c r="M6">
        <v>2</v>
      </c>
      <c r="N6">
        <v>20</v>
      </c>
      <c r="O6">
        <f>MAX(0.5,MIN(0.99,RF_Mechanics!J94-ABS(M6-2.5)*0.015+LOG10(N6)*0.02-ABS(L6-3)*0.003-ABS(K6-2)*0.002))</f>
        <v>0.55496504435772409</v>
      </c>
      <c r="Q6">
        <v>5</v>
      </c>
      <c r="R6">
        <f>AVERAGEIFS(O2:O226,M2:M226,Q6)</f>
        <v>0.52867777777777769</v>
      </c>
    </row>
    <row r="7" spans="1:18" x14ac:dyDescent="0.2">
      <c r="A7">
        <f>Data!A7</f>
        <v>6</v>
      </c>
      <c r="B7">
        <f>Data!L7</f>
        <v>1</v>
      </c>
      <c r="C7">
        <f t="shared" si="0"/>
        <v>1</v>
      </c>
      <c r="D7">
        <f t="shared" si="1"/>
        <v>3</v>
      </c>
      <c r="E7">
        <f t="shared" si="2"/>
        <v>5</v>
      </c>
      <c r="K7">
        <v>1</v>
      </c>
      <c r="L7">
        <v>1</v>
      </c>
      <c r="M7">
        <v>2</v>
      </c>
      <c r="N7">
        <v>100</v>
      </c>
      <c r="O7">
        <f>MAX(0.5,MIN(0.99,RF_Mechanics!J94-ABS(M7-2.5)*0.015+LOG10(N7)*0.02-ABS(L7-3)*0.003-ABS(K7-2)*0.002))</f>
        <v>0.56894444444444447</v>
      </c>
    </row>
    <row r="8" spans="1:18" x14ac:dyDescent="0.2">
      <c r="A8">
        <f>Data!A8</f>
        <v>7</v>
      </c>
      <c r="B8">
        <f>Data!L8</f>
        <v>1</v>
      </c>
      <c r="C8">
        <f t="shared" si="0"/>
        <v>2</v>
      </c>
      <c r="D8">
        <f t="shared" si="1"/>
        <v>4</v>
      </c>
      <c r="E8">
        <f t="shared" si="2"/>
        <v>1</v>
      </c>
      <c r="K8">
        <v>1</v>
      </c>
      <c r="L8">
        <v>1</v>
      </c>
      <c r="M8">
        <v>3</v>
      </c>
      <c r="N8">
        <v>5</v>
      </c>
      <c r="O8">
        <f>MAX(0.5,MIN(0.99,RF_Mechanics!J94-ABS(M8-2.5)*0.015+LOG10(N8)*0.02-ABS(L8-3)*0.003-ABS(K8-2)*0.002))</f>
        <v>0.54292384453116482</v>
      </c>
      <c r="Q8" t="s">
        <v>198</v>
      </c>
      <c r="R8">
        <f>INDEX(Q2:Q6,MATCH(MAX(R2:R6),R2:R6,0))</f>
        <v>2</v>
      </c>
    </row>
    <row r="9" spans="1:18" x14ac:dyDescent="0.2">
      <c r="A9">
        <f>Data!A9</f>
        <v>8</v>
      </c>
      <c r="B9">
        <f>Data!L9</f>
        <v>1</v>
      </c>
      <c r="C9">
        <f t="shared" si="0"/>
        <v>3</v>
      </c>
      <c r="D9">
        <f t="shared" si="1"/>
        <v>5</v>
      </c>
      <c r="E9">
        <f t="shared" si="2"/>
        <v>2</v>
      </c>
      <c r="K9">
        <v>1</v>
      </c>
      <c r="L9">
        <v>1</v>
      </c>
      <c r="M9">
        <v>3</v>
      </c>
      <c r="N9">
        <v>20</v>
      </c>
      <c r="O9">
        <f>MAX(0.5,MIN(0.99,RF_Mechanics!J94-ABS(M9-2.5)*0.015+LOG10(N9)*0.02-ABS(L9-3)*0.003-ABS(K9-2)*0.002))</f>
        <v>0.55496504435772409</v>
      </c>
    </row>
    <row r="10" spans="1:18" x14ac:dyDescent="0.2">
      <c r="A10">
        <f>Data!A10</f>
        <v>9</v>
      </c>
      <c r="B10">
        <f>Data!L10</f>
        <v>1</v>
      </c>
      <c r="C10">
        <f t="shared" si="0"/>
        <v>4</v>
      </c>
      <c r="D10">
        <f t="shared" si="1"/>
        <v>1</v>
      </c>
      <c r="E10">
        <f t="shared" si="2"/>
        <v>3</v>
      </c>
      <c r="K10">
        <v>1</v>
      </c>
      <c r="L10">
        <v>1</v>
      </c>
      <c r="M10">
        <v>3</v>
      </c>
      <c r="N10">
        <v>100</v>
      </c>
      <c r="O10">
        <f>MAX(0.5,MIN(0.99,RF_Mechanics!J94-ABS(M10-2.5)*0.015+LOG10(N10)*0.02-ABS(L10-3)*0.003-ABS(K10-2)*0.002))</f>
        <v>0.56894444444444447</v>
      </c>
    </row>
    <row r="11" spans="1:18" x14ac:dyDescent="0.2">
      <c r="A11">
        <f>Data!A11</f>
        <v>10</v>
      </c>
      <c r="B11">
        <f>Data!L11</f>
        <v>1</v>
      </c>
      <c r="C11">
        <f t="shared" si="0"/>
        <v>5</v>
      </c>
      <c r="D11">
        <f t="shared" si="1"/>
        <v>2</v>
      </c>
      <c r="E11">
        <f t="shared" si="2"/>
        <v>4</v>
      </c>
      <c r="K11">
        <v>1</v>
      </c>
      <c r="L11">
        <v>1</v>
      </c>
      <c r="M11">
        <v>4</v>
      </c>
      <c r="N11">
        <v>5</v>
      </c>
      <c r="O11">
        <f>MAX(0.5,MIN(0.99,RF_Mechanics!J94-ABS(M11-2.5)*0.015+LOG10(N11)*0.02-ABS(L11-3)*0.003-ABS(K11-2)*0.002))</f>
        <v>0.52792384453116481</v>
      </c>
    </row>
    <row r="12" spans="1:18" x14ac:dyDescent="0.2">
      <c r="A12">
        <f>Data!A12</f>
        <v>11</v>
      </c>
      <c r="B12">
        <f>Data!L12</f>
        <v>1</v>
      </c>
      <c r="C12">
        <f t="shared" si="0"/>
        <v>1</v>
      </c>
      <c r="D12">
        <f t="shared" si="1"/>
        <v>3</v>
      </c>
      <c r="E12">
        <f t="shared" si="2"/>
        <v>5</v>
      </c>
      <c r="K12">
        <v>1</v>
      </c>
      <c r="L12">
        <v>1</v>
      </c>
      <c r="M12">
        <v>4</v>
      </c>
      <c r="N12">
        <v>20</v>
      </c>
      <c r="O12">
        <f>MAX(0.5,MIN(0.99,RF_Mechanics!J94-ABS(M12-2.5)*0.015+LOG10(N12)*0.02-ABS(L12-3)*0.003-ABS(K12-2)*0.002))</f>
        <v>0.53996504435772408</v>
      </c>
    </row>
    <row r="13" spans="1:18" x14ac:dyDescent="0.2">
      <c r="A13">
        <f>Data!A13</f>
        <v>12</v>
      </c>
      <c r="B13">
        <f>Data!L13</f>
        <v>0</v>
      </c>
      <c r="C13">
        <f t="shared" si="0"/>
        <v>2</v>
      </c>
      <c r="D13">
        <f t="shared" si="1"/>
        <v>4</v>
      </c>
      <c r="E13">
        <f t="shared" si="2"/>
        <v>1</v>
      </c>
      <c r="K13">
        <v>1</v>
      </c>
      <c r="L13">
        <v>1</v>
      </c>
      <c r="M13">
        <v>4</v>
      </c>
      <c r="N13">
        <v>100</v>
      </c>
      <c r="O13">
        <f>MAX(0.5,MIN(0.99,RF_Mechanics!J94-ABS(M13-2.5)*0.015+LOG10(N13)*0.02-ABS(L13-3)*0.003-ABS(K13-2)*0.002))</f>
        <v>0.55394444444444446</v>
      </c>
    </row>
    <row r="14" spans="1:18" x14ac:dyDescent="0.2">
      <c r="A14">
        <f>Data!A14</f>
        <v>13</v>
      </c>
      <c r="B14">
        <f>Data!L14</f>
        <v>0</v>
      </c>
      <c r="C14">
        <f t="shared" si="0"/>
        <v>3</v>
      </c>
      <c r="D14">
        <f t="shared" si="1"/>
        <v>5</v>
      </c>
      <c r="E14">
        <f t="shared" si="2"/>
        <v>2</v>
      </c>
      <c r="K14">
        <v>1</v>
      </c>
      <c r="L14">
        <v>1</v>
      </c>
      <c r="M14">
        <v>5</v>
      </c>
      <c r="N14">
        <v>5</v>
      </c>
      <c r="O14">
        <f>MAX(0.5,MIN(0.99,RF_Mechanics!J94-ABS(M14-2.5)*0.015+LOG10(N14)*0.02-ABS(L14-3)*0.003-ABS(K14-2)*0.002))</f>
        <v>0.5129238445311648</v>
      </c>
    </row>
    <row r="15" spans="1:18" x14ac:dyDescent="0.2">
      <c r="A15">
        <f>Data!A15</f>
        <v>14</v>
      </c>
      <c r="B15">
        <f>Data!L15</f>
        <v>1</v>
      </c>
      <c r="C15">
        <f t="shared" si="0"/>
        <v>4</v>
      </c>
      <c r="D15">
        <f t="shared" si="1"/>
        <v>1</v>
      </c>
      <c r="E15">
        <f t="shared" si="2"/>
        <v>3</v>
      </c>
      <c r="K15">
        <v>1</v>
      </c>
      <c r="L15">
        <v>1</v>
      </c>
      <c r="M15">
        <v>5</v>
      </c>
      <c r="N15">
        <v>20</v>
      </c>
      <c r="O15">
        <f>MAX(0.5,MIN(0.99,RF_Mechanics!J94-ABS(M15-2.5)*0.015+LOG10(N15)*0.02-ABS(L15-3)*0.003-ABS(K15-2)*0.002))</f>
        <v>0.52496504435772406</v>
      </c>
    </row>
    <row r="16" spans="1:18" x14ac:dyDescent="0.2">
      <c r="A16">
        <f>Data!A16</f>
        <v>15</v>
      </c>
      <c r="B16">
        <f>Data!L16</f>
        <v>1</v>
      </c>
      <c r="C16">
        <f t="shared" si="0"/>
        <v>5</v>
      </c>
      <c r="D16">
        <f t="shared" si="1"/>
        <v>2</v>
      </c>
      <c r="E16">
        <f t="shared" si="2"/>
        <v>4</v>
      </c>
      <c r="K16">
        <v>1</v>
      </c>
      <c r="L16">
        <v>1</v>
      </c>
      <c r="M16">
        <v>5</v>
      </c>
      <c r="N16">
        <v>100</v>
      </c>
      <c r="O16">
        <f>MAX(0.5,MIN(0.99,RF_Mechanics!J94-ABS(M16-2.5)*0.015+LOG10(N16)*0.02-ABS(L16-3)*0.003-ABS(K16-2)*0.002))</f>
        <v>0.53894444444444445</v>
      </c>
    </row>
    <row r="17" spans="1:15" x14ac:dyDescent="0.2">
      <c r="A17">
        <f>Data!A17</f>
        <v>16</v>
      </c>
      <c r="B17">
        <f>Data!L17</f>
        <v>0</v>
      </c>
      <c r="C17">
        <f t="shared" si="0"/>
        <v>1</v>
      </c>
      <c r="D17">
        <f t="shared" si="1"/>
        <v>3</v>
      </c>
      <c r="E17">
        <f t="shared" si="2"/>
        <v>5</v>
      </c>
      <c r="K17">
        <v>1</v>
      </c>
      <c r="L17">
        <v>2</v>
      </c>
      <c r="M17">
        <v>1</v>
      </c>
      <c r="N17">
        <v>5</v>
      </c>
      <c r="O17">
        <f>MAX(0.5,MIN(0.99,RF_Mechanics!J94-ABS(M17-2.5)*0.015+LOG10(N17)*0.02-ABS(L17-3)*0.003-ABS(K17-2)*0.002))</f>
        <v>0.53092384453116481</v>
      </c>
    </row>
    <row r="18" spans="1:15" x14ac:dyDescent="0.2">
      <c r="A18">
        <f>Data!A18</f>
        <v>17</v>
      </c>
      <c r="B18">
        <f>Data!L18</f>
        <v>0</v>
      </c>
      <c r="C18">
        <f t="shared" si="0"/>
        <v>2</v>
      </c>
      <c r="D18">
        <f t="shared" si="1"/>
        <v>4</v>
      </c>
      <c r="E18">
        <f t="shared" si="2"/>
        <v>1</v>
      </c>
      <c r="K18">
        <v>1</v>
      </c>
      <c r="L18">
        <v>2</v>
      </c>
      <c r="M18">
        <v>1</v>
      </c>
      <c r="N18">
        <v>20</v>
      </c>
      <c r="O18">
        <f>MAX(0.5,MIN(0.99,RF_Mechanics!J94-ABS(M18-2.5)*0.015+LOG10(N18)*0.02-ABS(L18-3)*0.003-ABS(K18-2)*0.002))</f>
        <v>0.54296504435772408</v>
      </c>
    </row>
    <row r="19" spans="1:15" x14ac:dyDescent="0.2">
      <c r="A19">
        <f>Data!A19</f>
        <v>18</v>
      </c>
      <c r="B19">
        <f>Data!L19</f>
        <v>1</v>
      </c>
      <c r="C19">
        <f t="shared" si="0"/>
        <v>3</v>
      </c>
      <c r="D19">
        <f t="shared" si="1"/>
        <v>5</v>
      </c>
      <c r="E19">
        <f t="shared" si="2"/>
        <v>2</v>
      </c>
      <c r="K19">
        <v>1</v>
      </c>
      <c r="L19">
        <v>2</v>
      </c>
      <c r="M19">
        <v>1</v>
      </c>
      <c r="N19">
        <v>100</v>
      </c>
      <c r="O19">
        <f>MAX(0.5,MIN(0.99,RF_Mechanics!J94-ABS(M19-2.5)*0.015+LOG10(N19)*0.02-ABS(L19-3)*0.003-ABS(K19-2)*0.002))</f>
        <v>0.55694444444444446</v>
      </c>
    </row>
    <row r="20" spans="1:15" x14ac:dyDescent="0.2">
      <c r="A20">
        <f>Data!A20</f>
        <v>19</v>
      </c>
      <c r="B20">
        <f>Data!L20</f>
        <v>1</v>
      </c>
      <c r="C20">
        <f t="shared" si="0"/>
        <v>4</v>
      </c>
      <c r="D20">
        <f t="shared" si="1"/>
        <v>1</v>
      </c>
      <c r="E20">
        <f t="shared" si="2"/>
        <v>3</v>
      </c>
      <c r="K20">
        <v>1</v>
      </c>
      <c r="L20">
        <v>2</v>
      </c>
      <c r="M20">
        <v>2</v>
      </c>
      <c r="N20">
        <v>5</v>
      </c>
      <c r="O20">
        <f>MAX(0.5,MIN(0.99,RF_Mechanics!J94-ABS(M20-2.5)*0.015+LOG10(N20)*0.02-ABS(L20-3)*0.003-ABS(K20-2)*0.002))</f>
        <v>0.54592384453116483</v>
      </c>
    </row>
    <row r="21" spans="1:15" x14ac:dyDescent="0.2">
      <c r="A21">
        <f>Data!A21</f>
        <v>20</v>
      </c>
      <c r="B21">
        <f>Data!L21</f>
        <v>0</v>
      </c>
      <c r="C21">
        <f t="shared" si="0"/>
        <v>5</v>
      </c>
      <c r="D21">
        <f t="shared" si="1"/>
        <v>2</v>
      </c>
      <c r="E21">
        <f t="shared" si="2"/>
        <v>4</v>
      </c>
      <c r="K21">
        <v>1</v>
      </c>
      <c r="L21">
        <v>2</v>
      </c>
      <c r="M21">
        <v>2</v>
      </c>
      <c r="N21">
        <v>20</v>
      </c>
      <c r="O21">
        <f>MAX(0.5,MIN(0.99,RF_Mechanics!J94-ABS(M21-2.5)*0.015+LOG10(N21)*0.02-ABS(L21-3)*0.003-ABS(K21-2)*0.002))</f>
        <v>0.55796504435772409</v>
      </c>
    </row>
    <row r="22" spans="1:15" x14ac:dyDescent="0.2">
      <c r="A22">
        <f>Data!A22</f>
        <v>21</v>
      </c>
      <c r="B22">
        <f>Data!L22</f>
        <v>1</v>
      </c>
      <c r="C22">
        <f t="shared" si="0"/>
        <v>1</v>
      </c>
      <c r="D22">
        <f t="shared" si="1"/>
        <v>3</v>
      </c>
      <c r="E22">
        <f t="shared" si="2"/>
        <v>5</v>
      </c>
      <c r="K22">
        <v>1</v>
      </c>
      <c r="L22">
        <v>2</v>
      </c>
      <c r="M22">
        <v>2</v>
      </c>
      <c r="N22">
        <v>100</v>
      </c>
      <c r="O22">
        <f>MAX(0.5,MIN(0.99,RF_Mechanics!J94-ABS(M22-2.5)*0.015+LOG10(N22)*0.02-ABS(L22-3)*0.003-ABS(K22-2)*0.002))</f>
        <v>0.57194444444444448</v>
      </c>
    </row>
    <row r="23" spans="1:15" x14ac:dyDescent="0.2">
      <c r="A23">
        <f>Data!A23</f>
        <v>22</v>
      </c>
      <c r="B23">
        <f>Data!L23</f>
        <v>0</v>
      </c>
      <c r="C23">
        <f t="shared" si="0"/>
        <v>2</v>
      </c>
      <c r="D23">
        <f t="shared" si="1"/>
        <v>4</v>
      </c>
      <c r="E23">
        <f t="shared" si="2"/>
        <v>1</v>
      </c>
      <c r="K23">
        <v>1</v>
      </c>
      <c r="L23">
        <v>2</v>
      </c>
      <c r="M23">
        <v>3</v>
      </c>
      <c r="N23">
        <v>5</v>
      </c>
      <c r="O23">
        <f>MAX(0.5,MIN(0.99,RF_Mechanics!J94-ABS(M23-2.5)*0.015+LOG10(N23)*0.02-ABS(L23-3)*0.003-ABS(K23-2)*0.002))</f>
        <v>0.54592384453116483</v>
      </c>
    </row>
    <row r="24" spans="1:15" x14ac:dyDescent="0.2">
      <c r="A24">
        <f>Data!A24</f>
        <v>23</v>
      </c>
      <c r="B24">
        <f>Data!L24</f>
        <v>0</v>
      </c>
      <c r="C24">
        <f t="shared" si="0"/>
        <v>3</v>
      </c>
      <c r="D24">
        <f t="shared" si="1"/>
        <v>5</v>
      </c>
      <c r="E24">
        <f t="shared" si="2"/>
        <v>2</v>
      </c>
      <c r="K24">
        <v>1</v>
      </c>
      <c r="L24">
        <v>2</v>
      </c>
      <c r="M24">
        <v>3</v>
      </c>
      <c r="N24">
        <v>20</v>
      </c>
      <c r="O24">
        <f>MAX(0.5,MIN(0.99,RF_Mechanics!J94-ABS(M24-2.5)*0.015+LOG10(N24)*0.02-ABS(L24-3)*0.003-ABS(K24-2)*0.002))</f>
        <v>0.55796504435772409</v>
      </c>
    </row>
    <row r="25" spans="1:15" x14ac:dyDescent="0.2">
      <c r="A25">
        <f>Data!A25</f>
        <v>24</v>
      </c>
      <c r="B25">
        <f>Data!L25</f>
        <v>1</v>
      </c>
      <c r="C25">
        <f t="shared" si="0"/>
        <v>4</v>
      </c>
      <c r="D25">
        <f t="shared" si="1"/>
        <v>1</v>
      </c>
      <c r="E25">
        <f t="shared" si="2"/>
        <v>3</v>
      </c>
      <c r="K25">
        <v>1</v>
      </c>
      <c r="L25">
        <v>2</v>
      </c>
      <c r="M25">
        <v>3</v>
      </c>
      <c r="N25">
        <v>100</v>
      </c>
      <c r="O25">
        <f>MAX(0.5,MIN(0.99,RF_Mechanics!J94-ABS(M25-2.5)*0.015+LOG10(N25)*0.02-ABS(L25-3)*0.003-ABS(K25-2)*0.002))</f>
        <v>0.57194444444444448</v>
      </c>
    </row>
    <row r="26" spans="1:15" x14ac:dyDescent="0.2">
      <c r="A26">
        <f>Data!A26</f>
        <v>25</v>
      </c>
      <c r="B26">
        <f>Data!L26</f>
        <v>0</v>
      </c>
      <c r="C26">
        <f t="shared" si="0"/>
        <v>5</v>
      </c>
      <c r="D26">
        <f t="shared" si="1"/>
        <v>2</v>
      </c>
      <c r="E26">
        <f t="shared" si="2"/>
        <v>4</v>
      </c>
      <c r="K26">
        <v>1</v>
      </c>
      <c r="L26">
        <v>2</v>
      </c>
      <c r="M26">
        <v>4</v>
      </c>
      <c r="N26">
        <v>5</v>
      </c>
      <c r="O26">
        <f>MAX(0.5,MIN(0.99,RF_Mechanics!J94-ABS(M26-2.5)*0.015+LOG10(N26)*0.02-ABS(L26-3)*0.003-ABS(K26-2)*0.002))</f>
        <v>0.53092384453116481</v>
      </c>
    </row>
    <row r="27" spans="1:15" x14ac:dyDescent="0.2">
      <c r="A27">
        <f>Data!A27</f>
        <v>26</v>
      </c>
      <c r="B27">
        <f>Data!L27</f>
        <v>1</v>
      </c>
      <c r="C27">
        <f t="shared" si="0"/>
        <v>1</v>
      </c>
      <c r="D27">
        <f t="shared" si="1"/>
        <v>3</v>
      </c>
      <c r="E27">
        <f t="shared" si="2"/>
        <v>5</v>
      </c>
      <c r="K27">
        <v>1</v>
      </c>
      <c r="L27">
        <v>2</v>
      </c>
      <c r="M27">
        <v>4</v>
      </c>
      <c r="N27">
        <v>20</v>
      </c>
      <c r="O27">
        <f>MAX(0.5,MIN(0.99,RF_Mechanics!J94-ABS(M27-2.5)*0.015+LOG10(N27)*0.02-ABS(L27-3)*0.003-ABS(K27-2)*0.002))</f>
        <v>0.54296504435772408</v>
      </c>
    </row>
    <row r="28" spans="1:15" x14ac:dyDescent="0.2">
      <c r="A28">
        <f>Data!A28</f>
        <v>27</v>
      </c>
      <c r="B28">
        <f>Data!L28</f>
        <v>0</v>
      </c>
      <c r="C28">
        <f t="shared" si="0"/>
        <v>2</v>
      </c>
      <c r="D28">
        <f t="shared" si="1"/>
        <v>4</v>
      </c>
      <c r="E28">
        <f t="shared" si="2"/>
        <v>1</v>
      </c>
      <c r="K28">
        <v>1</v>
      </c>
      <c r="L28">
        <v>2</v>
      </c>
      <c r="M28">
        <v>4</v>
      </c>
      <c r="N28">
        <v>100</v>
      </c>
      <c r="O28">
        <f>MAX(0.5,MIN(0.99,RF_Mechanics!J94-ABS(M28-2.5)*0.015+LOG10(N28)*0.02-ABS(L28-3)*0.003-ABS(K28-2)*0.002))</f>
        <v>0.55694444444444446</v>
      </c>
    </row>
    <row r="29" spans="1:15" x14ac:dyDescent="0.2">
      <c r="A29">
        <f>Data!A29</f>
        <v>28</v>
      </c>
      <c r="B29">
        <f>Data!L29</f>
        <v>0</v>
      </c>
      <c r="C29">
        <f t="shared" si="0"/>
        <v>3</v>
      </c>
      <c r="D29">
        <f t="shared" si="1"/>
        <v>5</v>
      </c>
      <c r="E29">
        <f t="shared" si="2"/>
        <v>2</v>
      </c>
      <c r="K29">
        <v>1</v>
      </c>
      <c r="L29">
        <v>2</v>
      </c>
      <c r="M29">
        <v>5</v>
      </c>
      <c r="N29">
        <v>5</v>
      </c>
      <c r="O29">
        <f>MAX(0.5,MIN(0.99,RF_Mechanics!J94-ABS(M29-2.5)*0.015+LOG10(N29)*0.02-ABS(L29-3)*0.003-ABS(K29-2)*0.002))</f>
        <v>0.5159238445311648</v>
      </c>
    </row>
    <row r="30" spans="1:15" x14ac:dyDescent="0.2">
      <c r="A30">
        <f>Data!A30</f>
        <v>29</v>
      </c>
      <c r="B30">
        <f>Data!L30</f>
        <v>1</v>
      </c>
      <c r="C30">
        <f t="shared" si="0"/>
        <v>4</v>
      </c>
      <c r="D30">
        <f t="shared" si="1"/>
        <v>1</v>
      </c>
      <c r="E30">
        <f t="shared" si="2"/>
        <v>3</v>
      </c>
      <c r="K30">
        <v>1</v>
      </c>
      <c r="L30">
        <v>2</v>
      </c>
      <c r="M30">
        <v>5</v>
      </c>
      <c r="N30">
        <v>20</v>
      </c>
      <c r="O30">
        <f>MAX(0.5,MIN(0.99,RF_Mechanics!J94-ABS(M30-2.5)*0.015+LOG10(N30)*0.02-ABS(L30-3)*0.003-ABS(K30-2)*0.002))</f>
        <v>0.52796504435772407</v>
      </c>
    </row>
    <row r="31" spans="1:15" x14ac:dyDescent="0.2">
      <c r="A31">
        <f>Data!A31</f>
        <v>30</v>
      </c>
      <c r="B31">
        <f>Data!L31</f>
        <v>0</v>
      </c>
      <c r="C31">
        <f t="shared" si="0"/>
        <v>5</v>
      </c>
      <c r="D31">
        <f t="shared" si="1"/>
        <v>2</v>
      </c>
      <c r="E31">
        <f t="shared" si="2"/>
        <v>4</v>
      </c>
      <c r="K31">
        <v>1</v>
      </c>
      <c r="L31">
        <v>2</v>
      </c>
      <c r="M31">
        <v>5</v>
      </c>
      <c r="N31">
        <v>100</v>
      </c>
      <c r="O31">
        <f>MAX(0.5,MIN(0.99,RF_Mechanics!J94-ABS(M31-2.5)*0.015+LOG10(N31)*0.02-ABS(L31-3)*0.003-ABS(K31-2)*0.002))</f>
        <v>0.54194444444444445</v>
      </c>
    </row>
    <row r="32" spans="1:15" x14ac:dyDescent="0.2">
      <c r="A32">
        <f>Data!A32</f>
        <v>31</v>
      </c>
      <c r="B32">
        <f>Data!L32</f>
        <v>1</v>
      </c>
      <c r="C32">
        <f t="shared" si="0"/>
        <v>1</v>
      </c>
      <c r="D32">
        <f t="shared" si="1"/>
        <v>3</v>
      </c>
      <c r="E32">
        <f t="shared" si="2"/>
        <v>5</v>
      </c>
      <c r="K32">
        <v>1</v>
      </c>
      <c r="L32">
        <v>3</v>
      </c>
      <c r="M32">
        <v>1</v>
      </c>
      <c r="N32">
        <v>5</v>
      </c>
      <c r="O32">
        <f>MAX(0.5,MIN(0.99,RF_Mechanics!J94-ABS(M32-2.5)*0.015+LOG10(N32)*0.02-ABS(L32-3)*0.003-ABS(K32-2)*0.002))</f>
        <v>0.53392384453116482</v>
      </c>
    </row>
    <row r="33" spans="1:15" x14ac:dyDescent="0.2">
      <c r="A33">
        <f>Data!A33</f>
        <v>32</v>
      </c>
      <c r="B33">
        <f>Data!L33</f>
        <v>1</v>
      </c>
      <c r="C33">
        <f t="shared" si="0"/>
        <v>2</v>
      </c>
      <c r="D33">
        <f t="shared" si="1"/>
        <v>4</v>
      </c>
      <c r="E33">
        <f t="shared" si="2"/>
        <v>1</v>
      </c>
      <c r="K33">
        <v>1</v>
      </c>
      <c r="L33">
        <v>3</v>
      </c>
      <c r="M33">
        <v>1</v>
      </c>
      <c r="N33">
        <v>20</v>
      </c>
      <c r="O33">
        <f>MAX(0.5,MIN(0.99,RF_Mechanics!J94-ABS(M33-2.5)*0.015+LOG10(N33)*0.02-ABS(L33-3)*0.003-ABS(K33-2)*0.002))</f>
        <v>0.54596504435772408</v>
      </c>
    </row>
    <row r="34" spans="1:15" x14ac:dyDescent="0.2">
      <c r="A34">
        <f>Data!A34</f>
        <v>33</v>
      </c>
      <c r="B34">
        <f>Data!L34</f>
        <v>0</v>
      </c>
      <c r="C34">
        <f t="shared" si="0"/>
        <v>3</v>
      </c>
      <c r="D34">
        <f t="shared" si="1"/>
        <v>5</v>
      </c>
      <c r="E34">
        <f t="shared" si="2"/>
        <v>2</v>
      </c>
      <c r="K34">
        <v>1</v>
      </c>
      <c r="L34">
        <v>3</v>
      </c>
      <c r="M34">
        <v>1</v>
      </c>
      <c r="N34">
        <v>100</v>
      </c>
      <c r="O34">
        <f>MAX(0.5,MIN(0.99,RF_Mechanics!J94-ABS(M34-2.5)*0.015+LOG10(N34)*0.02-ABS(L34-3)*0.003-ABS(K34-2)*0.002))</f>
        <v>0.55994444444444447</v>
      </c>
    </row>
    <row r="35" spans="1:15" x14ac:dyDescent="0.2">
      <c r="A35">
        <f>Data!A35</f>
        <v>34</v>
      </c>
      <c r="B35">
        <f>Data!L35</f>
        <v>1</v>
      </c>
      <c r="C35">
        <f t="shared" si="0"/>
        <v>4</v>
      </c>
      <c r="D35">
        <f t="shared" si="1"/>
        <v>1</v>
      </c>
      <c r="E35">
        <f t="shared" si="2"/>
        <v>3</v>
      </c>
      <c r="K35">
        <v>1</v>
      </c>
      <c r="L35">
        <v>3</v>
      </c>
      <c r="M35">
        <v>2</v>
      </c>
      <c r="N35">
        <v>5</v>
      </c>
      <c r="O35">
        <f>MAX(0.5,MIN(0.99,RF_Mechanics!J94-ABS(M35-2.5)*0.015+LOG10(N35)*0.02-ABS(L35-3)*0.003-ABS(K35-2)*0.002))</f>
        <v>0.54892384453116483</v>
      </c>
    </row>
    <row r="36" spans="1:15" x14ac:dyDescent="0.2">
      <c r="A36">
        <f>Data!A36</f>
        <v>35</v>
      </c>
      <c r="B36">
        <f>Data!L36</f>
        <v>0</v>
      </c>
      <c r="C36">
        <f t="shared" si="0"/>
        <v>5</v>
      </c>
      <c r="D36">
        <f t="shared" si="1"/>
        <v>2</v>
      </c>
      <c r="E36">
        <f t="shared" si="2"/>
        <v>4</v>
      </c>
      <c r="K36">
        <v>1</v>
      </c>
      <c r="L36">
        <v>3</v>
      </c>
      <c r="M36">
        <v>2</v>
      </c>
      <c r="N36">
        <v>20</v>
      </c>
      <c r="O36">
        <f>MAX(0.5,MIN(0.99,RF_Mechanics!J94-ABS(M36-2.5)*0.015+LOG10(N36)*0.02-ABS(L36-3)*0.003-ABS(K36-2)*0.002))</f>
        <v>0.5609650443577241</v>
      </c>
    </row>
    <row r="37" spans="1:15" x14ac:dyDescent="0.2">
      <c r="A37">
        <f>Data!A37</f>
        <v>36</v>
      </c>
      <c r="B37">
        <f>Data!L37</f>
        <v>0</v>
      </c>
      <c r="C37">
        <f t="shared" si="0"/>
        <v>1</v>
      </c>
      <c r="D37">
        <f t="shared" si="1"/>
        <v>3</v>
      </c>
      <c r="E37">
        <f t="shared" si="2"/>
        <v>5</v>
      </c>
      <c r="K37">
        <v>1</v>
      </c>
      <c r="L37">
        <v>3</v>
      </c>
      <c r="M37">
        <v>2</v>
      </c>
      <c r="N37">
        <v>100</v>
      </c>
      <c r="O37">
        <f>MAX(0.5,MIN(0.99,RF_Mechanics!J94-ABS(M37-2.5)*0.015+LOG10(N37)*0.02-ABS(L37-3)*0.003-ABS(K37-2)*0.002))</f>
        <v>0.57494444444444448</v>
      </c>
    </row>
    <row r="38" spans="1:15" x14ac:dyDescent="0.2">
      <c r="A38">
        <f>Data!A38</f>
        <v>37</v>
      </c>
      <c r="B38">
        <f>Data!L38</f>
        <v>0</v>
      </c>
      <c r="C38">
        <f t="shared" si="0"/>
        <v>2</v>
      </c>
      <c r="D38">
        <f t="shared" si="1"/>
        <v>4</v>
      </c>
      <c r="E38">
        <f t="shared" si="2"/>
        <v>1</v>
      </c>
      <c r="K38">
        <v>1</v>
      </c>
      <c r="L38">
        <v>3</v>
      </c>
      <c r="M38">
        <v>3</v>
      </c>
      <c r="N38">
        <v>5</v>
      </c>
      <c r="O38">
        <f>MAX(0.5,MIN(0.99,RF_Mechanics!J94-ABS(M38-2.5)*0.015+LOG10(N38)*0.02-ABS(L38-3)*0.003-ABS(K38-2)*0.002))</f>
        <v>0.54892384453116483</v>
      </c>
    </row>
    <row r="39" spans="1:15" x14ac:dyDescent="0.2">
      <c r="A39">
        <f>Data!A39</f>
        <v>38</v>
      </c>
      <c r="B39">
        <f>Data!L39</f>
        <v>1</v>
      </c>
      <c r="C39">
        <f t="shared" si="0"/>
        <v>3</v>
      </c>
      <c r="D39">
        <f t="shared" si="1"/>
        <v>5</v>
      </c>
      <c r="E39">
        <f t="shared" si="2"/>
        <v>2</v>
      </c>
      <c r="K39">
        <v>1</v>
      </c>
      <c r="L39">
        <v>3</v>
      </c>
      <c r="M39">
        <v>3</v>
      </c>
      <c r="N39">
        <v>20</v>
      </c>
      <c r="O39">
        <f>MAX(0.5,MIN(0.99,RF_Mechanics!J94-ABS(M39-2.5)*0.015+LOG10(N39)*0.02-ABS(L39-3)*0.003-ABS(K39-2)*0.002))</f>
        <v>0.5609650443577241</v>
      </c>
    </row>
    <row r="40" spans="1:15" x14ac:dyDescent="0.2">
      <c r="A40">
        <f>Data!A40</f>
        <v>39</v>
      </c>
      <c r="B40">
        <f>Data!L40</f>
        <v>1</v>
      </c>
      <c r="C40">
        <f t="shared" si="0"/>
        <v>4</v>
      </c>
      <c r="D40">
        <f t="shared" si="1"/>
        <v>1</v>
      </c>
      <c r="E40">
        <f t="shared" si="2"/>
        <v>3</v>
      </c>
      <c r="K40">
        <v>1</v>
      </c>
      <c r="L40">
        <v>3</v>
      </c>
      <c r="M40">
        <v>3</v>
      </c>
      <c r="N40">
        <v>100</v>
      </c>
      <c r="O40">
        <f>MAX(0.5,MIN(0.99,RF_Mechanics!J94-ABS(M40-2.5)*0.015+LOG10(N40)*0.02-ABS(L40-3)*0.003-ABS(K40-2)*0.002))</f>
        <v>0.57494444444444448</v>
      </c>
    </row>
    <row r="41" spans="1:15" x14ac:dyDescent="0.2">
      <c r="A41">
        <f>Data!A41</f>
        <v>40</v>
      </c>
      <c r="B41">
        <f>Data!L41</f>
        <v>0</v>
      </c>
      <c r="C41">
        <f t="shared" si="0"/>
        <v>5</v>
      </c>
      <c r="D41">
        <f t="shared" si="1"/>
        <v>2</v>
      </c>
      <c r="E41">
        <f t="shared" si="2"/>
        <v>4</v>
      </c>
      <c r="K41">
        <v>1</v>
      </c>
      <c r="L41">
        <v>3</v>
      </c>
      <c r="M41">
        <v>4</v>
      </c>
      <c r="N41">
        <v>5</v>
      </c>
      <c r="O41">
        <f>MAX(0.5,MIN(0.99,RF_Mechanics!J94-ABS(M41-2.5)*0.015+LOG10(N41)*0.02-ABS(L41-3)*0.003-ABS(K41-2)*0.002))</f>
        <v>0.53392384453116482</v>
      </c>
    </row>
    <row r="42" spans="1:15" x14ac:dyDescent="0.2">
      <c r="A42">
        <f>Data!A42</f>
        <v>41</v>
      </c>
      <c r="B42">
        <f>Data!L42</f>
        <v>0</v>
      </c>
      <c r="C42">
        <f t="shared" si="0"/>
        <v>1</v>
      </c>
      <c r="D42">
        <f t="shared" si="1"/>
        <v>3</v>
      </c>
      <c r="E42">
        <f t="shared" si="2"/>
        <v>5</v>
      </c>
      <c r="K42">
        <v>1</v>
      </c>
      <c r="L42">
        <v>3</v>
      </c>
      <c r="M42">
        <v>4</v>
      </c>
      <c r="N42">
        <v>20</v>
      </c>
      <c r="O42">
        <f>MAX(0.5,MIN(0.99,RF_Mechanics!J94-ABS(M42-2.5)*0.015+LOG10(N42)*0.02-ABS(L42-3)*0.003-ABS(K42-2)*0.002))</f>
        <v>0.54596504435772408</v>
      </c>
    </row>
    <row r="43" spans="1:15" x14ac:dyDescent="0.2">
      <c r="A43">
        <f>Data!A43</f>
        <v>42</v>
      </c>
      <c r="B43">
        <f>Data!L43</f>
        <v>1</v>
      </c>
      <c r="C43">
        <f t="shared" si="0"/>
        <v>2</v>
      </c>
      <c r="D43">
        <f t="shared" si="1"/>
        <v>4</v>
      </c>
      <c r="E43">
        <f t="shared" si="2"/>
        <v>1</v>
      </c>
      <c r="K43">
        <v>1</v>
      </c>
      <c r="L43">
        <v>3</v>
      </c>
      <c r="M43">
        <v>4</v>
      </c>
      <c r="N43">
        <v>100</v>
      </c>
      <c r="O43">
        <f>MAX(0.5,MIN(0.99,RF_Mechanics!J94-ABS(M43-2.5)*0.015+LOG10(N43)*0.02-ABS(L43-3)*0.003-ABS(K43-2)*0.002))</f>
        <v>0.55994444444444447</v>
      </c>
    </row>
    <row r="44" spans="1:15" x14ac:dyDescent="0.2">
      <c r="A44">
        <f>Data!A44</f>
        <v>43</v>
      </c>
      <c r="B44">
        <f>Data!L44</f>
        <v>0</v>
      </c>
      <c r="C44">
        <f t="shared" si="0"/>
        <v>3</v>
      </c>
      <c r="D44">
        <f t="shared" si="1"/>
        <v>5</v>
      </c>
      <c r="E44">
        <f t="shared" si="2"/>
        <v>2</v>
      </c>
      <c r="K44">
        <v>1</v>
      </c>
      <c r="L44">
        <v>3</v>
      </c>
      <c r="M44">
        <v>5</v>
      </c>
      <c r="N44">
        <v>5</v>
      </c>
      <c r="O44">
        <f>MAX(0.5,MIN(0.99,RF_Mechanics!J94-ABS(M44-2.5)*0.015+LOG10(N44)*0.02-ABS(L44-3)*0.003-ABS(K44-2)*0.002))</f>
        <v>0.5189238445311648</v>
      </c>
    </row>
    <row r="45" spans="1:15" x14ac:dyDescent="0.2">
      <c r="A45">
        <f>Data!A45</f>
        <v>44</v>
      </c>
      <c r="B45">
        <f>Data!L45</f>
        <v>0</v>
      </c>
      <c r="C45">
        <f t="shared" si="0"/>
        <v>4</v>
      </c>
      <c r="D45">
        <f t="shared" si="1"/>
        <v>1</v>
      </c>
      <c r="E45">
        <f t="shared" si="2"/>
        <v>3</v>
      </c>
      <c r="K45">
        <v>1</v>
      </c>
      <c r="L45">
        <v>3</v>
      </c>
      <c r="M45">
        <v>5</v>
      </c>
      <c r="N45">
        <v>20</v>
      </c>
      <c r="O45">
        <f>MAX(0.5,MIN(0.99,RF_Mechanics!J94-ABS(M45-2.5)*0.015+LOG10(N45)*0.02-ABS(L45-3)*0.003-ABS(K45-2)*0.002))</f>
        <v>0.53096504435772407</v>
      </c>
    </row>
    <row r="46" spans="1:15" x14ac:dyDescent="0.2">
      <c r="A46">
        <f>Data!A46</f>
        <v>45</v>
      </c>
      <c r="B46">
        <f>Data!L46</f>
        <v>0</v>
      </c>
      <c r="C46">
        <f t="shared" si="0"/>
        <v>5</v>
      </c>
      <c r="D46">
        <f t="shared" si="1"/>
        <v>2</v>
      </c>
      <c r="E46">
        <f t="shared" si="2"/>
        <v>4</v>
      </c>
      <c r="K46">
        <v>1</v>
      </c>
      <c r="L46">
        <v>3</v>
      </c>
      <c r="M46">
        <v>5</v>
      </c>
      <c r="N46">
        <v>100</v>
      </c>
      <c r="O46">
        <f>MAX(0.5,MIN(0.99,RF_Mechanics!J94-ABS(M46-2.5)*0.015+LOG10(N46)*0.02-ABS(L46-3)*0.003-ABS(K46-2)*0.002))</f>
        <v>0.54494444444444445</v>
      </c>
    </row>
    <row r="47" spans="1:15" x14ac:dyDescent="0.2">
      <c r="A47">
        <f>Data!A47</f>
        <v>46</v>
      </c>
      <c r="B47">
        <f>Data!L47</f>
        <v>1</v>
      </c>
      <c r="C47">
        <f t="shared" si="0"/>
        <v>1</v>
      </c>
      <c r="D47">
        <f t="shared" si="1"/>
        <v>3</v>
      </c>
      <c r="E47">
        <f t="shared" si="2"/>
        <v>5</v>
      </c>
      <c r="K47">
        <v>1</v>
      </c>
      <c r="L47">
        <v>4</v>
      </c>
      <c r="M47">
        <v>1</v>
      </c>
      <c r="N47">
        <v>5</v>
      </c>
      <c r="O47">
        <f>MAX(0.5,MIN(0.99,RF_Mechanics!J94-ABS(M47-2.5)*0.015+LOG10(N47)*0.02-ABS(L47-3)*0.003-ABS(K47-2)*0.002))</f>
        <v>0.53092384453116481</v>
      </c>
    </row>
    <row r="48" spans="1:15" x14ac:dyDescent="0.2">
      <c r="A48">
        <f>Data!A48</f>
        <v>47</v>
      </c>
      <c r="B48">
        <f>Data!L48</f>
        <v>1</v>
      </c>
      <c r="C48">
        <f t="shared" si="0"/>
        <v>2</v>
      </c>
      <c r="D48">
        <f t="shared" si="1"/>
        <v>4</v>
      </c>
      <c r="E48">
        <f t="shared" si="2"/>
        <v>1</v>
      </c>
      <c r="K48">
        <v>1</v>
      </c>
      <c r="L48">
        <v>4</v>
      </c>
      <c r="M48">
        <v>1</v>
      </c>
      <c r="N48">
        <v>20</v>
      </c>
      <c r="O48">
        <f>MAX(0.5,MIN(0.99,RF_Mechanics!J94-ABS(M48-2.5)*0.015+LOG10(N48)*0.02-ABS(L48-3)*0.003-ABS(K48-2)*0.002))</f>
        <v>0.54296504435772408</v>
      </c>
    </row>
    <row r="49" spans="1:15" x14ac:dyDescent="0.2">
      <c r="A49">
        <f>Data!A49</f>
        <v>48</v>
      </c>
      <c r="B49">
        <f>Data!L49</f>
        <v>1</v>
      </c>
      <c r="C49">
        <f t="shared" si="0"/>
        <v>3</v>
      </c>
      <c r="D49">
        <f t="shared" si="1"/>
        <v>5</v>
      </c>
      <c r="E49">
        <f t="shared" si="2"/>
        <v>2</v>
      </c>
      <c r="K49">
        <v>1</v>
      </c>
      <c r="L49">
        <v>4</v>
      </c>
      <c r="M49">
        <v>1</v>
      </c>
      <c r="N49">
        <v>100</v>
      </c>
      <c r="O49">
        <f>MAX(0.5,MIN(0.99,RF_Mechanics!J94-ABS(M49-2.5)*0.015+LOG10(N49)*0.02-ABS(L49-3)*0.003-ABS(K49-2)*0.002))</f>
        <v>0.55694444444444446</v>
      </c>
    </row>
    <row r="50" spans="1:15" x14ac:dyDescent="0.2">
      <c r="A50">
        <f>Data!A50</f>
        <v>49</v>
      </c>
      <c r="B50">
        <f>Data!L50</f>
        <v>0</v>
      </c>
      <c r="C50">
        <f t="shared" si="0"/>
        <v>4</v>
      </c>
      <c r="D50">
        <f t="shared" si="1"/>
        <v>1</v>
      </c>
      <c r="E50">
        <f t="shared" si="2"/>
        <v>3</v>
      </c>
      <c r="K50">
        <v>1</v>
      </c>
      <c r="L50">
        <v>4</v>
      </c>
      <c r="M50">
        <v>2</v>
      </c>
      <c r="N50">
        <v>5</v>
      </c>
      <c r="O50">
        <f>MAX(0.5,MIN(0.99,RF_Mechanics!J94-ABS(M50-2.5)*0.015+LOG10(N50)*0.02-ABS(L50-3)*0.003-ABS(K50-2)*0.002))</f>
        <v>0.54592384453116483</v>
      </c>
    </row>
    <row r="51" spans="1:15" x14ac:dyDescent="0.2">
      <c r="A51">
        <f>Data!A51</f>
        <v>50</v>
      </c>
      <c r="B51">
        <f>Data!L51</f>
        <v>1</v>
      </c>
      <c r="C51">
        <f t="shared" si="0"/>
        <v>5</v>
      </c>
      <c r="D51">
        <f t="shared" si="1"/>
        <v>2</v>
      </c>
      <c r="E51">
        <f t="shared" si="2"/>
        <v>4</v>
      </c>
      <c r="K51">
        <v>1</v>
      </c>
      <c r="L51">
        <v>4</v>
      </c>
      <c r="M51">
        <v>2</v>
      </c>
      <c r="N51">
        <v>20</v>
      </c>
      <c r="O51">
        <f>MAX(0.5,MIN(0.99,RF_Mechanics!J94-ABS(M51-2.5)*0.015+LOG10(N51)*0.02-ABS(L51-3)*0.003-ABS(K51-2)*0.002))</f>
        <v>0.55796504435772409</v>
      </c>
    </row>
    <row r="52" spans="1:15" x14ac:dyDescent="0.2">
      <c r="A52">
        <f>Data!A52</f>
        <v>51</v>
      </c>
      <c r="B52">
        <f>Data!L52</f>
        <v>1</v>
      </c>
      <c r="C52">
        <f t="shared" si="0"/>
        <v>1</v>
      </c>
      <c r="D52">
        <f t="shared" si="1"/>
        <v>3</v>
      </c>
      <c r="E52">
        <f t="shared" si="2"/>
        <v>5</v>
      </c>
      <c r="K52">
        <v>1</v>
      </c>
      <c r="L52">
        <v>4</v>
      </c>
      <c r="M52">
        <v>2</v>
      </c>
      <c r="N52">
        <v>100</v>
      </c>
      <c r="O52">
        <f>MAX(0.5,MIN(0.99,RF_Mechanics!J94-ABS(M52-2.5)*0.015+LOG10(N52)*0.02-ABS(L52-3)*0.003-ABS(K52-2)*0.002))</f>
        <v>0.57194444444444448</v>
      </c>
    </row>
    <row r="53" spans="1:15" x14ac:dyDescent="0.2">
      <c r="A53">
        <f>Data!A53</f>
        <v>52</v>
      </c>
      <c r="B53">
        <f>Data!L53</f>
        <v>1</v>
      </c>
      <c r="C53">
        <f t="shared" si="0"/>
        <v>2</v>
      </c>
      <c r="D53">
        <f t="shared" si="1"/>
        <v>4</v>
      </c>
      <c r="E53">
        <f t="shared" si="2"/>
        <v>1</v>
      </c>
      <c r="K53">
        <v>1</v>
      </c>
      <c r="L53">
        <v>4</v>
      </c>
      <c r="M53">
        <v>3</v>
      </c>
      <c r="N53">
        <v>5</v>
      </c>
      <c r="O53">
        <f>MAX(0.5,MIN(0.99,RF_Mechanics!J94-ABS(M53-2.5)*0.015+LOG10(N53)*0.02-ABS(L53-3)*0.003-ABS(K53-2)*0.002))</f>
        <v>0.54592384453116483</v>
      </c>
    </row>
    <row r="54" spans="1:15" x14ac:dyDescent="0.2">
      <c r="A54">
        <f>Data!A54</f>
        <v>53</v>
      </c>
      <c r="B54">
        <f>Data!L54</f>
        <v>1</v>
      </c>
      <c r="C54">
        <f t="shared" si="0"/>
        <v>3</v>
      </c>
      <c r="D54">
        <f t="shared" si="1"/>
        <v>5</v>
      </c>
      <c r="E54">
        <f t="shared" si="2"/>
        <v>2</v>
      </c>
      <c r="K54">
        <v>1</v>
      </c>
      <c r="L54">
        <v>4</v>
      </c>
      <c r="M54">
        <v>3</v>
      </c>
      <c r="N54">
        <v>20</v>
      </c>
      <c r="O54">
        <f>MAX(0.5,MIN(0.99,RF_Mechanics!J94-ABS(M54-2.5)*0.015+LOG10(N54)*0.02-ABS(L54-3)*0.003-ABS(K54-2)*0.002))</f>
        <v>0.55796504435772409</v>
      </c>
    </row>
    <row r="55" spans="1:15" x14ac:dyDescent="0.2">
      <c r="A55">
        <f>Data!A55</f>
        <v>54</v>
      </c>
      <c r="B55">
        <f>Data!L55</f>
        <v>0</v>
      </c>
      <c r="C55">
        <f t="shared" si="0"/>
        <v>4</v>
      </c>
      <c r="D55">
        <f t="shared" si="1"/>
        <v>1</v>
      </c>
      <c r="E55">
        <f t="shared" si="2"/>
        <v>3</v>
      </c>
      <c r="K55">
        <v>1</v>
      </c>
      <c r="L55">
        <v>4</v>
      </c>
      <c r="M55">
        <v>3</v>
      </c>
      <c r="N55">
        <v>100</v>
      </c>
      <c r="O55">
        <f>MAX(0.5,MIN(0.99,RF_Mechanics!J94-ABS(M55-2.5)*0.015+LOG10(N55)*0.02-ABS(L55-3)*0.003-ABS(K55-2)*0.002))</f>
        <v>0.57194444444444448</v>
      </c>
    </row>
    <row r="56" spans="1:15" x14ac:dyDescent="0.2">
      <c r="A56">
        <f>Data!A56</f>
        <v>55</v>
      </c>
      <c r="B56">
        <f>Data!L56</f>
        <v>1</v>
      </c>
      <c r="C56">
        <f t="shared" si="0"/>
        <v>5</v>
      </c>
      <c r="D56">
        <f t="shared" si="1"/>
        <v>2</v>
      </c>
      <c r="E56">
        <f t="shared" si="2"/>
        <v>4</v>
      </c>
      <c r="K56">
        <v>1</v>
      </c>
      <c r="L56">
        <v>4</v>
      </c>
      <c r="M56">
        <v>4</v>
      </c>
      <c r="N56">
        <v>5</v>
      </c>
      <c r="O56">
        <f>MAX(0.5,MIN(0.99,RF_Mechanics!J94-ABS(M56-2.5)*0.015+LOG10(N56)*0.02-ABS(L56-3)*0.003-ABS(K56-2)*0.002))</f>
        <v>0.53092384453116481</v>
      </c>
    </row>
    <row r="57" spans="1:15" x14ac:dyDescent="0.2">
      <c r="A57">
        <f>Data!A57</f>
        <v>56</v>
      </c>
      <c r="B57">
        <f>Data!L57</f>
        <v>0</v>
      </c>
      <c r="C57">
        <f t="shared" si="0"/>
        <v>1</v>
      </c>
      <c r="D57">
        <f t="shared" si="1"/>
        <v>3</v>
      </c>
      <c r="E57">
        <f t="shared" si="2"/>
        <v>5</v>
      </c>
      <c r="K57">
        <v>1</v>
      </c>
      <c r="L57">
        <v>4</v>
      </c>
      <c r="M57">
        <v>4</v>
      </c>
      <c r="N57">
        <v>20</v>
      </c>
      <c r="O57">
        <f>MAX(0.5,MIN(0.99,RF_Mechanics!J94-ABS(M57-2.5)*0.015+LOG10(N57)*0.02-ABS(L57-3)*0.003-ABS(K57-2)*0.002))</f>
        <v>0.54296504435772408</v>
      </c>
    </row>
    <row r="58" spans="1:15" x14ac:dyDescent="0.2">
      <c r="A58">
        <f>Data!A58</f>
        <v>57</v>
      </c>
      <c r="B58">
        <f>Data!L58</f>
        <v>1</v>
      </c>
      <c r="C58">
        <f t="shared" si="0"/>
        <v>2</v>
      </c>
      <c r="D58">
        <f t="shared" si="1"/>
        <v>4</v>
      </c>
      <c r="E58">
        <f t="shared" si="2"/>
        <v>1</v>
      </c>
      <c r="K58">
        <v>1</v>
      </c>
      <c r="L58">
        <v>4</v>
      </c>
      <c r="M58">
        <v>4</v>
      </c>
      <c r="N58">
        <v>100</v>
      </c>
      <c r="O58">
        <f>MAX(0.5,MIN(0.99,RF_Mechanics!J94-ABS(M58-2.5)*0.015+LOG10(N58)*0.02-ABS(L58-3)*0.003-ABS(K58-2)*0.002))</f>
        <v>0.55694444444444446</v>
      </c>
    </row>
    <row r="59" spans="1:15" x14ac:dyDescent="0.2">
      <c r="A59">
        <f>Data!A59</f>
        <v>58</v>
      </c>
      <c r="B59">
        <f>Data!L59</f>
        <v>1</v>
      </c>
      <c r="C59">
        <f t="shared" si="0"/>
        <v>3</v>
      </c>
      <c r="D59">
        <f t="shared" si="1"/>
        <v>5</v>
      </c>
      <c r="E59">
        <f t="shared" si="2"/>
        <v>2</v>
      </c>
      <c r="K59">
        <v>1</v>
      </c>
      <c r="L59">
        <v>4</v>
      </c>
      <c r="M59">
        <v>5</v>
      </c>
      <c r="N59">
        <v>5</v>
      </c>
      <c r="O59">
        <f>MAX(0.5,MIN(0.99,RF_Mechanics!J94-ABS(M59-2.5)*0.015+LOG10(N59)*0.02-ABS(L59-3)*0.003-ABS(K59-2)*0.002))</f>
        <v>0.5159238445311648</v>
      </c>
    </row>
    <row r="60" spans="1:15" x14ac:dyDescent="0.2">
      <c r="A60">
        <f>Data!A60</f>
        <v>59</v>
      </c>
      <c r="B60">
        <f>Data!L60</f>
        <v>0</v>
      </c>
      <c r="C60">
        <f t="shared" si="0"/>
        <v>4</v>
      </c>
      <c r="D60">
        <f t="shared" si="1"/>
        <v>1</v>
      </c>
      <c r="E60">
        <f t="shared" si="2"/>
        <v>3</v>
      </c>
      <c r="K60">
        <v>1</v>
      </c>
      <c r="L60">
        <v>4</v>
      </c>
      <c r="M60">
        <v>5</v>
      </c>
      <c r="N60">
        <v>20</v>
      </c>
      <c r="O60">
        <f>MAX(0.5,MIN(0.99,RF_Mechanics!J94-ABS(M60-2.5)*0.015+LOG10(N60)*0.02-ABS(L60-3)*0.003-ABS(K60-2)*0.002))</f>
        <v>0.52796504435772407</v>
      </c>
    </row>
    <row r="61" spans="1:15" x14ac:dyDescent="0.2">
      <c r="A61">
        <f>Data!A61</f>
        <v>60</v>
      </c>
      <c r="B61">
        <f>Data!L61</f>
        <v>1</v>
      </c>
      <c r="C61">
        <f t="shared" si="0"/>
        <v>5</v>
      </c>
      <c r="D61">
        <f t="shared" si="1"/>
        <v>2</v>
      </c>
      <c r="E61">
        <f t="shared" si="2"/>
        <v>4</v>
      </c>
      <c r="K61">
        <v>1</v>
      </c>
      <c r="L61">
        <v>4</v>
      </c>
      <c r="M61">
        <v>5</v>
      </c>
      <c r="N61">
        <v>100</v>
      </c>
      <c r="O61">
        <f>MAX(0.5,MIN(0.99,RF_Mechanics!J94-ABS(M61-2.5)*0.015+LOG10(N61)*0.02-ABS(L61-3)*0.003-ABS(K61-2)*0.002))</f>
        <v>0.54194444444444445</v>
      </c>
    </row>
    <row r="62" spans="1:15" x14ac:dyDescent="0.2">
      <c r="A62">
        <f>Data!A62</f>
        <v>61</v>
      </c>
      <c r="B62">
        <f>Data!L62</f>
        <v>1</v>
      </c>
      <c r="C62">
        <f t="shared" si="0"/>
        <v>1</v>
      </c>
      <c r="D62">
        <f t="shared" si="1"/>
        <v>3</v>
      </c>
      <c r="E62">
        <f t="shared" si="2"/>
        <v>5</v>
      </c>
      <c r="K62">
        <v>1</v>
      </c>
      <c r="L62">
        <v>5</v>
      </c>
      <c r="M62">
        <v>1</v>
      </c>
      <c r="N62">
        <v>5</v>
      </c>
      <c r="O62">
        <f>MAX(0.5,MIN(0.99,RF_Mechanics!J94-ABS(M62-2.5)*0.015+LOG10(N62)*0.02-ABS(L62-3)*0.003-ABS(K62-2)*0.002))</f>
        <v>0.52792384453116481</v>
      </c>
    </row>
    <row r="63" spans="1:15" x14ac:dyDescent="0.2">
      <c r="A63">
        <f>Data!A63</f>
        <v>62</v>
      </c>
      <c r="B63">
        <f>Data!L63</f>
        <v>1</v>
      </c>
      <c r="C63">
        <f t="shared" si="0"/>
        <v>2</v>
      </c>
      <c r="D63">
        <f t="shared" si="1"/>
        <v>4</v>
      </c>
      <c r="E63">
        <f t="shared" si="2"/>
        <v>1</v>
      </c>
      <c r="K63">
        <v>1</v>
      </c>
      <c r="L63">
        <v>5</v>
      </c>
      <c r="M63">
        <v>1</v>
      </c>
      <c r="N63">
        <v>20</v>
      </c>
      <c r="O63">
        <f>MAX(0.5,MIN(0.99,RF_Mechanics!J94-ABS(M63-2.5)*0.015+LOG10(N63)*0.02-ABS(L63-3)*0.003-ABS(K63-2)*0.002))</f>
        <v>0.53996504435772408</v>
      </c>
    </row>
    <row r="64" spans="1:15" x14ac:dyDescent="0.2">
      <c r="A64">
        <f>Data!A64</f>
        <v>63</v>
      </c>
      <c r="B64">
        <f>Data!L64</f>
        <v>0</v>
      </c>
      <c r="C64">
        <f t="shared" si="0"/>
        <v>3</v>
      </c>
      <c r="D64">
        <f t="shared" si="1"/>
        <v>5</v>
      </c>
      <c r="E64">
        <f t="shared" si="2"/>
        <v>2</v>
      </c>
      <c r="K64">
        <v>1</v>
      </c>
      <c r="L64">
        <v>5</v>
      </c>
      <c r="M64">
        <v>1</v>
      </c>
      <c r="N64">
        <v>100</v>
      </c>
      <c r="O64">
        <f>MAX(0.5,MIN(0.99,RF_Mechanics!J94-ABS(M64-2.5)*0.015+LOG10(N64)*0.02-ABS(L64-3)*0.003-ABS(K64-2)*0.002))</f>
        <v>0.55394444444444446</v>
      </c>
    </row>
    <row r="65" spans="1:15" x14ac:dyDescent="0.2">
      <c r="A65">
        <f>Data!A65</f>
        <v>64</v>
      </c>
      <c r="B65">
        <f>Data!L65</f>
        <v>0</v>
      </c>
      <c r="C65">
        <f t="shared" si="0"/>
        <v>4</v>
      </c>
      <c r="D65">
        <f t="shared" si="1"/>
        <v>1</v>
      </c>
      <c r="E65">
        <f t="shared" si="2"/>
        <v>3</v>
      </c>
      <c r="K65">
        <v>1</v>
      </c>
      <c r="L65">
        <v>5</v>
      </c>
      <c r="M65">
        <v>2</v>
      </c>
      <c r="N65">
        <v>5</v>
      </c>
      <c r="O65">
        <f>MAX(0.5,MIN(0.99,RF_Mechanics!J94-ABS(M65-2.5)*0.015+LOG10(N65)*0.02-ABS(L65-3)*0.003-ABS(K65-2)*0.002))</f>
        <v>0.54292384453116482</v>
      </c>
    </row>
    <row r="66" spans="1:15" x14ac:dyDescent="0.2">
      <c r="A66">
        <f>Data!A66</f>
        <v>65</v>
      </c>
      <c r="B66">
        <f>Data!L66</f>
        <v>1</v>
      </c>
      <c r="C66">
        <f t="shared" ref="C66:C129" si="3">1+MOD(A66-1,5)</f>
        <v>5</v>
      </c>
      <c r="D66">
        <f t="shared" ref="D66:D129" si="4">1+MOD(A66+1,5)</f>
        <v>2</v>
      </c>
      <c r="E66">
        <f t="shared" ref="E66:E129" si="5">1+MOD(A66+3,5)</f>
        <v>4</v>
      </c>
      <c r="K66">
        <v>1</v>
      </c>
      <c r="L66">
        <v>5</v>
      </c>
      <c r="M66">
        <v>2</v>
      </c>
      <c r="N66">
        <v>20</v>
      </c>
      <c r="O66">
        <f>MAX(0.5,MIN(0.99,RF_Mechanics!J94-ABS(M66-2.5)*0.015+LOG10(N66)*0.02-ABS(L66-3)*0.003-ABS(K66-2)*0.002))</f>
        <v>0.55496504435772409</v>
      </c>
    </row>
    <row r="67" spans="1:15" x14ac:dyDescent="0.2">
      <c r="A67">
        <f>Data!A67</f>
        <v>66</v>
      </c>
      <c r="B67">
        <f>Data!L67</f>
        <v>1</v>
      </c>
      <c r="C67">
        <f t="shared" si="3"/>
        <v>1</v>
      </c>
      <c r="D67">
        <f t="shared" si="4"/>
        <v>3</v>
      </c>
      <c r="E67">
        <f t="shared" si="5"/>
        <v>5</v>
      </c>
      <c r="K67">
        <v>1</v>
      </c>
      <c r="L67">
        <v>5</v>
      </c>
      <c r="M67">
        <v>2</v>
      </c>
      <c r="N67">
        <v>100</v>
      </c>
      <c r="O67">
        <f>MAX(0.5,MIN(0.99,RF_Mechanics!J94-ABS(M67-2.5)*0.015+LOG10(N67)*0.02-ABS(L67-3)*0.003-ABS(K67-2)*0.002))</f>
        <v>0.56894444444444447</v>
      </c>
    </row>
    <row r="68" spans="1:15" x14ac:dyDescent="0.2">
      <c r="A68">
        <f>Data!A68</f>
        <v>67</v>
      </c>
      <c r="B68">
        <f>Data!L68</f>
        <v>1</v>
      </c>
      <c r="C68">
        <f t="shared" si="3"/>
        <v>2</v>
      </c>
      <c r="D68">
        <f t="shared" si="4"/>
        <v>4</v>
      </c>
      <c r="E68">
        <f t="shared" si="5"/>
        <v>1</v>
      </c>
      <c r="K68">
        <v>1</v>
      </c>
      <c r="L68">
        <v>5</v>
      </c>
      <c r="M68">
        <v>3</v>
      </c>
      <c r="N68">
        <v>5</v>
      </c>
      <c r="O68">
        <f>MAX(0.5,MIN(0.99,RF_Mechanics!J94-ABS(M68-2.5)*0.015+LOG10(N68)*0.02-ABS(L68-3)*0.003-ABS(K68-2)*0.002))</f>
        <v>0.54292384453116482</v>
      </c>
    </row>
    <row r="69" spans="1:15" x14ac:dyDescent="0.2">
      <c r="A69">
        <f>Data!A69</f>
        <v>68</v>
      </c>
      <c r="B69">
        <f>Data!L69</f>
        <v>1</v>
      </c>
      <c r="C69">
        <f t="shared" si="3"/>
        <v>3</v>
      </c>
      <c r="D69">
        <f t="shared" si="4"/>
        <v>5</v>
      </c>
      <c r="E69">
        <f t="shared" si="5"/>
        <v>2</v>
      </c>
      <c r="K69">
        <v>1</v>
      </c>
      <c r="L69">
        <v>5</v>
      </c>
      <c r="M69">
        <v>3</v>
      </c>
      <c r="N69">
        <v>20</v>
      </c>
      <c r="O69">
        <f>MAX(0.5,MIN(0.99,RF_Mechanics!J94-ABS(M69-2.5)*0.015+LOG10(N69)*0.02-ABS(L69-3)*0.003-ABS(K69-2)*0.002))</f>
        <v>0.55496504435772409</v>
      </c>
    </row>
    <row r="70" spans="1:15" x14ac:dyDescent="0.2">
      <c r="A70">
        <f>Data!A70</f>
        <v>69</v>
      </c>
      <c r="B70">
        <f>Data!L70</f>
        <v>0</v>
      </c>
      <c r="C70">
        <f t="shared" si="3"/>
        <v>4</v>
      </c>
      <c r="D70">
        <f t="shared" si="4"/>
        <v>1</v>
      </c>
      <c r="E70">
        <f t="shared" si="5"/>
        <v>3</v>
      </c>
      <c r="K70">
        <v>1</v>
      </c>
      <c r="L70">
        <v>5</v>
      </c>
      <c r="M70">
        <v>3</v>
      </c>
      <c r="N70">
        <v>100</v>
      </c>
      <c r="O70">
        <f>MAX(0.5,MIN(0.99,RF_Mechanics!J94-ABS(M70-2.5)*0.015+LOG10(N70)*0.02-ABS(L70-3)*0.003-ABS(K70-2)*0.002))</f>
        <v>0.56894444444444447</v>
      </c>
    </row>
    <row r="71" spans="1:15" x14ac:dyDescent="0.2">
      <c r="A71">
        <f>Data!A71</f>
        <v>70</v>
      </c>
      <c r="B71">
        <f>Data!L71</f>
        <v>0</v>
      </c>
      <c r="C71">
        <f t="shared" si="3"/>
        <v>5</v>
      </c>
      <c r="D71">
        <f t="shared" si="4"/>
        <v>2</v>
      </c>
      <c r="E71">
        <f t="shared" si="5"/>
        <v>4</v>
      </c>
      <c r="K71">
        <v>1</v>
      </c>
      <c r="L71">
        <v>5</v>
      </c>
      <c r="M71">
        <v>4</v>
      </c>
      <c r="N71">
        <v>5</v>
      </c>
      <c r="O71">
        <f>MAX(0.5,MIN(0.99,RF_Mechanics!J94-ABS(M71-2.5)*0.015+LOG10(N71)*0.02-ABS(L71-3)*0.003-ABS(K71-2)*0.002))</f>
        <v>0.52792384453116481</v>
      </c>
    </row>
    <row r="72" spans="1:15" x14ac:dyDescent="0.2">
      <c r="A72">
        <f>Data!A72</f>
        <v>71</v>
      </c>
      <c r="B72">
        <f>Data!L72</f>
        <v>0</v>
      </c>
      <c r="C72">
        <f t="shared" si="3"/>
        <v>1</v>
      </c>
      <c r="D72">
        <f t="shared" si="4"/>
        <v>3</v>
      </c>
      <c r="E72">
        <f t="shared" si="5"/>
        <v>5</v>
      </c>
      <c r="K72">
        <v>1</v>
      </c>
      <c r="L72">
        <v>5</v>
      </c>
      <c r="M72">
        <v>4</v>
      </c>
      <c r="N72">
        <v>20</v>
      </c>
      <c r="O72">
        <f>MAX(0.5,MIN(0.99,RF_Mechanics!J94-ABS(M72-2.5)*0.015+LOG10(N72)*0.02-ABS(L72-3)*0.003-ABS(K72-2)*0.002))</f>
        <v>0.53996504435772408</v>
      </c>
    </row>
    <row r="73" spans="1:15" x14ac:dyDescent="0.2">
      <c r="A73">
        <f>Data!A73</f>
        <v>72</v>
      </c>
      <c r="B73">
        <f>Data!L73</f>
        <v>0</v>
      </c>
      <c r="C73">
        <f t="shared" si="3"/>
        <v>2</v>
      </c>
      <c r="D73">
        <f t="shared" si="4"/>
        <v>4</v>
      </c>
      <c r="E73">
        <f t="shared" si="5"/>
        <v>1</v>
      </c>
      <c r="K73">
        <v>1</v>
      </c>
      <c r="L73">
        <v>5</v>
      </c>
      <c r="M73">
        <v>4</v>
      </c>
      <c r="N73">
        <v>100</v>
      </c>
      <c r="O73">
        <f>MAX(0.5,MIN(0.99,RF_Mechanics!J94-ABS(M73-2.5)*0.015+LOG10(N73)*0.02-ABS(L73-3)*0.003-ABS(K73-2)*0.002))</f>
        <v>0.55394444444444446</v>
      </c>
    </row>
    <row r="74" spans="1:15" x14ac:dyDescent="0.2">
      <c r="A74">
        <f>Data!A74</f>
        <v>73</v>
      </c>
      <c r="B74">
        <f>Data!L74</f>
        <v>0</v>
      </c>
      <c r="C74">
        <f t="shared" si="3"/>
        <v>3</v>
      </c>
      <c r="D74">
        <f t="shared" si="4"/>
        <v>5</v>
      </c>
      <c r="E74">
        <f t="shared" si="5"/>
        <v>2</v>
      </c>
      <c r="K74">
        <v>1</v>
      </c>
      <c r="L74">
        <v>5</v>
      </c>
      <c r="M74">
        <v>5</v>
      </c>
      <c r="N74">
        <v>5</v>
      </c>
      <c r="O74">
        <f>MAX(0.5,MIN(0.99,RF_Mechanics!J94-ABS(M74-2.5)*0.015+LOG10(N74)*0.02-ABS(L74-3)*0.003-ABS(K74-2)*0.002))</f>
        <v>0.5129238445311648</v>
      </c>
    </row>
    <row r="75" spans="1:15" x14ac:dyDescent="0.2">
      <c r="A75">
        <f>Data!A75</f>
        <v>74</v>
      </c>
      <c r="B75">
        <f>Data!L75</f>
        <v>1</v>
      </c>
      <c r="C75">
        <f t="shared" si="3"/>
        <v>4</v>
      </c>
      <c r="D75">
        <f t="shared" si="4"/>
        <v>1</v>
      </c>
      <c r="E75">
        <f t="shared" si="5"/>
        <v>3</v>
      </c>
      <c r="K75">
        <v>1</v>
      </c>
      <c r="L75">
        <v>5</v>
      </c>
      <c r="M75">
        <v>5</v>
      </c>
      <c r="N75">
        <v>20</v>
      </c>
      <c r="O75">
        <f>MAX(0.5,MIN(0.99,RF_Mechanics!J94-ABS(M75-2.5)*0.015+LOG10(N75)*0.02-ABS(L75-3)*0.003-ABS(K75-2)*0.002))</f>
        <v>0.52496504435772406</v>
      </c>
    </row>
    <row r="76" spans="1:15" x14ac:dyDescent="0.2">
      <c r="A76">
        <f>Data!A76</f>
        <v>75</v>
      </c>
      <c r="B76">
        <f>Data!L76</f>
        <v>0</v>
      </c>
      <c r="C76">
        <f t="shared" si="3"/>
        <v>5</v>
      </c>
      <c r="D76">
        <f t="shared" si="4"/>
        <v>2</v>
      </c>
      <c r="E76">
        <f t="shared" si="5"/>
        <v>4</v>
      </c>
      <c r="K76">
        <v>1</v>
      </c>
      <c r="L76">
        <v>5</v>
      </c>
      <c r="M76">
        <v>5</v>
      </c>
      <c r="N76">
        <v>100</v>
      </c>
      <c r="O76">
        <f>MAX(0.5,MIN(0.99,RF_Mechanics!J94-ABS(M76-2.5)*0.015+LOG10(N76)*0.02-ABS(L76-3)*0.003-ABS(K76-2)*0.002))</f>
        <v>0.53894444444444445</v>
      </c>
    </row>
    <row r="77" spans="1:15" x14ac:dyDescent="0.2">
      <c r="A77">
        <f>Data!A77</f>
        <v>76</v>
      </c>
      <c r="B77">
        <f>Data!L77</f>
        <v>0</v>
      </c>
      <c r="C77">
        <f t="shared" si="3"/>
        <v>1</v>
      </c>
      <c r="D77">
        <f t="shared" si="4"/>
        <v>3</v>
      </c>
      <c r="E77">
        <f t="shared" si="5"/>
        <v>5</v>
      </c>
      <c r="K77">
        <v>2</v>
      </c>
      <c r="L77">
        <v>1</v>
      </c>
      <c r="M77">
        <v>1</v>
      </c>
      <c r="N77">
        <v>5</v>
      </c>
      <c r="O77">
        <f>MAX(0.5,MIN(0.99,RF_Mechanics!J94-ABS(M77-2.5)*0.015+LOG10(N77)*0.02-ABS(L77-3)*0.003-ABS(K77-2)*0.002))</f>
        <v>0.52992384453116481</v>
      </c>
    </row>
    <row r="78" spans="1:15" x14ac:dyDescent="0.2">
      <c r="A78">
        <f>Data!A78</f>
        <v>77</v>
      </c>
      <c r="B78">
        <f>Data!L78</f>
        <v>1</v>
      </c>
      <c r="C78">
        <f t="shared" si="3"/>
        <v>2</v>
      </c>
      <c r="D78">
        <f t="shared" si="4"/>
        <v>4</v>
      </c>
      <c r="E78">
        <f t="shared" si="5"/>
        <v>1</v>
      </c>
      <c r="K78">
        <v>2</v>
      </c>
      <c r="L78">
        <v>1</v>
      </c>
      <c r="M78">
        <v>1</v>
      </c>
      <c r="N78">
        <v>20</v>
      </c>
      <c r="O78">
        <f>MAX(0.5,MIN(0.99,RF_Mechanics!J94-ABS(M78-2.5)*0.015+LOG10(N78)*0.02-ABS(L78-3)*0.003-ABS(K78-2)*0.002))</f>
        <v>0.54196504435772408</v>
      </c>
    </row>
    <row r="79" spans="1:15" x14ac:dyDescent="0.2">
      <c r="A79">
        <f>Data!A79</f>
        <v>78</v>
      </c>
      <c r="B79">
        <f>Data!L79</f>
        <v>0</v>
      </c>
      <c r="C79">
        <f t="shared" si="3"/>
        <v>3</v>
      </c>
      <c r="D79">
        <f t="shared" si="4"/>
        <v>5</v>
      </c>
      <c r="E79">
        <f t="shared" si="5"/>
        <v>2</v>
      </c>
      <c r="K79">
        <v>2</v>
      </c>
      <c r="L79">
        <v>1</v>
      </c>
      <c r="M79">
        <v>1</v>
      </c>
      <c r="N79">
        <v>100</v>
      </c>
      <c r="O79">
        <f>MAX(0.5,MIN(0.99,RF_Mechanics!J94-ABS(M79-2.5)*0.015+LOG10(N79)*0.02-ABS(L79-3)*0.003-ABS(K79-2)*0.002))</f>
        <v>0.55594444444444446</v>
      </c>
    </row>
    <row r="80" spans="1:15" x14ac:dyDescent="0.2">
      <c r="A80">
        <f>Data!A80</f>
        <v>79</v>
      </c>
      <c r="B80">
        <f>Data!L80</f>
        <v>1</v>
      </c>
      <c r="C80">
        <f t="shared" si="3"/>
        <v>4</v>
      </c>
      <c r="D80">
        <f t="shared" si="4"/>
        <v>1</v>
      </c>
      <c r="E80">
        <f t="shared" si="5"/>
        <v>3</v>
      </c>
      <c r="K80">
        <v>2</v>
      </c>
      <c r="L80">
        <v>1</v>
      </c>
      <c r="M80">
        <v>2</v>
      </c>
      <c r="N80">
        <v>5</v>
      </c>
      <c r="O80">
        <f>MAX(0.5,MIN(0.99,RF_Mechanics!J94-ABS(M80-2.5)*0.015+LOG10(N80)*0.02-ABS(L80-3)*0.003-ABS(K80-2)*0.002))</f>
        <v>0.54492384453116482</v>
      </c>
    </row>
    <row r="81" spans="1:15" x14ac:dyDescent="0.2">
      <c r="A81">
        <f>Data!A81</f>
        <v>80</v>
      </c>
      <c r="B81">
        <f>Data!L81</f>
        <v>0</v>
      </c>
      <c r="C81">
        <f t="shared" si="3"/>
        <v>5</v>
      </c>
      <c r="D81">
        <f t="shared" si="4"/>
        <v>2</v>
      </c>
      <c r="E81">
        <f t="shared" si="5"/>
        <v>4</v>
      </c>
      <c r="K81">
        <v>2</v>
      </c>
      <c r="L81">
        <v>1</v>
      </c>
      <c r="M81">
        <v>2</v>
      </c>
      <c r="N81">
        <v>20</v>
      </c>
      <c r="O81">
        <f>MAX(0.5,MIN(0.99,RF_Mechanics!J94-ABS(M81-2.5)*0.015+LOG10(N81)*0.02-ABS(L81-3)*0.003-ABS(K81-2)*0.002))</f>
        <v>0.55696504435772409</v>
      </c>
    </row>
    <row r="82" spans="1:15" x14ac:dyDescent="0.2">
      <c r="A82">
        <f>Data!A82</f>
        <v>81</v>
      </c>
      <c r="B82">
        <f>Data!L82</f>
        <v>1</v>
      </c>
      <c r="C82">
        <f t="shared" si="3"/>
        <v>1</v>
      </c>
      <c r="D82">
        <f t="shared" si="4"/>
        <v>3</v>
      </c>
      <c r="E82">
        <f t="shared" si="5"/>
        <v>5</v>
      </c>
      <c r="K82">
        <v>2</v>
      </c>
      <c r="L82">
        <v>1</v>
      </c>
      <c r="M82">
        <v>2</v>
      </c>
      <c r="N82">
        <v>100</v>
      </c>
      <c r="O82">
        <f>MAX(0.5,MIN(0.99,RF_Mechanics!J94-ABS(M82-2.5)*0.015+LOG10(N82)*0.02-ABS(L82-3)*0.003-ABS(K82-2)*0.002))</f>
        <v>0.57094444444444448</v>
      </c>
    </row>
    <row r="83" spans="1:15" x14ac:dyDescent="0.2">
      <c r="A83">
        <f>Data!A83</f>
        <v>82</v>
      </c>
      <c r="B83">
        <f>Data!L83</f>
        <v>1</v>
      </c>
      <c r="C83">
        <f t="shared" si="3"/>
        <v>2</v>
      </c>
      <c r="D83">
        <f t="shared" si="4"/>
        <v>4</v>
      </c>
      <c r="E83">
        <f t="shared" si="5"/>
        <v>1</v>
      </c>
      <c r="K83">
        <v>2</v>
      </c>
      <c r="L83">
        <v>1</v>
      </c>
      <c r="M83">
        <v>3</v>
      </c>
      <c r="N83">
        <v>5</v>
      </c>
      <c r="O83">
        <f>MAX(0.5,MIN(0.99,RF_Mechanics!J94-ABS(M83-2.5)*0.015+LOG10(N83)*0.02-ABS(L83-3)*0.003-ABS(K83-2)*0.002))</f>
        <v>0.54492384453116482</v>
      </c>
    </row>
    <row r="84" spans="1:15" x14ac:dyDescent="0.2">
      <c r="A84">
        <f>Data!A84</f>
        <v>83</v>
      </c>
      <c r="B84">
        <f>Data!L84</f>
        <v>0</v>
      </c>
      <c r="C84">
        <f t="shared" si="3"/>
        <v>3</v>
      </c>
      <c r="D84">
        <f t="shared" si="4"/>
        <v>5</v>
      </c>
      <c r="E84">
        <f t="shared" si="5"/>
        <v>2</v>
      </c>
      <c r="K84">
        <v>2</v>
      </c>
      <c r="L84">
        <v>1</v>
      </c>
      <c r="M84">
        <v>3</v>
      </c>
      <c r="N84">
        <v>20</v>
      </c>
      <c r="O84">
        <f>MAX(0.5,MIN(0.99,RF_Mechanics!J94-ABS(M84-2.5)*0.015+LOG10(N84)*0.02-ABS(L84-3)*0.003-ABS(K84-2)*0.002))</f>
        <v>0.55696504435772409</v>
      </c>
    </row>
    <row r="85" spans="1:15" x14ac:dyDescent="0.2">
      <c r="A85">
        <f>Data!A85</f>
        <v>84</v>
      </c>
      <c r="B85">
        <f>Data!L85</f>
        <v>0</v>
      </c>
      <c r="C85">
        <f t="shared" si="3"/>
        <v>4</v>
      </c>
      <c r="D85">
        <f t="shared" si="4"/>
        <v>1</v>
      </c>
      <c r="E85">
        <f t="shared" si="5"/>
        <v>3</v>
      </c>
      <c r="K85">
        <v>2</v>
      </c>
      <c r="L85">
        <v>1</v>
      </c>
      <c r="M85">
        <v>3</v>
      </c>
      <c r="N85">
        <v>100</v>
      </c>
      <c r="O85">
        <f>MAX(0.5,MIN(0.99,RF_Mechanics!J94-ABS(M85-2.5)*0.015+LOG10(N85)*0.02-ABS(L85-3)*0.003-ABS(K85-2)*0.002))</f>
        <v>0.57094444444444448</v>
      </c>
    </row>
    <row r="86" spans="1:15" x14ac:dyDescent="0.2">
      <c r="A86">
        <f>Data!A86</f>
        <v>85</v>
      </c>
      <c r="B86">
        <f>Data!L86</f>
        <v>0</v>
      </c>
      <c r="C86">
        <f t="shared" si="3"/>
        <v>5</v>
      </c>
      <c r="D86">
        <f t="shared" si="4"/>
        <v>2</v>
      </c>
      <c r="E86">
        <f t="shared" si="5"/>
        <v>4</v>
      </c>
      <c r="K86">
        <v>2</v>
      </c>
      <c r="L86">
        <v>1</v>
      </c>
      <c r="M86">
        <v>4</v>
      </c>
      <c r="N86">
        <v>5</v>
      </c>
      <c r="O86">
        <f>MAX(0.5,MIN(0.99,RF_Mechanics!J94-ABS(M86-2.5)*0.015+LOG10(N86)*0.02-ABS(L86-3)*0.003-ABS(K86-2)*0.002))</f>
        <v>0.52992384453116481</v>
      </c>
    </row>
    <row r="87" spans="1:15" x14ac:dyDescent="0.2">
      <c r="A87">
        <f>Data!A87</f>
        <v>86</v>
      </c>
      <c r="B87">
        <f>Data!L87</f>
        <v>0</v>
      </c>
      <c r="C87">
        <f t="shared" si="3"/>
        <v>1</v>
      </c>
      <c r="D87">
        <f t="shared" si="4"/>
        <v>3</v>
      </c>
      <c r="E87">
        <f t="shared" si="5"/>
        <v>5</v>
      </c>
      <c r="K87">
        <v>2</v>
      </c>
      <c r="L87">
        <v>1</v>
      </c>
      <c r="M87">
        <v>4</v>
      </c>
      <c r="N87">
        <v>20</v>
      </c>
      <c r="O87">
        <f>MAX(0.5,MIN(0.99,RF_Mechanics!J94-ABS(M87-2.5)*0.015+LOG10(N87)*0.02-ABS(L87-3)*0.003-ABS(K87-2)*0.002))</f>
        <v>0.54196504435772408</v>
      </c>
    </row>
    <row r="88" spans="1:15" x14ac:dyDescent="0.2">
      <c r="A88">
        <f>Data!A88</f>
        <v>87</v>
      </c>
      <c r="B88">
        <f>Data!L88</f>
        <v>0</v>
      </c>
      <c r="C88">
        <f t="shared" si="3"/>
        <v>2</v>
      </c>
      <c r="D88">
        <f t="shared" si="4"/>
        <v>4</v>
      </c>
      <c r="E88">
        <f t="shared" si="5"/>
        <v>1</v>
      </c>
      <c r="K88">
        <v>2</v>
      </c>
      <c r="L88">
        <v>1</v>
      </c>
      <c r="M88">
        <v>4</v>
      </c>
      <c r="N88">
        <v>100</v>
      </c>
      <c r="O88">
        <f>MAX(0.5,MIN(0.99,RF_Mechanics!J94-ABS(M88-2.5)*0.015+LOG10(N88)*0.02-ABS(L88-3)*0.003-ABS(K88-2)*0.002))</f>
        <v>0.55594444444444446</v>
      </c>
    </row>
    <row r="89" spans="1:15" x14ac:dyDescent="0.2">
      <c r="A89">
        <f>Data!A89</f>
        <v>88</v>
      </c>
      <c r="B89">
        <f>Data!L89</f>
        <v>0</v>
      </c>
      <c r="C89">
        <f t="shared" si="3"/>
        <v>3</v>
      </c>
      <c r="D89">
        <f t="shared" si="4"/>
        <v>5</v>
      </c>
      <c r="E89">
        <f t="shared" si="5"/>
        <v>2</v>
      </c>
      <c r="K89">
        <v>2</v>
      </c>
      <c r="L89">
        <v>1</v>
      </c>
      <c r="M89">
        <v>5</v>
      </c>
      <c r="N89">
        <v>5</v>
      </c>
      <c r="O89">
        <f>MAX(0.5,MIN(0.99,RF_Mechanics!J94-ABS(M89-2.5)*0.015+LOG10(N89)*0.02-ABS(L89-3)*0.003-ABS(K89-2)*0.002))</f>
        <v>0.5149238445311648</v>
      </c>
    </row>
    <row r="90" spans="1:15" x14ac:dyDescent="0.2">
      <c r="A90">
        <f>Data!A90</f>
        <v>89</v>
      </c>
      <c r="B90">
        <f>Data!L90</f>
        <v>1</v>
      </c>
      <c r="C90">
        <f t="shared" si="3"/>
        <v>4</v>
      </c>
      <c r="D90">
        <f t="shared" si="4"/>
        <v>1</v>
      </c>
      <c r="E90">
        <f t="shared" si="5"/>
        <v>3</v>
      </c>
      <c r="K90">
        <v>2</v>
      </c>
      <c r="L90">
        <v>1</v>
      </c>
      <c r="M90">
        <v>5</v>
      </c>
      <c r="N90">
        <v>20</v>
      </c>
      <c r="O90">
        <f>MAX(0.5,MIN(0.99,RF_Mechanics!J94-ABS(M90-2.5)*0.015+LOG10(N90)*0.02-ABS(L90-3)*0.003-ABS(K90-2)*0.002))</f>
        <v>0.52696504435772407</v>
      </c>
    </row>
    <row r="91" spans="1:15" x14ac:dyDescent="0.2">
      <c r="A91">
        <f>Data!A91</f>
        <v>90</v>
      </c>
      <c r="B91">
        <f>Data!L91</f>
        <v>1</v>
      </c>
      <c r="C91">
        <f t="shared" si="3"/>
        <v>5</v>
      </c>
      <c r="D91">
        <f t="shared" si="4"/>
        <v>2</v>
      </c>
      <c r="E91">
        <f t="shared" si="5"/>
        <v>4</v>
      </c>
      <c r="K91">
        <v>2</v>
      </c>
      <c r="L91">
        <v>1</v>
      </c>
      <c r="M91">
        <v>5</v>
      </c>
      <c r="N91">
        <v>100</v>
      </c>
      <c r="O91">
        <f>MAX(0.5,MIN(0.99,RF_Mechanics!J94-ABS(M91-2.5)*0.015+LOG10(N91)*0.02-ABS(L91-3)*0.003-ABS(K91-2)*0.002))</f>
        <v>0.54094444444444445</v>
      </c>
    </row>
    <row r="92" spans="1:15" x14ac:dyDescent="0.2">
      <c r="A92">
        <f>Data!A92</f>
        <v>91</v>
      </c>
      <c r="B92">
        <f>Data!L92</f>
        <v>1</v>
      </c>
      <c r="C92">
        <f t="shared" si="3"/>
        <v>1</v>
      </c>
      <c r="D92">
        <f t="shared" si="4"/>
        <v>3</v>
      </c>
      <c r="E92">
        <f t="shared" si="5"/>
        <v>5</v>
      </c>
      <c r="K92">
        <v>2</v>
      </c>
      <c r="L92">
        <v>2</v>
      </c>
      <c r="M92">
        <v>1</v>
      </c>
      <c r="N92">
        <v>5</v>
      </c>
      <c r="O92">
        <f>MAX(0.5,MIN(0.99,RF_Mechanics!J94-ABS(M92-2.5)*0.015+LOG10(N92)*0.02-ABS(L92-3)*0.003-ABS(K92-2)*0.002))</f>
        <v>0.53292384453116481</v>
      </c>
    </row>
    <row r="93" spans="1:15" x14ac:dyDescent="0.2">
      <c r="A93">
        <f>Data!A93</f>
        <v>92</v>
      </c>
      <c r="B93">
        <f>Data!L93</f>
        <v>0</v>
      </c>
      <c r="C93">
        <f t="shared" si="3"/>
        <v>2</v>
      </c>
      <c r="D93">
        <f t="shared" si="4"/>
        <v>4</v>
      </c>
      <c r="E93">
        <f t="shared" si="5"/>
        <v>1</v>
      </c>
      <c r="K93">
        <v>2</v>
      </c>
      <c r="L93">
        <v>2</v>
      </c>
      <c r="M93">
        <v>1</v>
      </c>
      <c r="N93">
        <v>20</v>
      </c>
      <c r="O93">
        <f>MAX(0.5,MIN(0.99,RF_Mechanics!J94-ABS(M93-2.5)*0.015+LOG10(N93)*0.02-ABS(L93-3)*0.003-ABS(K93-2)*0.002))</f>
        <v>0.54496504435772408</v>
      </c>
    </row>
    <row r="94" spans="1:15" x14ac:dyDescent="0.2">
      <c r="A94">
        <f>Data!A94</f>
        <v>93</v>
      </c>
      <c r="B94">
        <f>Data!L94</f>
        <v>0</v>
      </c>
      <c r="C94">
        <f t="shared" si="3"/>
        <v>3</v>
      </c>
      <c r="D94">
        <f t="shared" si="4"/>
        <v>5</v>
      </c>
      <c r="E94">
        <f t="shared" si="5"/>
        <v>2</v>
      </c>
      <c r="K94">
        <v>2</v>
      </c>
      <c r="L94">
        <v>2</v>
      </c>
      <c r="M94">
        <v>1</v>
      </c>
      <c r="N94">
        <v>100</v>
      </c>
      <c r="O94">
        <f>MAX(0.5,MIN(0.99,RF_Mechanics!J94-ABS(M94-2.5)*0.015+LOG10(N94)*0.02-ABS(L94-3)*0.003-ABS(K94-2)*0.002))</f>
        <v>0.55894444444444447</v>
      </c>
    </row>
    <row r="95" spans="1:15" x14ac:dyDescent="0.2">
      <c r="A95">
        <f>Data!A95</f>
        <v>94</v>
      </c>
      <c r="B95">
        <f>Data!L95</f>
        <v>1</v>
      </c>
      <c r="C95">
        <f t="shared" si="3"/>
        <v>4</v>
      </c>
      <c r="D95">
        <f t="shared" si="4"/>
        <v>1</v>
      </c>
      <c r="E95">
        <f t="shared" si="5"/>
        <v>3</v>
      </c>
      <c r="K95">
        <v>2</v>
      </c>
      <c r="L95">
        <v>2</v>
      </c>
      <c r="M95">
        <v>2</v>
      </c>
      <c r="N95">
        <v>5</v>
      </c>
      <c r="O95">
        <f>MAX(0.5,MIN(0.99,RF_Mechanics!J94-ABS(M95-2.5)*0.015+LOG10(N95)*0.02-ABS(L95-3)*0.003-ABS(K95-2)*0.002))</f>
        <v>0.54792384453116483</v>
      </c>
    </row>
    <row r="96" spans="1:15" x14ac:dyDescent="0.2">
      <c r="A96">
        <f>Data!A96</f>
        <v>95</v>
      </c>
      <c r="B96">
        <f>Data!L96</f>
        <v>0</v>
      </c>
      <c r="C96">
        <f t="shared" si="3"/>
        <v>5</v>
      </c>
      <c r="D96">
        <f t="shared" si="4"/>
        <v>2</v>
      </c>
      <c r="E96">
        <f t="shared" si="5"/>
        <v>4</v>
      </c>
      <c r="K96">
        <v>2</v>
      </c>
      <c r="L96">
        <v>2</v>
      </c>
      <c r="M96">
        <v>2</v>
      </c>
      <c r="N96">
        <v>20</v>
      </c>
      <c r="O96">
        <f>MAX(0.5,MIN(0.99,RF_Mechanics!J94-ABS(M96-2.5)*0.015+LOG10(N96)*0.02-ABS(L96-3)*0.003-ABS(K96-2)*0.002))</f>
        <v>0.5599650443577241</v>
      </c>
    </row>
    <row r="97" spans="1:15" x14ac:dyDescent="0.2">
      <c r="A97">
        <f>Data!A97</f>
        <v>96</v>
      </c>
      <c r="B97">
        <f>Data!L97</f>
        <v>0</v>
      </c>
      <c r="C97">
        <f t="shared" si="3"/>
        <v>1</v>
      </c>
      <c r="D97">
        <f t="shared" si="4"/>
        <v>3</v>
      </c>
      <c r="E97">
        <f t="shared" si="5"/>
        <v>5</v>
      </c>
      <c r="K97">
        <v>2</v>
      </c>
      <c r="L97">
        <v>2</v>
      </c>
      <c r="M97">
        <v>2</v>
      </c>
      <c r="N97">
        <v>100</v>
      </c>
      <c r="O97">
        <f>MAX(0.5,MIN(0.99,RF_Mechanics!J94-ABS(M97-2.5)*0.015+LOG10(N97)*0.02-ABS(L97-3)*0.003-ABS(K97-2)*0.002))</f>
        <v>0.57394444444444448</v>
      </c>
    </row>
    <row r="98" spans="1:15" x14ac:dyDescent="0.2">
      <c r="A98">
        <f>Data!A98</f>
        <v>97</v>
      </c>
      <c r="B98">
        <f>Data!L98</f>
        <v>0</v>
      </c>
      <c r="C98">
        <f t="shared" si="3"/>
        <v>2</v>
      </c>
      <c r="D98">
        <f t="shared" si="4"/>
        <v>4</v>
      </c>
      <c r="E98">
        <f t="shared" si="5"/>
        <v>1</v>
      </c>
      <c r="K98">
        <v>2</v>
      </c>
      <c r="L98">
        <v>2</v>
      </c>
      <c r="M98">
        <v>3</v>
      </c>
      <c r="N98">
        <v>5</v>
      </c>
      <c r="O98">
        <f>MAX(0.5,MIN(0.99,RF_Mechanics!J94-ABS(M98-2.5)*0.015+LOG10(N98)*0.02-ABS(L98-3)*0.003-ABS(K98-2)*0.002))</f>
        <v>0.54792384453116483</v>
      </c>
    </row>
    <row r="99" spans="1:15" x14ac:dyDescent="0.2">
      <c r="A99">
        <f>Data!A99</f>
        <v>98</v>
      </c>
      <c r="B99">
        <f>Data!L99</f>
        <v>1</v>
      </c>
      <c r="C99">
        <f t="shared" si="3"/>
        <v>3</v>
      </c>
      <c r="D99">
        <f t="shared" si="4"/>
        <v>5</v>
      </c>
      <c r="E99">
        <f t="shared" si="5"/>
        <v>2</v>
      </c>
      <c r="K99">
        <v>2</v>
      </c>
      <c r="L99">
        <v>2</v>
      </c>
      <c r="M99">
        <v>3</v>
      </c>
      <c r="N99">
        <v>20</v>
      </c>
      <c r="O99">
        <f>MAX(0.5,MIN(0.99,RF_Mechanics!J94-ABS(M99-2.5)*0.015+LOG10(N99)*0.02-ABS(L99-3)*0.003-ABS(K99-2)*0.002))</f>
        <v>0.5599650443577241</v>
      </c>
    </row>
    <row r="100" spans="1:15" x14ac:dyDescent="0.2">
      <c r="A100">
        <f>Data!A100</f>
        <v>99</v>
      </c>
      <c r="B100">
        <f>Data!L100</f>
        <v>1</v>
      </c>
      <c r="C100">
        <f t="shared" si="3"/>
        <v>4</v>
      </c>
      <c r="D100">
        <f t="shared" si="4"/>
        <v>1</v>
      </c>
      <c r="E100">
        <f t="shared" si="5"/>
        <v>3</v>
      </c>
      <c r="K100">
        <v>2</v>
      </c>
      <c r="L100">
        <v>2</v>
      </c>
      <c r="M100">
        <v>3</v>
      </c>
      <c r="N100">
        <v>100</v>
      </c>
      <c r="O100">
        <f>MAX(0.5,MIN(0.99,RF_Mechanics!J94-ABS(M100-2.5)*0.015+LOG10(N100)*0.02-ABS(L100-3)*0.003-ABS(K100-2)*0.002))</f>
        <v>0.57394444444444448</v>
      </c>
    </row>
    <row r="101" spans="1:15" x14ac:dyDescent="0.2">
      <c r="A101">
        <f>Data!A101</f>
        <v>100</v>
      </c>
      <c r="B101">
        <f>Data!L101</f>
        <v>1</v>
      </c>
      <c r="C101">
        <f t="shared" si="3"/>
        <v>5</v>
      </c>
      <c r="D101">
        <f t="shared" si="4"/>
        <v>2</v>
      </c>
      <c r="E101">
        <f t="shared" si="5"/>
        <v>4</v>
      </c>
      <c r="K101">
        <v>2</v>
      </c>
      <c r="L101">
        <v>2</v>
      </c>
      <c r="M101">
        <v>4</v>
      </c>
      <c r="N101">
        <v>5</v>
      </c>
      <c r="O101">
        <f>MAX(0.5,MIN(0.99,RF_Mechanics!J94-ABS(M101-2.5)*0.015+LOG10(N101)*0.02-ABS(L101-3)*0.003-ABS(K101-2)*0.002))</f>
        <v>0.53292384453116481</v>
      </c>
    </row>
    <row r="102" spans="1:15" x14ac:dyDescent="0.2">
      <c r="A102">
        <f>Data!A102</f>
        <v>101</v>
      </c>
      <c r="B102">
        <f>Data!L102</f>
        <v>1</v>
      </c>
      <c r="C102">
        <f t="shared" si="3"/>
        <v>1</v>
      </c>
      <c r="D102">
        <f t="shared" si="4"/>
        <v>3</v>
      </c>
      <c r="E102">
        <f t="shared" si="5"/>
        <v>5</v>
      </c>
      <c r="K102">
        <v>2</v>
      </c>
      <c r="L102">
        <v>2</v>
      </c>
      <c r="M102">
        <v>4</v>
      </c>
      <c r="N102">
        <v>20</v>
      </c>
      <c r="O102">
        <f>MAX(0.5,MIN(0.99,RF_Mechanics!J94-ABS(M102-2.5)*0.015+LOG10(N102)*0.02-ABS(L102-3)*0.003-ABS(K102-2)*0.002))</f>
        <v>0.54496504435772408</v>
      </c>
    </row>
    <row r="103" spans="1:15" x14ac:dyDescent="0.2">
      <c r="A103">
        <f>Data!A103</f>
        <v>102</v>
      </c>
      <c r="B103">
        <f>Data!L103</f>
        <v>1</v>
      </c>
      <c r="C103">
        <f t="shared" si="3"/>
        <v>2</v>
      </c>
      <c r="D103">
        <f t="shared" si="4"/>
        <v>4</v>
      </c>
      <c r="E103">
        <f t="shared" si="5"/>
        <v>1</v>
      </c>
      <c r="K103">
        <v>2</v>
      </c>
      <c r="L103">
        <v>2</v>
      </c>
      <c r="M103">
        <v>4</v>
      </c>
      <c r="N103">
        <v>100</v>
      </c>
      <c r="O103">
        <f>MAX(0.5,MIN(0.99,RF_Mechanics!J94-ABS(M103-2.5)*0.015+LOG10(N103)*0.02-ABS(L103-3)*0.003-ABS(K103-2)*0.002))</f>
        <v>0.55894444444444447</v>
      </c>
    </row>
    <row r="104" spans="1:15" x14ac:dyDescent="0.2">
      <c r="A104">
        <f>Data!A104</f>
        <v>103</v>
      </c>
      <c r="B104">
        <f>Data!L104</f>
        <v>1</v>
      </c>
      <c r="C104">
        <f t="shared" si="3"/>
        <v>3</v>
      </c>
      <c r="D104">
        <f t="shared" si="4"/>
        <v>5</v>
      </c>
      <c r="E104">
        <f t="shared" si="5"/>
        <v>2</v>
      </c>
      <c r="K104">
        <v>2</v>
      </c>
      <c r="L104">
        <v>2</v>
      </c>
      <c r="M104">
        <v>5</v>
      </c>
      <c r="N104">
        <v>5</v>
      </c>
      <c r="O104">
        <f>MAX(0.5,MIN(0.99,RF_Mechanics!J94-ABS(M104-2.5)*0.015+LOG10(N104)*0.02-ABS(L104-3)*0.003-ABS(K104-2)*0.002))</f>
        <v>0.5179238445311648</v>
      </c>
    </row>
    <row r="105" spans="1:15" x14ac:dyDescent="0.2">
      <c r="A105">
        <f>Data!A105</f>
        <v>104</v>
      </c>
      <c r="B105">
        <f>Data!L105</f>
        <v>0</v>
      </c>
      <c r="C105">
        <f t="shared" si="3"/>
        <v>4</v>
      </c>
      <c r="D105">
        <f t="shared" si="4"/>
        <v>1</v>
      </c>
      <c r="E105">
        <f t="shared" si="5"/>
        <v>3</v>
      </c>
      <c r="K105">
        <v>2</v>
      </c>
      <c r="L105">
        <v>2</v>
      </c>
      <c r="M105">
        <v>5</v>
      </c>
      <c r="N105">
        <v>20</v>
      </c>
      <c r="O105">
        <f>MAX(0.5,MIN(0.99,RF_Mechanics!J94-ABS(M105-2.5)*0.015+LOG10(N105)*0.02-ABS(L105-3)*0.003-ABS(K105-2)*0.002))</f>
        <v>0.52996504435772407</v>
      </c>
    </row>
    <row r="106" spans="1:15" x14ac:dyDescent="0.2">
      <c r="A106">
        <f>Data!A106</f>
        <v>105</v>
      </c>
      <c r="B106">
        <f>Data!L106</f>
        <v>1</v>
      </c>
      <c r="C106">
        <f t="shared" si="3"/>
        <v>5</v>
      </c>
      <c r="D106">
        <f t="shared" si="4"/>
        <v>2</v>
      </c>
      <c r="E106">
        <f t="shared" si="5"/>
        <v>4</v>
      </c>
      <c r="K106">
        <v>2</v>
      </c>
      <c r="L106">
        <v>2</v>
      </c>
      <c r="M106">
        <v>5</v>
      </c>
      <c r="N106">
        <v>100</v>
      </c>
      <c r="O106">
        <f>MAX(0.5,MIN(0.99,RF_Mechanics!J94-ABS(M106-2.5)*0.015+LOG10(N106)*0.02-ABS(L106-3)*0.003-ABS(K106-2)*0.002))</f>
        <v>0.54394444444444445</v>
      </c>
    </row>
    <row r="107" spans="1:15" x14ac:dyDescent="0.2">
      <c r="A107">
        <f>Data!A107</f>
        <v>106</v>
      </c>
      <c r="B107">
        <f>Data!L107</f>
        <v>0</v>
      </c>
      <c r="C107">
        <f t="shared" si="3"/>
        <v>1</v>
      </c>
      <c r="D107">
        <f t="shared" si="4"/>
        <v>3</v>
      </c>
      <c r="E107">
        <f t="shared" si="5"/>
        <v>5</v>
      </c>
      <c r="K107">
        <v>2</v>
      </c>
      <c r="L107">
        <v>3</v>
      </c>
      <c r="M107">
        <v>1</v>
      </c>
      <c r="N107">
        <v>5</v>
      </c>
      <c r="O107">
        <f>MAX(0.5,MIN(0.99,RF_Mechanics!J94-ABS(M107-2.5)*0.015+LOG10(N107)*0.02-ABS(L107-3)*0.003-ABS(K107-2)*0.002))</f>
        <v>0.53592384453116482</v>
      </c>
    </row>
    <row r="108" spans="1:15" x14ac:dyDescent="0.2">
      <c r="A108">
        <f>Data!A108</f>
        <v>107</v>
      </c>
      <c r="B108">
        <f>Data!L108</f>
        <v>0</v>
      </c>
      <c r="C108">
        <f t="shared" si="3"/>
        <v>2</v>
      </c>
      <c r="D108">
        <f t="shared" si="4"/>
        <v>4</v>
      </c>
      <c r="E108">
        <f t="shared" si="5"/>
        <v>1</v>
      </c>
      <c r="K108">
        <v>2</v>
      </c>
      <c r="L108">
        <v>3</v>
      </c>
      <c r="M108">
        <v>1</v>
      </c>
      <c r="N108">
        <v>20</v>
      </c>
      <c r="O108">
        <f>MAX(0.5,MIN(0.99,RF_Mechanics!J94-ABS(M108-2.5)*0.015+LOG10(N108)*0.02-ABS(L108-3)*0.003-ABS(K108-2)*0.002))</f>
        <v>0.54796504435772408</v>
      </c>
    </row>
    <row r="109" spans="1:15" x14ac:dyDescent="0.2">
      <c r="A109">
        <f>Data!A109</f>
        <v>108</v>
      </c>
      <c r="B109">
        <f>Data!L109</f>
        <v>0</v>
      </c>
      <c r="C109">
        <f t="shared" si="3"/>
        <v>3</v>
      </c>
      <c r="D109">
        <f t="shared" si="4"/>
        <v>5</v>
      </c>
      <c r="E109">
        <f t="shared" si="5"/>
        <v>2</v>
      </c>
      <c r="K109">
        <v>2</v>
      </c>
      <c r="L109">
        <v>3</v>
      </c>
      <c r="M109">
        <v>1</v>
      </c>
      <c r="N109">
        <v>100</v>
      </c>
      <c r="O109">
        <f>MAX(0.5,MIN(0.99,RF_Mechanics!J94-ABS(M109-2.5)*0.015+LOG10(N109)*0.02-ABS(L109-3)*0.003-ABS(K109-2)*0.002))</f>
        <v>0.56194444444444447</v>
      </c>
    </row>
    <row r="110" spans="1:15" x14ac:dyDescent="0.2">
      <c r="A110">
        <f>Data!A110</f>
        <v>109</v>
      </c>
      <c r="B110">
        <f>Data!L110</f>
        <v>1</v>
      </c>
      <c r="C110">
        <f t="shared" si="3"/>
        <v>4</v>
      </c>
      <c r="D110">
        <f t="shared" si="4"/>
        <v>1</v>
      </c>
      <c r="E110">
        <f t="shared" si="5"/>
        <v>3</v>
      </c>
      <c r="K110">
        <v>2</v>
      </c>
      <c r="L110">
        <v>3</v>
      </c>
      <c r="M110">
        <v>2</v>
      </c>
      <c r="N110">
        <v>5</v>
      </c>
      <c r="O110">
        <f>MAX(0.5,MIN(0.99,RF_Mechanics!J94-ABS(M110-2.5)*0.015+LOG10(N110)*0.02-ABS(L110-3)*0.003-ABS(K110-2)*0.002))</f>
        <v>0.55092384453116483</v>
      </c>
    </row>
    <row r="111" spans="1:15" x14ac:dyDescent="0.2">
      <c r="A111">
        <f>Data!A111</f>
        <v>110</v>
      </c>
      <c r="B111">
        <f>Data!L111</f>
        <v>1</v>
      </c>
      <c r="C111">
        <f t="shared" si="3"/>
        <v>5</v>
      </c>
      <c r="D111">
        <f t="shared" si="4"/>
        <v>2</v>
      </c>
      <c r="E111">
        <f t="shared" si="5"/>
        <v>4</v>
      </c>
      <c r="K111">
        <v>2</v>
      </c>
      <c r="L111">
        <v>3</v>
      </c>
      <c r="M111">
        <v>2</v>
      </c>
      <c r="N111">
        <v>20</v>
      </c>
      <c r="O111">
        <f>MAX(0.5,MIN(0.99,RF_Mechanics!J94-ABS(M111-2.5)*0.015+LOG10(N111)*0.02-ABS(L111-3)*0.003-ABS(K111-2)*0.002))</f>
        <v>0.5629650443577241</v>
      </c>
    </row>
    <row r="112" spans="1:15" x14ac:dyDescent="0.2">
      <c r="A112">
        <f>Data!A112</f>
        <v>111</v>
      </c>
      <c r="B112">
        <f>Data!L112</f>
        <v>1</v>
      </c>
      <c r="C112">
        <f t="shared" si="3"/>
        <v>1</v>
      </c>
      <c r="D112">
        <f t="shared" si="4"/>
        <v>3</v>
      </c>
      <c r="E112">
        <f t="shared" si="5"/>
        <v>5</v>
      </c>
      <c r="K112">
        <v>2</v>
      </c>
      <c r="L112">
        <v>3</v>
      </c>
      <c r="M112">
        <v>2</v>
      </c>
      <c r="N112">
        <v>100</v>
      </c>
      <c r="O112">
        <f>MAX(0.5,MIN(0.99,RF_Mechanics!J94-ABS(M112-2.5)*0.015+LOG10(N112)*0.02-ABS(L112-3)*0.003-ABS(K112-2)*0.002))</f>
        <v>0.57694444444444448</v>
      </c>
    </row>
    <row r="113" spans="1:15" x14ac:dyDescent="0.2">
      <c r="A113">
        <f>Data!A113</f>
        <v>112</v>
      </c>
      <c r="B113">
        <f>Data!L113</f>
        <v>0</v>
      </c>
      <c r="C113">
        <f t="shared" si="3"/>
        <v>2</v>
      </c>
      <c r="D113">
        <f t="shared" si="4"/>
        <v>4</v>
      </c>
      <c r="E113">
        <f t="shared" si="5"/>
        <v>1</v>
      </c>
      <c r="K113">
        <v>2</v>
      </c>
      <c r="L113">
        <v>3</v>
      </c>
      <c r="M113">
        <v>3</v>
      </c>
      <c r="N113">
        <v>5</v>
      </c>
      <c r="O113">
        <f>MAX(0.5,MIN(0.99,RF_Mechanics!J94-ABS(M113-2.5)*0.015+LOG10(N113)*0.02-ABS(L113-3)*0.003-ABS(K113-2)*0.002))</f>
        <v>0.55092384453116483</v>
      </c>
    </row>
    <row r="114" spans="1:15" x14ac:dyDescent="0.2">
      <c r="A114">
        <f>Data!A114</f>
        <v>113</v>
      </c>
      <c r="B114">
        <f>Data!L114</f>
        <v>0</v>
      </c>
      <c r="C114">
        <f t="shared" si="3"/>
        <v>3</v>
      </c>
      <c r="D114">
        <f t="shared" si="4"/>
        <v>5</v>
      </c>
      <c r="E114">
        <f t="shared" si="5"/>
        <v>2</v>
      </c>
      <c r="K114">
        <v>2</v>
      </c>
      <c r="L114">
        <v>3</v>
      </c>
      <c r="M114">
        <v>3</v>
      </c>
      <c r="N114">
        <v>20</v>
      </c>
      <c r="O114">
        <f>MAX(0.5,MIN(0.99,RF_Mechanics!J94-ABS(M114-2.5)*0.015+LOG10(N114)*0.02-ABS(L114-3)*0.003-ABS(K114-2)*0.002))</f>
        <v>0.5629650443577241</v>
      </c>
    </row>
    <row r="115" spans="1:15" x14ac:dyDescent="0.2">
      <c r="A115">
        <f>Data!A115</f>
        <v>114</v>
      </c>
      <c r="B115">
        <f>Data!L115</f>
        <v>1</v>
      </c>
      <c r="C115">
        <f t="shared" si="3"/>
        <v>4</v>
      </c>
      <c r="D115">
        <f t="shared" si="4"/>
        <v>1</v>
      </c>
      <c r="E115">
        <f t="shared" si="5"/>
        <v>3</v>
      </c>
      <c r="K115">
        <v>2</v>
      </c>
      <c r="L115">
        <v>3</v>
      </c>
      <c r="M115">
        <v>3</v>
      </c>
      <c r="N115">
        <v>100</v>
      </c>
      <c r="O115">
        <f>MAX(0.5,MIN(0.99,RF_Mechanics!J94-ABS(M115-2.5)*0.015+LOG10(N115)*0.02-ABS(L115-3)*0.003-ABS(K115-2)*0.002))</f>
        <v>0.57694444444444448</v>
      </c>
    </row>
    <row r="116" spans="1:15" x14ac:dyDescent="0.2">
      <c r="A116">
        <f>Data!A116</f>
        <v>115</v>
      </c>
      <c r="B116">
        <f>Data!L116</f>
        <v>0</v>
      </c>
      <c r="C116">
        <f t="shared" si="3"/>
        <v>5</v>
      </c>
      <c r="D116">
        <f t="shared" si="4"/>
        <v>2</v>
      </c>
      <c r="E116">
        <f t="shared" si="5"/>
        <v>4</v>
      </c>
      <c r="K116">
        <v>2</v>
      </c>
      <c r="L116">
        <v>3</v>
      </c>
      <c r="M116">
        <v>4</v>
      </c>
      <c r="N116">
        <v>5</v>
      </c>
      <c r="O116">
        <f>MAX(0.5,MIN(0.99,RF_Mechanics!J94-ABS(M116-2.5)*0.015+LOG10(N116)*0.02-ABS(L116-3)*0.003-ABS(K116-2)*0.002))</f>
        <v>0.53592384453116482</v>
      </c>
    </row>
    <row r="117" spans="1:15" x14ac:dyDescent="0.2">
      <c r="A117">
        <f>Data!A117</f>
        <v>116</v>
      </c>
      <c r="B117">
        <f>Data!L117</f>
        <v>0</v>
      </c>
      <c r="C117">
        <f t="shared" si="3"/>
        <v>1</v>
      </c>
      <c r="D117">
        <f t="shared" si="4"/>
        <v>3</v>
      </c>
      <c r="E117">
        <f t="shared" si="5"/>
        <v>5</v>
      </c>
      <c r="K117">
        <v>2</v>
      </c>
      <c r="L117">
        <v>3</v>
      </c>
      <c r="M117">
        <v>4</v>
      </c>
      <c r="N117">
        <v>20</v>
      </c>
      <c r="O117">
        <f>MAX(0.5,MIN(0.99,RF_Mechanics!J94-ABS(M117-2.5)*0.015+LOG10(N117)*0.02-ABS(L117-3)*0.003-ABS(K117-2)*0.002))</f>
        <v>0.54796504435772408</v>
      </c>
    </row>
    <row r="118" spans="1:15" x14ac:dyDescent="0.2">
      <c r="A118">
        <f>Data!A118</f>
        <v>117</v>
      </c>
      <c r="B118">
        <f>Data!L118</f>
        <v>1</v>
      </c>
      <c r="C118">
        <f t="shared" si="3"/>
        <v>2</v>
      </c>
      <c r="D118">
        <f t="shared" si="4"/>
        <v>4</v>
      </c>
      <c r="E118">
        <f t="shared" si="5"/>
        <v>1</v>
      </c>
      <c r="K118">
        <v>2</v>
      </c>
      <c r="L118">
        <v>3</v>
      </c>
      <c r="M118">
        <v>4</v>
      </c>
      <c r="N118">
        <v>100</v>
      </c>
      <c r="O118">
        <f>MAX(0.5,MIN(0.99,RF_Mechanics!J94-ABS(M118-2.5)*0.015+LOG10(N118)*0.02-ABS(L118-3)*0.003-ABS(K118-2)*0.002))</f>
        <v>0.56194444444444447</v>
      </c>
    </row>
    <row r="119" spans="1:15" x14ac:dyDescent="0.2">
      <c r="A119">
        <f>Data!A119</f>
        <v>118</v>
      </c>
      <c r="B119">
        <f>Data!L119</f>
        <v>1</v>
      </c>
      <c r="C119">
        <f t="shared" si="3"/>
        <v>3</v>
      </c>
      <c r="D119">
        <f t="shared" si="4"/>
        <v>5</v>
      </c>
      <c r="E119">
        <f t="shared" si="5"/>
        <v>2</v>
      </c>
      <c r="K119">
        <v>2</v>
      </c>
      <c r="L119">
        <v>3</v>
      </c>
      <c r="M119">
        <v>5</v>
      </c>
      <c r="N119">
        <v>5</v>
      </c>
      <c r="O119">
        <f>MAX(0.5,MIN(0.99,RF_Mechanics!J94-ABS(M119-2.5)*0.015+LOG10(N119)*0.02-ABS(L119-3)*0.003-ABS(K119-2)*0.002))</f>
        <v>0.5209238445311648</v>
      </c>
    </row>
    <row r="120" spans="1:15" x14ac:dyDescent="0.2">
      <c r="A120">
        <f>Data!A120</f>
        <v>119</v>
      </c>
      <c r="B120">
        <f>Data!L120</f>
        <v>1</v>
      </c>
      <c r="C120">
        <f t="shared" si="3"/>
        <v>4</v>
      </c>
      <c r="D120">
        <f t="shared" si="4"/>
        <v>1</v>
      </c>
      <c r="E120">
        <f t="shared" si="5"/>
        <v>3</v>
      </c>
      <c r="K120">
        <v>2</v>
      </c>
      <c r="L120">
        <v>3</v>
      </c>
      <c r="M120">
        <v>5</v>
      </c>
      <c r="N120">
        <v>20</v>
      </c>
      <c r="O120">
        <f>MAX(0.5,MIN(0.99,RF_Mechanics!J94-ABS(M120-2.5)*0.015+LOG10(N120)*0.02-ABS(L120-3)*0.003-ABS(K120-2)*0.002))</f>
        <v>0.53296504435772407</v>
      </c>
    </row>
    <row r="121" spans="1:15" x14ac:dyDescent="0.2">
      <c r="A121">
        <f>Data!A121</f>
        <v>120</v>
      </c>
      <c r="B121">
        <f>Data!L121</f>
        <v>1</v>
      </c>
      <c r="C121">
        <f t="shared" si="3"/>
        <v>5</v>
      </c>
      <c r="D121">
        <f t="shared" si="4"/>
        <v>2</v>
      </c>
      <c r="E121">
        <f t="shared" si="5"/>
        <v>4</v>
      </c>
      <c r="K121">
        <v>2</v>
      </c>
      <c r="L121">
        <v>3</v>
      </c>
      <c r="M121">
        <v>5</v>
      </c>
      <c r="N121">
        <v>100</v>
      </c>
      <c r="O121">
        <f>MAX(0.5,MIN(0.99,RF_Mechanics!J94-ABS(M121-2.5)*0.015+LOG10(N121)*0.02-ABS(L121-3)*0.003-ABS(K121-2)*0.002))</f>
        <v>0.54694444444444446</v>
      </c>
    </row>
    <row r="122" spans="1:15" x14ac:dyDescent="0.2">
      <c r="A122">
        <f>Data!A122</f>
        <v>121</v>
      </c>
      <c r="B122">
        <f>Data!L122</f>
        <v>0</v>
      </c>
      <c r="C122">
        <f t="shared" si="3"/>
        <v>1</v>
      </c>
      <c r="D122">
        <f t="shared" si="4"/>
        <v>3</v>
      </c>
      <c r="E122">
        <f t="shared" si="5"/>
        <v>5</v>
      </c>
      <c r="K122">
        <v>2</v>
      </c>
      <c r="L122">
        <v>4</v>
      </c>
      <c r="M122">
        <v>1</v>
      </c>
      <c r="N122">
        <v>5</v>
      </c>
      <c r="O122">
        <f>MAX(0.5,MIN(0.99,RF_Mechanics!J94-ABS(M122-2.5)*0.015+LOG10(N122)*0.02-ABS(L122-3)*0.003-ABS(K122-2)*0.002))</f>
        <v>0.53292384453116481</v>
      </c>
    </row>
    <row r="123" spans="1:15" x14ac:dyDescent="0.2">
      <c r="A123">
        <f>Data!A123</f>
        <v>122</v>
      </c>
      <c r="B123">
        <f>Data!L123</f>
        <v>0</v>
      </c>
      <c r="C123">
        <f t="shared" si="3"/>
        <v>2</v>
      </c>
      <c r="D123">
        <f t="shared" si="4"/>
        <v>4</v>
      </c>
      <c r="E123">
        <f t="shared" si="5"/>
        <v>1</v>
      </c>
      <c r="K123">
        <v>2</v>
      </c>
      <c r="L123">
        <v>4</v>
      </c>
      <c r="M123">
        <v>1</v>
      </c>
      <c r="N123">
        <v>20</v>
      </c>
      <c r="O123">
        <f>MAX(0.5,MIN(0.99,RF_Mechanics!J94-ABS(M123-2.5)*0.015+LOG10(N123)*0.02-ABS(L123-3)*0.003-ABS(K123-2)*0.002))</f>
        <v>0.54496504435772408</v>
      </c>
    </row>
    <row r="124" spans="1:15" x14ac:dyDescent="0.2">
      <c r="A124">
        <f>Data!A124</f>
        <v>123</v>
      </c>
      <c r="B124">
        <f>Data!L124</f>
        <v>1</v>
      </c>
      <c r="C124">
        <f t="shared" si="3"/>
        <v>3</v>
      </c>
      <c r="D124">
        <f t="shared" si="4"/>
        <v>5</v>
      </c>
      <c r="E124">
        <f t="shared" si="5"/>
        <v>2</v>
      </c>
      <c r="K124">
        <v>2</v>
      </c>
      <c r="L124">
        <v>4</v>
      </c>
      <c r="M124">
        <v>1</v>
      </c>
      <c r="N124">
        <v>100</v>
      </c>
      <c r="O124">
        <f>MAX(0.5,MIN(0.99,RF_Mechanics!J94-ABS(M124-2.5)*0.015+LOG10(N124)*0.02-ABS(L124-3)*0.003-ABS(K124-2)*0.002))</f>
        <v>0.55894444444444447</v>
      </c>
    </row>
    <row r="125" spans="1:15" x14ac:dyDescent="0.2">
      <c r="A125">
        <f>Data!A125</f>
        <v>124</v>
      </c>
      <c r="B125">
        <f>Data!L125</f>
        <v>1</v>
      </c>
      <c r="C125">
        <f t="shared" si="3"/>
        <v>4</v>
      </c>
      <c r="D125">
        <f t="shared" si="4"/>
        <v>1</v>
      </c>
      <c r="E125">
        <f t="shared" si="5"/>
        <v>3</v>
      </c>
      <c r="K125">
        <v>2</v>
      </c>
      <c r="L125">
        <v>4</v>
      </c>
      <c r="M125">
        <v>2</v>
      </c>
      <c r="N125">
        <v>5</v>
      </c>
      <c r="O125">
        <f>MAX(0.5,MIN(0.99,RF_Mechanics!J94-ABS(M125-2.5)*0.015+LOG10(N125)*0.02-ABS(L125-3)*0.003-ABS(K125-2)*0.002))</f>
        <v>0.54792384453116483</v>
      </c>
    </row>
    <row r="126" spans="1:15" x14ac:dyDescent="0.2">
      <c r="A126">
        <f>Data!A126</f>
        <v>125</v>
      </c>
      <c r="B126">
        <f>Data!L126</f>
        <v>0</v>
      </c>
      <c r="C126">
        <f t="shared" si="3"/>
        <v>5</v>
      </c>
      <c r="D126">
        <f t="shared" si="4"/>
        <v>2</v>
      </c>
      <c r="E126">
        <f t="shared" si="5"/>
        <v>4</v>
      </c>
      <c r="K126">
        <v>2</v>
      </c>
      <c r="L126">
        <v>4</v>
      </c>
      <c r="M126">
        <v>2</v>
      </c>
      <c r="N126">
        <v>20</v>
      </c>
      <c r="O126">
        <f>MAX(0.5,MIN(0.99,RF_Mechanics!J94-ABS(M126-2.5)*0.015+LOG10(N126)*0.02-ABS(L126-3)*0.003-ABS(K126-2)*0.002))</f>
        <v>0.5599650443577241</v>
      </c>
    </row>
    <row r="127" spans="1:15" x14ac:dyDescent="0.2">
      <c r="A127">
        <f>Data!A127</f>
        <v>126</v>
      </c>
      <c r="B127">
        <f>Data!L127</f>
        <v>0</v>
      </c>
      <c r="C127">
        <f t="shared" si="3"/>
        <v>1</v>
      </c>
      <c r="D127">
        <f t="shared" si="4"/>
        <v>3</v>
      </c>
      <c r="E127">
        <f t="shared" si="5"/>
        <v>5</v>
      </c>
      <c r="K127">
        <v>2</v>
      </c>
      <c r="L127">
        <v>4</v>
      </c>
      <c r="M127">
        <v>2</v>
      </c>
      <c r="N127">
        <v>100</v>
      </c>
      <c r="O127">
        <f>MAX(0.5,MIN(0.99,RF_Mechanics!J94-ABS(M127-2.5)*0.015+LOG10(N127)*0.02-ABS(L127-3)*0.003-ABS(K127-2)*0.002))</f>
        <v>0.57394444444444448</v>
      </c>
    </row>
    <row r="128" spans="1:15" x14ac:dyDescent="0.2">
      <c r="A128">
        <f>Data!A128</f>
        <v>127</v>
      </c>
      <c r="B128">
        <f>Data!L128</f>
        <v>1</v>
      </c>
      <c r="C128">
        <f t="shared" si="3"/>
        <v>2</v>
      </c>
      <c r="D128">
        <f t="shared" si="4"/>
        <v>4</v>
      </c>
      <c r="E128">
        <f t="shared" si="5"/>
        <v>1</v>
      </c>
      <c r="K128">
        <v>2</v>
      </c>
      <c r="L128">
        <v>4</v>
      </c>
      <c r="M128">
        <v>3</v>
      </c>
      <c r="N128">
        <v>5</v>
      </c>
      <c r="O128">
        <f>MAX(0.5,MIN(0.99,RF_Mechanics!J94-ABS(M128-2.5)*0.015+LOG10(N128)*0.02-ABS(L128-3)*0.003-ABS(K128-2)*0.002))</f>
        <v>0.54792384453116483</v>
      </c>
    </row>
    <row r="129" spans="1:15" x14ac:dyDescent="0.2">
      <c r="A129">
        <f>Data!A129</f>
        <v>128</v>
      </c>
      <c r="B129">
        <f>Data!L129</f>
        <v>0</v>
      </c>
      <c r="C129">
        <f t="shared" si="3"/>
        <v>3</v>
      </c>
      <c r="D129">
        <f t="shared" si="4"/>
        <v>5</v>
      </c>
      <c r="E129">
        <f t="shared" si="5"/>
        <v>2</v>
      </c>
      <c r="K129">
        <v>2</v>
      </c>
      <c r="L129">
        <v>4</v>
      </c>
      <c r="M129">
        <v>3</v>
      </c>
      <c r="N129">
        <v>20</v>
      </c>
      <c r="O129">
        <f>MAX(0.5,MIN(0.99,RF_Mechanics!J94-ABS(M129-2.5)*0.015+LOG10(N129)*0.02-ABS(L129-3)*0.003-ABS(K129-2)*0.002))</f>
        <v>0.5599650443577241</v>
      </c>
    </row>
    <row r="130" spans="1:15" x14ac:dyDescent="0.2">
      <c r="A130">
        <f>Data!A130</f>
        <v>129</v>
      </c>
      <c r="B130">
        <f>Data!L130</f>
        <v>1</v>
      </c>
      <c r="C130">
        <f t="shared" ref="C130:C193" si="6">1+MOD(A130-1,5)</f>
        <v>4</v>
      </c>
      <c r="D130">
        <f t="shared" ref="D130:D193" si="7">1+MOD(A130+1,5)</f>
        <v>1</v>
      </c>
      <c r="E130">
        <f t="shared" ref="E130:E193" si="8">1+MOD(A130+3,5)</f>
        <v>3</v>
      </c>
      <c r="K130">
        <v>2</v>
      </c>
      <c r="L130">
        <v>4</v>
      </c>
      <c r="M130">
        <v>3</v>
      </c>
      <c r="N130">
        <v>100</v>
      </c>
      <c r="O130">
        <f>MAX(0.5,MIN(0.99,RF_Mechanics!J94-ABS(M130-2.5)*0.015+LOG10(N130)*0.02-ABS(L130-3)*0.003-ABS(K130-2)*0.002))</f>
        <v>0.57394444444444448</v>
      </c>
    </row>
    <row r="131" spans="1:15" x14ac:dyDescent="0.2">
      <c r="A131">
        <f>Data!A131</f>
        <v>130</v>
      </c>
      <c r="B131">
        <f>Data!L131</f>
        <v>0</v>
      </c>
      <c r="C131">
        <f t="shared" si="6"/>
        <v>5</v>
      </c>
      <c r="D131">
        <f t="shared" si="7"/>
        <v>2</v>
      </c>
      <c r="E131">
        <f t="shared" si="8"/>
        <v>4</v>
      </c>
      <c r="K131">
        <v>2</v>
      </c>
      <c r="L131">
        <v>4</v>
      </c>
      <c r="M131">
        <v>4</v>
      </c>
      <c r="N131">
        <v>5</v>
      </c>
      <c r="O131">
        <f>MAX(0.5,MIN(0.99,RF_Mechanics!J94-ABS(M131-2.5)*0.015+LOG10(N131)*0.02-ABS(L131-3)*0.003-ABS(K131-2)*0.002))</f>
        <v>0.53292384453116481</v>
      </c>
    </row>
    <row r="132" spans="1:15" x14ac:dyDescent="0.2">
      <c r="A132">
        <f>Data!A132</f>
        <v>131</v>
      </c>
      <c r="B132">
        <f>Data!L132</f>
        <v>1</v>
      </c>
      <c r="C132">
        <f t="shared" si="6"/>
        <v>1</v>
      </c>
      <c r="D132">
        <f t="shared" si="7"/>
        <v>3</v>
      </c>
      <c r="E132">
        <f t="shared" si="8"/>
        <v>5</v>
      </c>
      <c r="K132">
        <v>2</v>
      </c>
      <c r="L132">
        <v>4</v>
      </c>
      <c r="M132">
        <v>4</v>
      </c>
      <c r="N132">
        <v>20</v>
      </c>
      <c r="O132">
        <f>MAX(0.5,MIN(0.99,RF_Mechanics!J94-ABS(M132-2.5)*0.015+LOG10(N132)*0.02-ABS(L132-3)*0.003-ABS(K132-2)*0.002))</f>
        <v>0.54496504435772408</v>
      </c>
    </row>
    <row r="133" spans="1:15" x14ac:dyDescent="0.2">
      <c r="A133">
        <f>Data!A133</f>
        <v>132</v>
      </c>
      <c r="B133">
        <f>Data!L133</f>
        <v>1</v>
      </c>
      <c r="C133">
        <f t="shared" si="6"/>
        <v>2</v>
      </c>
      <c r="D133">
        <f t="shared" si="7"/>
        <v>4</v>
      </c>
      <c r="E133">
        <f t="shared" si="8"/>
        <v>1</v>
      </c>
      <c r="K133">
        <v>2</v>
      </c>
      <c r="L133">
        <v>4</v>
      </c>
      <c r="M133">
        <v>4</v>
      </c>
      <c r="N133">
        <v>100</v>
      </c>
      <c r="O133">
        <f>MAX(0.5,MIN(0.99,RF_Mechanics!J94-ABS(M133-2.5)*0.015+LOG10(N133)*0.02-ABS(L133-3)*0.003-ABS(K133-2)*0.002))</f>
        <v>0.55894444444444447</v>
      </c>
    </row>
    <row r="134" spans="1:15" x14ac:dyDescent="0.2">
      <c r="A134">
        <f>Data!A134</f>
        <v>133</v>
      </c>
      <c r="B134">
        <f>Data!L134</f>
        <v>1</v>
      </c>
      <c r="C134">
        <f t="shared" si="6"/>
        <v>3</v>
      </c>
      <c r="D134">
        <f t="shared" si="7"/>
        <v>5</v>
      </c>
      <c r="E134">
        <f t="shared" si="8"/>
        <v>2</v>
      </c>
      <c r="K134">
        <v>2</v>
      </c>
      <c r="L134">
        <v>4</v>
      </c>
      <c r="M134">
        <v>5</v>
      </c>
      <c r="N134">
        <v>5</v>
      </c>
      <c r="O134">
        <f>MAX(0.5,MIN(0.99,RF_Mechanics!J94-ABS(M134-2.5)*0.015+LOG10(N134)*0.02-ABS(L134-3)*0.003-ABS(K134-2)*0.002))</f>
        <v>0.5179238445311648</v>
      </c>
    </row>
    <row r="135" spans="1:15" x14ac:dyDescent="0.2">
      <c r="A135">
        <f>Data!A135</f>
        <v>134</v>
      </c>
      <c r="B135">
        <f>Data!L135</f>
        <v>1</v>
      </c>
      <c r="C135">
        <f t="shared" si="6"/>
        <v>4</v>
      </c>
      <c r="D135">
        <f t="shared" si="7"/>
        <v>1</v>
      </c>
      <c r="E135">
        <f t="shared" si="8"/>
        <v>3</v>
      </c>
      <c r="K135">
        <v>2</v>
      </c>
      <c r="L135">
        <v>4</v>
      </c>
      <c r="M135">
        <v>5</v>
      </c>
      <c r="N135">
        <v>20</v>
      </c>
      <c r="O135">
        <f>MAX(0.5,MIN(0.99,RF_Mechanics!J94-ABS(M135-2.5)*0.015+LOG10(N135)*0.02-ABS(L135-3)*0.003-ABS(K135-2)*0.002))</f>
        <v>0.52996504435772407</v>
      </c>
    </row>
    <row r="136" spans="1:15" x14ac:dyDescent="0.2">
      <c r="A136">
        <f>Data!A136</f>
        <v>135</v>
      </c>
      <c r="B136">
        <f>Data!L136</f>
        <v>1</v>
      </c>
      <c r="C136">
        <f t="shared" si="6"/>
        <v>5</v>
      </c>
      <c r="D136">
        <f t="shared" si="7"/>
        <v>2</v>
      </c>
      <c r="E136">
        <f t="shared" si="8"/>
        <v>4</v>
      </c>
      <c r="K136">
        <v>2</v>
      </c>
      <c r="L136">
        <v>4</v>
      </c>
      <c r="M136">
        <v>5</v>
      </c>
      <c r="N136">
        <v>100</v>
      </c>
      <c r="O136">
        <f>MAX(0.5,MIN(0.99,RF_Mechanics!J94-ABS(M136-2.5)*0.015+LOG10(N136)*0.02-ABS(L136-3)*0.003-ABS(K136-2)*0.002))</f>
        <v>0.54394444444444445</v>
      </c>
    </row>
    <row r="137" spans="1:15" x14ac:dyDescent="0.2">
      <c r="A137">
        <f>Data!A137</f>
        <v>136</v>
      </c>
      <c r="B137">
        <f>Data!L137</f>
        <v>0</v>
      </c>
      <c r="C137">
        <f t="shared" si="6"/>
        <v>1</v>
      </c>
      <c r="D137">
        <f t="shared" si="7"/>
        <v>3</v>
      </c>
      <c r="E137">
        <f t="shared" si="8"/>
        <v>5</v>
      </c>
      <c r="K137">
        <v>2</v>
      </c>
      <c r="L137">
        <v>5</v>
      </c>
      <c r="M137">
        <v>1</v>
      </c>
      <c r="N137">
        <v>5</v>
      </c>
      <c r="O137">
        <f>MAX(0.5,MIN(0.99,RF_Mechanics!J94-ABS(M137-2.5)*0.015+LOG10(N137)*0.02-ABS(L137-3)*0.003-ABS(K137-2)*0.002))</f>
        <v>0.52992384453116481</v>
      </c>
    </row>
    <row r="138" spans="1:15" x14ac:dyDescent="0.2">
      <c r="A138">
        <f>Data!A138</f>
        <v>137</v>
      </c>
      <c r="B138">
        <f>Data!L138</f>
        <v>1</v>
      </c>
      <c r="C138">
        <f t="shared" si="6"/>
        <v>2</v>
      </c>
      <c r="D138">
        <f t="shared" si="7"/>
        <v>4</v>
      </c>
      <c r="E138">
        <f t="shared" si="8"/>
        <v>1</v>
      </c>
      <c r="K138">
        <v>2</v>
      </c>
      <c r="L138">
        <v>5</v>
      </c>
      <c r="M138">
        <v>1</v>
      </c>
      <c r="N138">
        <v>20</v>
      </c>
      <c r="O138">
        <f>MAX(0.5,MIN(0.99,RF_Mechanics!J94-ABS(M138-2.5)*0.015+LOG10(N138)*0.02-ABS(L138-3)*0.003-ABS(K138-2)*0.002))</f>
        <v>0.54196504435772408</v>
      </c>
    </row>
    <row r="139" spans="1:15" x14ac:dyDescent="0.2">
      <c r="A139">
        <f>Data!A139</f>
        <v>138</v>
      </c>
      <c r="B139">
        <f>Data!L139</f>
        <v>1</v>
      </c>
      <c r="C139">
        <f t="shared" si="6"/>
        <v>3</v>
      </c>
      <c r="D139">
        <f t="shared" si="7"/>
        <v>5</v>
      </c>
      <c r="E139">
        <f t="shared" si="8"/>
        <v>2</v>
      </c>
      <c r="K139">
        <v>2</v>
      </c>
      <c r="L139">
        <v>5</v>
      </c>
      <c r="M139">
        <v>1</v>
      </c>
      <c r="N139">
        <v>100</v>
      </c>
      <c r="O139">
        <f>MAX(0.5,MIN(0.99,RF_Mechanics!J94-ABS(M139-2.5)*0.015+LOG10(N139)*0.02-ABS(L139-3)*0.003-ABS(K139-2)*0.002))</f>
        <v>0.55594444444444446</v>
      </c>
    </row>
    <row r="140" spans="1:15" x14ac:dyDescent="0.2">
      <c r="A140">
        <f>Data!A140</f>
        <v>139</v>
      </c>
      <c r="B140">
        <f>Data!L140</f>
        <v>0</v>
      </c>
      <c r="C140">
        <f t="shared" si="6"/>
        <v>4</v>
      </c>
      <c r="D140">
        <f t="shared" si="7"/>
        <v>1</v>
      </c>
      <c r="E140">
        <f t="shared" si="8"/>
        <v>3</v>
      </c>
      <c r="K140">
        <v>2</v>
      </c>
      <c r="L140">
        <v>5</v>
      </c>
      <c r="M140">
        <v>2</v>
      </c>
      <c r="N140">
        <v>5</v>
      </c>
      <c r="O140">
        <f>MAX(0.5,MIN(0.99,RF_Mechanics!J94-ABS(M140-2.5)*0.015+LOG10(N140)*0.02-ABS(L140-3)*0.003-ABS(K140-2)*0.002))</f>
        <v>0.54492384453116482</v>
      </c>
    </row>
    <row r="141" spans="1:15" x14ac:dyDescent="0.2">
      <c r="A141">
        <f>Data!A141</f>
        <v>140</v>
      </c>
      <c r="B141">
        <f>Data!L141</f>
        <v>0</v>
      </c>
      <c r="C141">
        <f t="shared" si="6"/>
        <v>5</v>
      </c>
      <c r="D141">
        <f t="shared" si="7"/>
        <v>2</v>
      </c>
      <c r="E141">
        <f t="shared" si="8"/>
        <v>4</v>
      </c>
      <c r="K141">
        <v>2</v>
      </c>
      <c r="L141">
        <v>5</v>
      </c>
      <c r="M141">
        <v>2</v>
      </c>
      <c r="N141">
        <v>20</v>
      </c>
      <c r="O141">
        <f>MAX(0.5,MIN(0.99,RF_Mechanics!J94-ABS(M141-2.5)*0.015+LOG10(N141)*0.02-ABS(L141-3)*0.003-ABS(K141-2)*0.002))</f>
        <v>0.55696504435772409</v>
      </c>
    </row>
    <row r="142" spans="1:15" x14ac:dyDescent="0.2">
      <c r="A142">
        <f>Data!A142</f>
        <v>141</v>
      </c>
      <c r="B142">
        <f>Data!L142</f>
        <v>0</v>
      </c>
      <c r="C142">
        <f t="shared" si="6"/>
        <v>1</v>
      </c>
      <c r="D142">
        <f t="shared" si="7"/>
        <v>3</v>
      </c>
      <c r="E142">
        <f t="shared" si="8"/>
        <v>5</v>
      </c>
      <c r="K142">
        <v>2</v>
      </c>
      <c r="L142">
        <v>5</v>
      </c>
      <c r="M142">
        <v>2</v>
      </c>
      <c r="N142">
        <v>100</v>
      </c>
      <c r="O142">
        <f>MAX(0.5,MIN(0.99,RF_Mechanics!J94-ABS(M142-2.5)*0.015+LOG10(N142)*0.02-ABS(L142-3)*0.003-ABS(K142-2)*0.002))</f>
        <v>0.57094444444444448</v>
      </c>
    </row>
    <row r="143" spans="1:15" x14ac:dyDescent="0.2">
      <c r="A143">
        <f>Data!A143</f>
        <v>142</v>
      </c>
      <c r="B143">
        <f>Data!L143</f>
        <v>0</v>
      </c>
      <c r="C143">
        <f t="shared" si="6"/>
        <v>2</v>
      </c>
      <c r="D143">
        <f t="shared" si="7"/>
        <v>4</v>
      </c>
      <c r="E143">
        <f t="shared" si="8"/>
        <v>1</v>
      </c>
      <c r="K143">
        <v>2</v>
      </c>
      <c r="L143">
        <v>5</v>
      </c>
      <c r="M143">
        <v>3</v>
      </c>
      <c r="N143">
        <v>5</v>
      </c>
      <c r="O143">
        <f>MAX(0.5,MIN(0.99,RF_Mechanics!J94-ABS(M143-2.5)*0.015+LOG10(N143)*0.02-ABS(L143-3)*0.003-ABS(K143-2)*0.002))</f>
        <v>0.54492384453116482</v>
      </c>
    </row>
    <row r="144" spans="1:15" x14ac:dyDescent="0.2">
      <c r="A144">
        <f>Data!A144</f>
        <v>143</v>
      </c>
      <c r="B144">
        <f>Data!L144</f>
        <v>1</v>
      </c>
      <c r="C144">
        <f t="shared" si="6"/>
        <v>3</v>
      </c>
      <c r="D144">
        <f t="shared" si="7"/>
        <v>5</v>
      </c>
      <c r="E144">
        <f t="shared" si="8"/>
        <v>2</v>
      </c>
      <c r="K144">
        <v>2</v>
      </c>
      <c r="L144">
        <v>5</v>
      </c>
      <c r="M144">
        <v>3</v>
      </c>
      <c r="N144">
        <v>20</v>
      </c>
      <c r="O144">
        <f>MAX(0.5,MIN(0.99,RF_Mechanics!J94-ABS(M144-2.5)*0.015+LOG10(N144)*0.02-ABS(L144-3)*0.003-ABS(K144-2)*0.002))</f>
        <v>0.55696504435772409</v>
      </c>
    </row>
    <row r="145" spans="1:15" x14ac:dyDescent="0.2">
      <c r="A145">
        <f>Data!A145</f>
        <v>144</v>
      </c>
      <c r="B145">
        <f>Data!L145</f>
        <v>0</v>
      </c>
      <c r="C145">
        <f t="shared" si="6"/>
        <v>4</v>
      </c>
      <c r="D145">
        <f t="shared" si="7"/>
        <v>1</v>
      </c>
      <c r="E145">
        <f t="shared" si="8"/>
        <v>3</v>
      </c>
      <c r="K145">
        <v>2</v>
      </c>
      <c r="L145">
        <v>5</v>
      </c>
      <c r="M145">
        <v>3</v>
      </c>
      <c r="N145">
        <v>100</v>
      </c>
      <c r="O145">
        <f>MAX(0.5,MIN(0.99,RF_Mechanics!J94-ABS(M145-2.5)*0.015+LOG10(N145)*0.02-ABS(L145-3)*0.003-ABS(K145-2)*0.002))</f>
        <v>0.57094444444444448</v>
      </c>
    </row>
    <row r="146" spans="1:15" x14ac:dyDescent="0.2">
      <c r="A146">
        <f>Data!A146</f>
        <v>145</v>
      </c>
      <c r="B146">
        <f>Data!L146</f>
        <v>0</v>
      </c>
      <c r="C146">
        <f t="shared" si="6"/>
        <v>5</v>
      </c>
      <c r="D146">
        <f t="shared" si="7"/>
        <v>2</v>
      </c>
      <c r="E146">
        <f t="shared" si="8"/>
        <v>4</v>
      </c>
      <c r="K146">
        <v>2</v>
      </c>
      <c r="L146">
        <v>5</v>
      </c>
      <c r="M146">
        <v>4</v>
      </c>
      <c r="N146">
        <v>5</v>
      </c>
      <c r="O146">
        <f>MAX(0.5,MIN(0.99,RF_Mechanics!J94-ABS(M146-2.5)*0.015+LOG10(N146)*0.02-ABS(L146-3)*0.003-ABS(K146-2)*0.002))</f>
        <v>0.52992384453116481</v>
      </c>
    </row>
    <row r="147" spans="1:15" x14ac:dyDescent="0.2">
      <c r="A147">
        <f>Data!A147</f>
        <v>146</v>
      </c>
      <c r="B147">
        <f>Data!L147</f>
        <v>1</v>
      </c>
      <c r="C147">
        <f t="shared" si="6"/>
        <v>1</v>
      </c>
      <c r="D147">
        <f t="shared" si="7"/>
        <v>3</v>
      </c>
      <c r="E147">
        <f t="shared" si="8"/>
        <v>5</v>
      </c>
      <c r="K147">
        <v>2</v>
      </c>
      <c r="L147">
        <v>5</v>
      </c>
      <c r="M147">
        <v>4</v>
      </c>
      <c r="N147">
        <v>20</v>
      </c>
      <c r="O147">
        <f>MAX(0.5,MIN(0.99,RF_Mechanics!J94-ABS(M147-2.5)*0.015+LOG10(N147)*0.02-ABS(L147-3)*0.003-ABS(K147-2)*0.002))</f>
        <v>0.54196504435772408</v>
      </c>
    </row>
    <row r="148" spans="1:15" x14ac:dyDescent="0.2">
      <c r="A148">
        <f>Data!A148</f>
        <v>147</v>
      </c>
      <c r="B148">
        <f>Data!L148</f>
        <v>1</v>
      </c>
      <c r="C148">
        <f t="shared" si="6"/>
        <v>2</v>
      </c>
      <c r="D148">
        <f t="shared" si="7"/>
        <v>4</v>
      </c>
      <c r="E148">
        <f t="shared" si="8"/>
        <v>1</v>
      </c>
      <c r="K148">
        <v>2</v>
      </c>
      <c r="L148">
        <v>5</v>
      </c>
      <c r="M148">
        <v>4</v>
      </c>
      <c r="N148">
        <v>100</v>
      </c>
      <c r="O148">
        <f>MAX(0.5,MIN(0.99,RF_Mechanics!J94-ABS(M148-2.5)*0.015+LOG10(N148)*0.02-ABS(L148-3)*0.003-ABS(K148-2)*0.002))</f>
        <v>0.55594444444444446</v>
      </c>
    </row>
    <row r="149" spans="1:15" x14ac:dyDescent="0.2">
      <c r="A149">
        <f>Data!A149</f>
        <v>148</v>
      </c>
      <c r="B149">
        <f>Data!L149</f>
        <v>1</v>
      </c>
      <c r="C149">
        <f t="shared" si="6"/>
        <v>3</v>
      </c>
      <c r="D149">
        <f t="shared" si="7"/>
        <v>5</v>
      </c>
      <c r="E149">
        <f t="shared" si="8"/>
        <v>2</v>
      </c>
      <c r="K149">
        <v>2</v>
      </c>
      <c r="L149">
        <v>5</v>
      </c>
      <c r="M149">
        <v>5</v>
      </c>
      <c r="N149">
        <v>5</v>
      </c>
      <c r="O149">
        <f>MAX(0.5,MIN(0.99,RF_Mechanics!J94-ABS(M149-2.5)*0.015+LOG10(N149)*0.02-ABS(L149-3)*0.003-ABS(K149-2)*0.002))</f>
        <v>0.5149238445311648</v>
      </c>
    </row>
    <row r="150" spans="1:15" x14ac:dyDescent="0.2">
      <c r="A150">
        <f>Data!A150</f>
        <v>149</v>
      </c>
      <c r="B150">
        <f>Data!L150</f>
        <v>1</v>
      </c>
      <c r="C150">
        <f t="shared" si="6"/>
        <v>4</v>
      </c>
      <c r="D150">
        <f t="shared" si="7"/>
        <v>1</v>
      </c>
      <c r="E150">
        <f t="shared" si="8"/>
        <v>3</v>
      </c>
      <c r="K150">
        <v>2</v>
      </c>
      <c r="L150">
        <v>5</v>
      </c>
      <c r="M150">
        <v>5</v>
      </c>
      <c r="N150">
        <v>20</v>
      </c>
      <c r="O150">
        <f>MAX(0.5,MIN(0.99,RF_Mechanics!J94-ABS(M150-2.5)*0.015+LOG10(N150)*0.02-ABS(L150-3)*0.003-ABS(K150-2)*0.002))</f>
        <v>0.52696504435772407</v>
      </c>
    </row>
    <row r="151" spans="1:15" x14ac:dyDescent="0.2">
      <c r="A151">
        <f>Data!A151</f>
        <v>150</v>
      </c>
      <c r="B151">
        <f>Data!L151</f>
        <v>0</v>
      </c>
      <c r="C151">
        <f t="shared" si="6"/>
        <v>5</v>
      </c>
      <c r="D151">
        <f t="shared" si="7"/>
        <v>2</v>
      </c>
      <c r="E151">
        <f t="shared" si="8"/>
        <v>4</v>
      </c>
      <c r="K151">
        <v>2</v>
      </c>
      <c r="L151">
        <v>5</v>
      </c>
      <c r="M151">
        <v>5</v>
      </c>
      <c r="N151">
        <v>100</v>
      </c>
      <c r="O151">
        <f>MAX(0.5,MIN(0.99,RF_Mechanics!J94-ABS(M151-2.5)*0.015+LOG10(N151)*0.02-ABS(L151-3)*0.003-ABS(K151-2)*0.002))</f>
        <v>0.54094444444444445</v>
      </c>
    </row>
    <row r="152" spans="1:15" x14ac:dyDescent="0.2">
      <c r="A152">
        <f>Data!A152</f>
        <v>151</v>
      </c>
      <c r="B152">
        <f>Data!L152</f>
        <v>0</v>
      </c>
      <c r="C152">
        <f t="shared" si="6"/>
        <v>1</v>
      </c>
      <c r="D152">
        <f t="shared" si="7"/>
        <v>3</v>
      </c>
      <c r="E152">
        <f t="shared" si="8"/>
        <v>5</v>
      </c>
      <c r="K152">
        <v>3</v>
      </c>
      <c r="L152">
        <v>1</v>
      </c>
      <c r="M152">
        <v>1</v>
      </c>
      <c r="N152">
        <v>5</v>
      </c>
      <c r="O152">
        <f>MAX(0.5,MIN(0.99,RF_Mechanics!J94-ABS(M152-2.5)*0.015+LOG10(N152)*0.02-ABS(L152-3)*0.003-ABS(K152-2)*0.002))</f>
        <v>0.52792384453116481</v>
      </c>
    </row>
    <row r="153" spans="1:15" x14ac:dyDescent="0.2">
      <c r="A153">
        <f>Data!A153</f>
        <v>152</v>
      </c>
      <c r="B153">
        <f>Data!L153</f>
        <v>1</v>
      </c>
      <c r="C153">
        <f t="shared" si="6"/>
        <v>2</v>
      </c>
      <c r="D153">
        <f t="shared" si="7"/>
        <v>4</v>
      </c>
      <c r="E153">
        <f t="shared" si="8"/>
        <v>1</v>
      </c>
      <c r="K153">
        <v>3</v>
      </c>
      <c r="L153">
        <v>1</v>
      </c>
      <c r="M153">
        <v>1</v>
      </c>
      <c r="N153">
        <v>20</v>
      </c>
      <c r="O153">
        <f>MAX(0.5,MIN(0.99,RF_Mechanics!J94-ABS(M153-2.5)*0.015+LOG10(N153)*0.02-ABS(L153-3)*0.003-ABS(K153-2)*0.002))</f>
        <v>0.53996504435772408</v>
      </c>
    </row>
    <row r="154" spans="1:15" x14ac:dyDescent="0.2">
      <c r="A154">
        <f>Data!A154</f>
        <v>153</v>
      </c>
      <c r="B154">
        <f>Data!L154</f>
        <v>0</v>
      </c>
      <c r="C154">
        <f t="shared" si="6"/>
        <v>3</v>
      </c>
      <c r="D154">
        <f t="shared" si="7"/>
        <v>5</v>
      </c>
      <c r="E154">
        <f t="shared" si="8"/>
        <v>2</v>
      </c>
      <c r="K154">
        <v>3</v>
      </c>
      <c r="L154">
        <v>1</v>
      </c>
      <c r="M154">
        <v>1</v>
      </c>
      <c r="N154">
        <v>100</v>
      </c>
      <c r="O154">
        <f>MAX(0.5,MIN(0.99,RF_Mechanics!J94-ABS(M154-2.5)*0.015+LOG10(N154)*0.02-ABS(L154-3)*0.003-ABS(K154-2)*0.002))</f>
        <v>0.55394444444444446</v>
      </c>
    </row>
    <row r="155" spans="1:15" x14ac:dyDescent="0.2">
      <c r="A155">
        <f>Data!A155</f>
        <v>154</v>
      </c>
      <c r="B155">
        <f>Data!L155</f>
        <v>0</v>
      </c>
      <c r="C155">
        <f t="shared" si="6"/>
        <v>4</v>
      </c>
      <c r="D155">
        <f t="shared" si="7"/>
        <v>1</v>
      </c>
      <c r="E155">
        <f t="shared" si="8"/>
        <v>3</v>
      </c>
      <c r="K155">
        <v>3</v>
      </c>
      <c r="L155">
        <v>1</v>
      </c>
      <c r="M155">
        <v>2</v>
      </c>
      <c r="N155">
        <v>5</v>
      </c>
      <c r="O155">
        <f>MAX(0.5,MIN(0.99,RF_Mechanics!J94-ABS(M155-2.5)*0.015+LOG10(N155)*0.02-ABS(L155-3)*0.003-ABS(K155-2)*0.002))</f>
        <v>0.54292384453116482</v>
      </c>
    </row>
    <row r="156" spans="1:15" x14ac:dyDescent="0.2">
      <c r="A156">
        <f>Data!A156</f>
        <v>155</v>
      </c>
      <c r="B156">
        <f>Data!L156</f>
        <v>1</v>
      </c>
      <c r="C156">
        <f t="shared" si="6"/>
        <v>5</v>
      </c>
      <c r="D156">
        <f t="shared" si="7"/>
        <v>2</v>
      </c>
      <c r="E156">
        <f t="shared" si="8"/>
        <v>4</v>
      </c>
      <c r="K156">
        <v>3</v>
      </c>
      <c r="L156">
        <v>1</v>
      </c>
      <c r="M156">
        <v>2</v>
      </c>
      <c r="N156">
        <v>20</v>
      </c>
      <c r="O156">
        <f>MAX(0.5,MIN(0.99,RF_Mechanics!J94-ABS(M156-2.5)*0.015+LOG10(N156)*0.02-ABS(L156-3)*0.003-ABS(K156-2)*0.002))</f>
        <v>0.55496504435772409</v>
      </c>
    </row>
    <row r="157" spans="1:15" x14ac:dyDescent="0.2">
      <c r="A157">
        <f>Data!A157</f>
        <v>156</v>
      </c>
      <c r="B157">
        <f>Data!L157</f>
        <v>1</v>
      </c>
      <c r="C157">
        <f t="shared" si="6"/>
        <v>1</v>
      </c>
      <c r="D157">
        <f t="shared" si="7"/>
        <v>3</v>
      </c>
      <c r="E157">
        <f t="shared" si="8"/>
        <v>5</v>
      </c>
      <c r="K157">
        <v>3</v>
      </c>
      <c r="L157">
        <v>1</v>
      </c>
      <c r="M157">
        <v>2</v>
      </c>
      <c r="N157">
        <v>100</v>
      </c>
      <c r="O157">
        <f>MAX(0.5,MIN(0.99,RF_Mechanics!J94-ABS(M157-2.5)*0.015+LOG10(N157)*0.02-ABS(L157-3)*0.003-ABS(K157-2)*0.002))</f>
        <v>0.56894444444444447</v>
      </c>
    </row>
    <row r="158" spans="1:15" x14ac:dyDescent="0.2">
      <c r="A158">
        <f>Data!A158</f>
        <v>157</v>
      </c>
      <c r="B158">
        <f>Data!L158</f>
        <v>0</v>
      </c>
      <c r="C158">
        <f t="shared" si="6"/>
        <v>2</v>
      </c>
      <c r="D158">
        <f t="shared" si="7"/>
        <v>4</v>
      </c>
      <c r="E158">
        <f t="shared" si="8"/>
        <v>1</v>
      </c>
      <c r="K158">
        <v>3</v>
      </c>
      <c r="L158">
        <v>1</v>
      </c>
      <c r="M158">
        <v>3</v>
      </c>
      <c r="N158">
        <v>5</v>
      </c>
      <c r="O158">
        <f>MAX(0.5,MIN(0.99,RF_Mechanics!J94-ABS(M158-2.5)*0.015+LOG10(N158)*0.02-ABS(L158-3)*0.003-ABS(K158-2)*0.002))</f>
        <v>0.54292384453116482</v>
      </c>
    </row>
    <row r="159" spans="1:15" x14ac:dyDescent="0.2">
      <c r="A159">
        <f>Data!A159</f>
        <v>158</v>
      </c>
      <c r="B159">
        <f>Data!L159</f>
        <v>1</v>
      </c>
      <c r="C159">
        <f t="shared" si="6"/>
        <v>3</v>
      </c>
      <c r="D159">
        <f t="shared" si="7"/>
        <v>5</v>
      </c>
      <c r="E159">
        <f t="shared" si="8"/>
        <v>2</v>
      </c>
      <c r="K159">
        <v>3</v>
      </c>
      <c r="L159">
        <v>1</v>
      </c>
      <c r="M159">
        <v>3</v>
      </c>
      <c r="N159">
        <v>20</v>
      </c>
      <c r="O159">
        <f>MAX(0.5,MIN(0.99,RF_Mechanics!J94-ABS(M159-2.5)*0.015+LOG10(N159)*0.02-ABS(L159-3)*0.003-ABS(K159-2)*0.002))</f>
        <v>0.55496504435772409</v>
      </c>
    </row>
    <row r="160" spans="1:15" x14ac:dyDescent="0.2">
      <c r="A160">
        <f>Data!A160</f>
        <v>159</v>
      </c>
      <c r="B160">
        <f>Data!L160</f>
        <v>1</v>
      </c>
      <c r="C160">
        <f t="shared" si="6"/>
        <v>4</v>
      </c>
      <c r="D160">
        <f t="shared" si="7"/>
        <v>1</v>
      </c>
      <c r="E160">
        <f t="shared" si="8"/>
        <v>3</v>
      </c>
      <c r="K160">
        <v>3</v>
      </c>
      <c r="L160">
        <v>1</v>
      </c>
      <c r="M160">
        <v>3</v>
      </c>
      <c r="N160">
        <v>100</v>
      </c>
      <c r="O160">
        <f>MAX(0.5,MIN(0.99,RF_Mechanics!J94-ABS(M160-2.5)*0.015+LOG10(N160)*0.02-ABS(L160-3)*0.003-ABS(K160-2)*0.002))</f>
        <v>0.56894444444444447</v>
      </c>
    </row>
    <row r="161" spans="1:15" x14ac:dyDescent="0.2">
      <c r="A161">
        <f>Data!A161</f>
        <v>160</v>
      </c>
      <c r="B161">
        <f>Data!L161</f>
        <v>0</v>
      </c>
      <c r="C161">
        <f t="shared" si="6"/>
        <v>5</v>
      </c>
      <c r="D161">
        <f t="shared" si="7"/>
        <v>2</v>
      </c>
      <c r="E161">
        <f t="shared" si="8"/>
        <v>4</v>
      </c>
      <c r="K161">
        <v>3</v>
      </c>
      <c r="L161">
        <v>1</v>
      </c>
      <c r="M161">
        <v>4</v>
      </c>
      <c r="N161">
        <v>5</v>
      </c>
      <c r="O161">
        <f>MAX(0.5,MIN(0.99,RF_Mechanics!J94-ABS(M161-2.5)*0.015+LOG10(N161)*0.02-ABS(L161-3)*0.003-ABS(K161-2)*0.002))</f>
        <v>0.52792384453116481</v>
      </c>
    </row>
    <row r="162" spans="1:15" x14ac:dyDescent="0.2">
      <c r="A162">
        <f>Data!A162</f>
        <v>161</v>
      </c>
      <c r="B162">
        <f>Data!L162</f>
        <v>1</v>
      </c>
      <c r="C162">
        <f t="shared" si="6"/>
        <v>1</v>
      </c>
      <c r="D162">
        <f t="shared" si="7"/>
        <v>3</v>
      </c>
      <c r="E162">
        <f t="shared" si="8"/>
        <v>5</v>
      </c>
      <c r="K162">
        <v>3</v>
      </c>
      <c r="L162">
        <v>1</v>
      </c>
      <c r="M162">
        <v>4</v>
      </c>
      <c r="N162">
        <v>20</v>
      </c>
      <c r="O162">
        <f>MAX(0.5,MIN(0.99,RF_Mechanics!J94-ABS(M162-2.5)*0.015+LOG10(N162)*0.02-ABS(L162-3)*0.003-ABS(K162-2)*0.002))</f>
        <v>0.53996504435772408</v>
      </c>
    </row>
    <row r="163" spans="1:15" x14ac:dyDescent="0.2">
      <c r="A163">
        <f>Data!A163</f>
        <v>162</v>
      </c>
      <c r="B163">
        <f>Data!L163</f>
        <v>1</v>
      </c>
      <c r="C163">
        <f t="shared" si="6"/>
        <v>2</v>
      </c>
      <c r="D163">
        <f t="shared" si="7"/>
        <v>4</v>
      </c>
      <c r="E163">
        <f t="shared" si="8"/>
        <v>1</v>
      </c>
      <c r="K163">
        <v>3</v>
      </c>
      <c r="L163">
        <v>1</v>
      </c>
      <c r="M163">
        <v>4</v>
      </c>
      <c r="N163">
        <v>100</v>
      </c>
      <c r="O163">
        <f>MAX(0.5,MIN(0.99,RF_Mechanics!J94-ABS(M163-2.5)*0.015+LOG10(N163)*0.02-ABS(L163-3)*0.003-ABS(K163-2)*0.002))</f>
        <v>0.55394444444444446</v>
      </c>
    </row>
    <row r="164" spans="1:15" x14ac:dyDescent="0.2">
      <c r="A164">
        <f>Data!A164</f>
        <v>163</v>
      </c>
      <c r="B164">
        <f>Data!L164</f>
        <v>0</v>
      </c>
      <c r="C164">
        <f t="shared" si="6"/>
        <v>3</v>
      </c>
      <c r="D164">
        <f t="shared" si="7"/>
        <v>5</v>
      </c>
      <c r="E164">
        <f t="shared" si="8"/>
        <v>2</v>
      </c>
      <c r="K164">
        <v>3</v>
      </c>
      <c r="L164">
        <v>1</v>
      </c>
      <c r="M164">
        <v>5</v>
      </c>
      <c r="N164">
        <v>5</v>
      </c>
      <c r="O164">
        <f>MAX(0.5,MIN(0.99,RF_Mechanics!J94-ABS(M164-2.5)*0.015+LOG10(N164)*0.02-ABS(L164-3)*0.003-ABS(K164-2)*0.002))</f>
        <v>0.5129238445311648</v>
      </c>
    </row>
    <row r="165" spans="1:15" x14ac:dyDescent="0.2">
      <c r="A165">
        <f>Data!A165</f>
        <v>164</v>
      </c>
      <c r="B165">
        <f>Data!L165</f>
        <v>0</v>
      </c>
      <c r="C165">
        <f t="shared" si="6"/>
        <v>4</v>
      </c>
      <c r="D165">
        <f t="shared" si="7"/>
        <v>1</v>
      </c>
      <c r="E165">
        <f t="shared" si="8"/>
        <v>3</v>
      </c>
      <c r="K165">
        <v>3</v>
      </c>
      <c r="L165">
        <v>1</v>
      </c>
      <c r="M165">
        <v>5</v>
      </c>
      <c r="N165">
        <v>20</v>
      </c>
      <c r="O165">
        <f>MAX(0.5,MIN(0.99,RF_Mechanics!J94-ABS(M165-2.5)*0.015+LOG10(N165)*0.02-ABS(L165-3)*0.003-ABS(K165-2)*0.002))</f>
        <v>0.52496504435772406</v>
      </c>
    </row>
    <row r="166" spans="1:15" x14ac:dyDescent="0.2">
      <c r="A166">
        <f>Data!A166</f>
        <v>165</v>
      </c>
      <c r="B166">
        <f>Data!L166</f>
        <v>1</v>
      </c>
      <c r="C166">
        <f t="shared" si="6"/>
        <v>5</v>
      </c>
      <c r="D166">
        <f t="shared" si="7"/>
        <v>2</v>
      </c>
      <c r="E166">
        <f t="shared" si="8"/>
        <v>4</v>
      </c>
      <c r="K166">
        <v>3</v>
      </c>
      <c r="L166">
        <v>1</v>
      </c>
      <c r="M166">
        <v>5</v>
      </c>
      <c r="N166">
        <v>100</v>
      </c>
      <c r="O166">
        <f>MAX(0.5,MIN(0.99,RF_Mechanics!J94-ABS(M166-2.5)*0.015+LOG10(N166)*0.02-ABS(L166-3)*0.003-ABS(K166-2)*0.002))</f>
        <v>0.53894444444444445</v>
      </c>
    </row>
    <row r="167" spans="1:15" x14ac:dyDescent="0.2">
      <c r="A167">
        <f>Data!A167</f>
        <v>166</v>
      </c>
      <c r="B167">
        <f>Data!L167</f>
        <v>1</v>
      </c>
      <c r="C167">
        <f t="shared" si="6"/>
        <v>1</v>
      </c>
      <c r="D167">
        <f t="shared" si="7"/>
        <v>3</v>
      </c>
      <c r="E167">
        <f t="shared" si="8"/>
        <v>5</v>
      </c>
      <c r="K167">
        <v>3</v>
      </c>
      <c r="L167">
        <v>2</v>
      </c>
      <c r="M167">
        <v>1</v>
      </c>
      <c r="N167">
        <v>5</v>
      </c>
      <c r="O167">
        <f>MAX(0.5,MIN(0.99,RF_Mechanics!J94-ABS(M167-2.5)*0.015+LOG10(N167)*0.02-ABS(L167-3)*0.003-ABS(K167-2)*0.002))</f>
        <v>0.53092384453116481</v>
      </c>
    </row>
    <row r="168" spans="1:15" x14ac:dyDescent="0.2">
      <c r="A168">
        <f>Data!A168</f>
        <v>167</v>
      </c>
      <c r="B168">
        <f>Data!L168</f>
        <v>0</v>
      </c>
      <c r="C168">
        <f t="shared" si="6"/>
        <v>2</v>
      </c>
      <c r="D168">
        <f t="shared" si="7"/>
        <v>4</v>
      </c>
      <c r="E168">
        <f t="shared" si="8"/>
        <v>1</v>
      </c>
      <c r="K168">
        <v>3</v>
      </c>
      <c r="L168">
        <v>2</v>
      </c>
      <c r="M168">
        <v>1</v>
      </c>
      <c r="N168">
        <v>20</v>
      </c>
      <c r="O168">
        <f>MAX(0.5,MIN(0.99,RF_Mechanics!J94-ABS(M168-2.5)*0.015+LOG10(N168)*0.02-ABS(L168-3)*0.003-ABS(K168-2)*0.002))</f>
        <v>0.54296504435772408</v>
      </c>
    </row>
    <row r="169" spans="1:15" x14ac:dyDescent="0.2">
      <c r="A169">
        <f>Data!A169</f>
        <v>168</v>
      </c>
      <c r="B169">
        <f>Data!L169</f>
        <v>0</v>
      </c>
      <c r="C169">
        <f t="shared" si="6"/>
        <v>3</v>
      </c>
      <c r="D169">
        <f t="shared" si="7"/>
        <v>5</v>
      </c>
      <c r="E169">
        <f t="shared" si="8"/>
        <v>2</v>
      </c>
      <c r="K169">
        <v>3</v>
      </c>
      <c r="L169">
        <v>2</v>
      </c>
      <c r="M169">
        <v>1</v>
      </c>
      <c r="N169">
        <v>100</v>
      </c>
      <c r="O169">
        <f>MAX(0.5,MIN(0.99,RF_Mechanics!J94-ABS(M169-2.5)*0.015+LOG10(N169)*0.02-ABS(L169-3)*0.003-ABS(K169-2)*0.002))</f>
        <v>0.55694444444444446</v>
      </c>
    </row>
    <row r="170" spans="1:15" x14ac:dyDescent="0.2">
      <c r="A170">
        <f>Data!A170</f>
        <v>169</v>
      </c>
      <c r="B170">
        <f>Data!L170</f>
        <v>0</v>
      </c>
      <c r="C170">
        <f t="shared" si="6"/>
        <v>4</v>
      </c>
      <c r="D170">
        <f t="shared" si="7"/>
        <v>1</v>
      </c>
      <c r="E170">
        <f t="shared" si="8"/>
        <v>3</v>
      </c>
      <c r="K170">
        <v>3</v>
      </c>
      <c r="L170">
        <v>2</v>
      </c>
      <c r="M170">
        <v>2</v>
      </c>
      <c r="N170">
        <v>5</v>
      </c>
      <c r="O170">
        <f>MAX(0.5,MIN(0.99,RF_Mechanics!J94-ABS(M170-2.5)*0.015+LOG10(N170)*0.02-ABS(L170-3)*0.003-ABS(K170-2)*0.002))</f>
        <v>0.54592384453116483</v>
      </c>
    </row>
    <row r="171" spans="1:15" x14ac:dyDescent="0.2">
      <c r="A171">
        <f>Data!A171</f>
        <v>170</v>
      </c>
      <c r="B171">
        <f>Data!L171</f>
        <v>1</v>
      </c>
      <c r="C171">
        <f t="shared" si="6"/>
        <v>5</v>
      </c>
      <c r="D171">
        <f t="shared" si="7"/>
        <v>2</v>
      </c>
      <c r="E171">
        <f t="shared" si="8"/>
        <v>4</v>
      </c>
      <c r="K171">
        <v>3</v>
      </c>
      <c r="L171">
        <v>2</v>
      </c>
      <c r="M171">
        <v>2</v>
      </c>
      <c r="N171">
        <v>20</v>
      </c>
      <c r="O171">
        <f>MAX(0.5,MIN(0.99,RF_Mechanics!J94-ABS(M171-2.5)*0.015+LOG10(N171)*0.02-ABS(L171-3)*0.003-ABS(K171-2)*0.002))</f>
        <v>0.55796504435772409</v>
      </c>
    </row>
    <row r="172" spans="1:15" x14ac:dyDescent="0.2">
      <c r="A172">
        <f>Data!A172</f>
        <v>171</v>
      </c>
      <c r="B172">
        <f>Data!L172</f>
        <v>0</v>
      </c>
      <c r="C172">
        <f t="shared" si="6"/>
        <v>1</v>
      </c>
      <c r="D172">
        <f t="shared" si="7"/>
        <v>3</v>
      </c>
      <c r="E172">
        <f t="shared" si="8"/>
        <v>5</v>
      </c>
      <c r="K172">
        <v>3</v>
      </c>
      <c r="L172">
        <v>2</v>
      </c>
      <c r="M172">
        <v>2</v>
      </c>
      <c r="N172">
        <v>100</v>
      </c>
      <c r="O172">
        <f>MAX(0.5,MIN(0.99,RF_Mechanics!J94-ABS(M172-2.5)*0.015+LOG10(N172)*0.02-ABS(L172-3)*0.003-ABS(K172-2)*0.002))</f>
        <v>0.57194444444444448</v>
      </c>
    </row>
    <row r="173" spans="1:15" x14ac:dyDescent="0.2">
      <c r="A173">
        <f>Data!A173</f>
        <v>172</v>
      </c>
      <c r="B173">
        <f>Data!L173</f>
        <v>0</v>
      </c>
      <c r="C173">
        <f t="shared" si="6"/>
        <v>2</v>
      </c>
      <c r="D173">
        <f t="shared" si="7"/>
        <v>4</v>
      </c>
      <c r="E173">
        <f t="shared" si="8"/>
        <v>1</v>
      </c>
      <c r="K173">
        <v>3</v>
      </c>
      <c r="L173">
        <v>2</v>
      </c>
      <c r="M173">
        <v>3</v>
      </c>
      <c r="N173">
        <v>5</v>
      </c>
      <c r="O173">
        <f>MAX(0.5,MIN(0.99,RF_Mechanics!J94-ABS(M173-2.5)*0.015+LOG10(N173)*0.02-ABS(L173-3)*0.003-ABS(K173-2)*0.002))</f>
        <v>0.54592384453116483</v>
      </c>
    </row>
    <row r="174" spans="1:15" x14ac:dyDescent="0.2">
      <c r="A174">
        <f>Data!A174</f>
        <v>173</v>
      </c>
      <c r="B174">
        <f>Data!L174</f>
        <v>1</v>
      </c>
      <c r="C174">
        <f t="shared" si="6"/>
        <v>3</v>
      </c>
      <c r="D174">
        <f t="shared" si="7"/>
        <v>5</v>
      </c>
      <c r="E174">
        <f t="shared" si="8"/>
        <v>2</v>
      </c>
      <c r="K174">
        <v>3</v>
      </c>
      <c r="L174">
        <v>2</v>
      </c>
      <c r="M174">
        <v>3</v>
      </c>
      <c r="N174">
        <v>20</v>
      </c>
      <c r="O174">
        <f>MAX(0.5,MIN(0.99,RF_Mechanics!J94-ABS(M174-2.5)*0.015+LOG10(N174)*0.02-ABS(L174-3)*0.003-ABS(K174-2)*0.002))</f>
        <v>0.55796504435772409</v>
      </c>
    </row>
    <row r="175" spans="1:15" x14ac:dyDescent="0.2">
      <c r="A175">
        <f>Data!A175</f>
        <v>174</v>
      </c>
      <c r="B175">
        <f>Data!L175</f>
        <v>1</v>
      </c>
      <c r="C175">
        <f t="shared" si="6"/>
        <v>4</v>
      </c>
      <c r="D175">
        <f t="shared" si="7"/>
        <v>1</v>
      </c>
      <c r="E175">
        <f t="shared" si="8"/>
        <v>3</v>
      </c>
      <c r="K175">
        <v>3</v>
      </c>
      <c r="L175">
        <v>2</v>
      </c>
      <c r="M175">
        <v>3</v>
      </c>
      <c r="N175">
        <v>100</v>
      </c>
      <c r="O175">
        <f>MAX(0.5,MIN(0.99,RF_Mechanics!J94-ABS(M175-2.5)*0.015+LOG10(N175)*0.02-ABS(L175-3)*0.003-ABS(K175-2)*0.002))</f>
        <v>0.57194444444444448</v>
      </c>
    </row>
    <row r="176" spans="1:15" x14ac:dyDescent="0.2">
      <c r="A176">
        <f>Data!A176</f>
        <v>175</v>
      </c>
      <c r="B176">
        <f>Data!L176</f>
        <v>1</v>
      </c>
      <c r="C176">
        <f t="shared" si="6"/>
        <v>5</v>
      </c>
      <c r="D176">
        <f t="shared" si="7"/>
        <v>2</v>
      </c>
      <c r="E176">
        <f t="shared" si="8"/>
        <v>4</v>
      </c>
      <c r="K176">
        <v>3</v>
      </c>
      <c r="L176">
        <v>2</v>
      </c>
      <c r="M176">
        <v>4</v>
      </c>
      <c r="N176">
        <v>5</v>
      </c>
      <c r="O176">
        <f>MAX(0.5,MIN(0.99,RF_Mechanics!J94-ABS(M176-2.5)*0.015+LOG10(N176)*0.02-ABS(L176-3)*0.003-ABS(K176-2)*0.002))</f>
        <v>0.53092384453116481</v>
      </c>
    </row>
    <row r="177" spans="1:15" x14ac:dyDescent="0.2">
      <c r="A177">
        <f>Data!A177</f>
        <v>176</v>
      </c>
      <c r="B177">
        <f>Data!L177</f>
        <v>0</v>
      </c>
      <c r="C177">
        <f t="shared" si="6"/>
        <v>1</v>
      </c>
      <c r="D177">
        <f t="shared" si="7"/>
        <v>3</v>
      </c>
      <c r="E177">
        <f t="shared" si="8"/>
        <v>5</v>
      </c>
      <c r="K177">
        <v>3</v>
      </c>
      <c r="L177">
        <v>2</v>
      </c>
      <c r="M177">
        <v>4</v>
      </c>
      <c r="N177">
        <v>20</v>
      </c>
      <c r="O177">
        <f>MAX(0.5,MIN(0.99,RF_Mechanics!J94-ABS(M177-2.5)*0.015+LOG10(N177)*0.02-ABS(L177-3)*0.003-ABS(K177-2)*0.002))</f>
        <v>0.54296504435772408</v>
      </c>
    </row>
    <row r="178" spans="1:15" x14ac:dyDescent="0.2">
      <c r="A178">
        <f>Data!A178</f>
        <v>177</v>
      </c>
      <c r="B178">
        <f>Data!L178</f>
        <v>1</v>
      </c>
      <c r="C178">
        <f t="shared" si="6"/>
        <v>2</v>
      </c>
      <c r="D178">
        <f t="shared" si="7"/>
        <v>4</v>
      </c>
      <c r="E178">
        <f t="shared" si="8"/>
        <v>1</v>
      </c>
      <c r="K178">
        <v>3</v>
      </c>
      <c r="L178">
        <v>2</v>
      </c>
      <c r="M178">
        <v>4</v>
      </c>
      <c r="N178">
        <v>100</v>
      </c>
      <c r="O178">
        <f>MAX(0.5,MIN(0.99,RF_Mechanics!J94-ABS(M178-2.5)*0.015+LOG10(N178)*0.02-ABS(L178-3)*0.003-ABS(K178-2)*0.002))</f>
        <v>0.55694444444444446</v>
      </c>
    </row>
    <row r="179" spans="1:15" x14ac:dyDescent="0.2">
      <c r="A179">
        <f>Data!A179</f>
        <v>178</v>
      </c>
      <c r="B179">
        <f>Data!L179</f>
        <v>0</v>
      </c>
      <c r="C179">
        <f t="shared" si="6"/>
        <v>3</v>
      </c>
      <c r="D179">
        <f t="shared" si="7"/>
        <v>5</v>
      </c>
      <c r="E179">
        <f t="shared" si="8"/>
        <v>2</v>
      </c>
      <c r="K179">
        <v>3</v>
      </c>
      <c r="L179">
        <v>2</v>
      </c>
      <c r="M179">
        <v>5</v>
      </c>
      <c r="N179">
        <v>5</v>
      </c>
      <c r="O179">
        <f>MAX(0.5,MIN(0.99,RF_Mechanics!J94-ABS(M179-2.5)*0.015+LOG10(N179)*0.02-ABS(L179-3)*0.003-ABS(K179-2)*0.002))</f>
        <v>0.5159238445311648</v>
      </c>
    </row>
    <row r="180" spans="1:15" x14ac:dyDescent="0.2">
      <c r="A180">
        <f>Data!A180</f>
        <v>179</v>
      </c>
      <c r="B180">
        <f>Data!L180</f>
        <v>1</v>
      </c>
      <c r="C180">
        <f t="shared" si="6"/>
        <v>4</v>
      </c>
      <c r="D180">
        <f t="shared" si="7"/>
        <v>1</v>
      </c>
      <c r="E180">
        <f t="shared" si="8"/>
        <v>3</v>
      </c>
      <c r="K180">
        <v>3</v>
      </c>
      <c r="L180">
        <v>2</v>
      </c>
      <c r="M180">
        <v>5</v>
      </c>
      <c r="N180">
        <v>20</v>
      </c>
      <c r="O180">
        <f>MAX(0.5,MIN(0.99,RF_Mechanics!J94-ABS(M180-2.5)*0.015+LOG10(N180)*0.02-ABS(L180-3)*0.003-ABS(K180-2)*0.002))</f>
        <v>0.52796504435772407</v>
      </c>
    </row>
    <row r="181" spans="1:15" x14ac:dyDescent="0.2">
      <c r="A181">
        <f>Data!A181</f>
        <v>180</v>
      </c>
      <c r="B181">
        <f>Data!L181</f>
        <v>1</v>
      </c>
      <c r="C181">
        <f t="shared" si="6"/>
        <v>5</v>
      </c>
      <c r="D181">
        <f t="shared" si="7"/>
        <v>2</v>
      </c>
      <c r="E181">
        <f t="shared" si="8"/>
        <v>4</v>
      </c>
      <c r="K181">
        <v>3</v>
      </c>
      <c r="L181">
        <v>2</v>
      </c>
      <c r="M181">
        <v>5</v>
      </c>
      <c r="N181">
        <v>100</v>
      </c>
      <c r="O181">
        <f>MAX(0.5,MIN(0.99,RF_Mechanics!J94-ABS(M181-2.5)*0.015+LOG10(N181)*0.02-ABS(L181-3)*0.003-ABS(K181-2)*0.002))</f>
        <v>0.54194444444444445</v>
      </c>
    </row>
    <row r="182" spans="1:15" x14ac:dyDescent="0.2">
      <c r="A182">
        <f>Data!A182</f>
        <v>181</v>
      </c>
      <c r="B182">
        <f>Data!L182</f>
        <v>1</v>
      </c>
      <c r="C182">
        <f t="shared" si="6"/>
        <v>1</v>
      </c>
      <c r="D182">
        <f t="shared" si="7"/>
        <v>3</v>
      </c>
      <c r="E182">
        <f t="shared" si="8"/>
        <v>5</v>
      </c>
      <c r="K182">
        <v>3</v>
      </c>
      <c r="L182">
        <v>3</v>
      </c>
      <c r="M182">
        <v>1</v>
      </c>
      <c r="N182">
        <v>5</v>
      </c>
      <c r="O182">
        <f>MAX(0.5,MIN(0.99,RF_Mechanics!J94-ABS(M182-2.5)*0.015+LOG10(N182)*0.02-ABS(L182-3)*0.003-ABS(K182-2)*0.002))</f>
        <v>0.53392384453116482</v>
      </c>
    </row>
    <row r="183" spans="1:15" x14ac:dyDescent="0.2">
      <c r="A183">
        <f>Data!A183</f>
        <v>182</v>
      </c>
      <c r="B183">
        <f>Data!L183</f>
        <v>1</v>
      </c>
      <c r="C183">
        <f t="shared" si="6"/>
        <v>2</v>
      </c>
      <c r="D183">
        <f t="shared" si="7"/>
        <v>4</v>
      </c>
      <c r="E183">
        <f t="shared" si="8"/>
        <v>1</v>
      </c>
      <c r="K183">
        <v>3</v>
      </c>
      <c r="L183">
        <v>3</v>
      </c>
      <c r="M183">
        <v>1</v>
      </c>
      <c r="N183">
        <v>20</v>
      </c>
      <c r="O183">
        <f>MAX(0.5,MIN(0.99,RF_Mechanics!J94-ABS(M183-2.5)*0.015+LOG10(N183)*0.02-ABS(L183-3)*0.003-ABS(K183-2)*0.002))</f>
        <v>0.54596504435772408</v>
      </c>
    </row>
    <row r="184" spans="1:15" x14ac:dyDescent="0.2">
      <c r="A184">
        <f>Data!A184</f>
        <v>183</v>
      </c>
      <c r="B184">
        <f>Data!L184</f>
        <v>1</v>
      </c>
      <c r="C184">
        <f t="shared" si="6"/>
        <v>3</v>
      </c>
      <c r="D184">
        <f t="shared" si="7"/>
        <v>5</v>
      </c>
      <c r="E184">
        <f t="shared" si="8"/>
        <v>2</v>
      </c>
      <c r="K184">
        <v>3</v>
      </c>
      <c r="L184">
        <v>3</v>
      </c>
      <c r="M184">
        <v>1</v>
      </c>
      <c r="N184">
        <v>100</v>
      </c>
      <c r="O184">
        <f>MAX(0.5,MIN(0.99,RF_Mechanics!J94-ABS(M184-2.5)*0.015+LOG10(N184)*0.02-ABS(L184-3)*0.003-ABS(K184-2)*0.002))</f>
        <v>0.55994444444444447</v>
      </c>
    </row>
    <row r="185" spans="1:15" x14ac:dyDescent="0.2">
      <c r="A185">
        <f>Data!A185</f>
        <v>184</v>
      </c>
      <c r="B185">
        <f>Data!L185</f>
        <v>1</v>
      </c>
      <c r="C185">
        <f t="shared" si="6"/>
        <v>4</v>
      </c>
      <c r="D185">
        <f t="shared" si="7"/>
        <v>1</v>
      </c>
      <c r="E185">
        <f t="shared" si="8"/>
        <v>3</v>
      </c>
      <c r="K185">
        <v>3</v>
      </c>
      <c r="L185">
        <v>3</v>
      </c>
      <c r="M185">
        <v>2</v>
      </c>
      <c r="N185">
        <v>5</v>
      </c>
      <c r="O185">
        <f>MAX(0.5,MIN(0.99,RF_Mechanics!J94-ABS(M185-2.5)*0.015+LOG10(N185)*0.02-ABS(L185-3)*0.003-ABS(K185-2)*0.002))</f>
        <v>0.54892384453116483</v>
      </c>
    </row>
    <row r="186" spans="1:15" x14ac:dyDescent="0.2">
      <c r="A186">
        <f>Data!A186</f>
        <v>185</v>
      </c>
      <c r="B186">
        <f>Data!L186</f>
        <v>1</v>
      </c>
      <c r="C186">
        <f t="shared" si="6"/>
        <v>5</v>
      </c>
      <c r="D186">
        <f t="shared" si="7"/>
        <v>2</v>
      </c>
      <c r="E186">
        <f t="shared" si="8"/>
        <v>4</v>
      </c>
      <c r="K186">
        <v>3</v>
      </c>
      <c r="L186">
        <v>3</v>
      </c>
      <c r="M186">
        <v>2</v>
      </c>
      <c r="N186">
        <v>20</v>
      </c>
      <c r="O186">
        <f>MAX(0.5,MIN(0.99,RF_Mechanics!J94-ABS(M186-2.5)*0.015+LOG10(N186)*0.02-ABS(L186-3)*0.003-ABS(K186-2)*0.002))</f>
        <v>0.5609650443577241</v>
      </c>
    </row>
    <row r="187" spans="1:15" x14ac:dyDescent="0.2">
      <c r="A187">
        <f>Data!A187</f>
        <v>186</v>
      </c>
      <c r="B187">
        <f>Data!L187</f>
        <v>1</v>
      </c>
      <c r="C187">
        <f t="shared" si="6"/>
        <v>1</v>
      </c>
      <c r="D187">
        <f t="shared" si="7"/>
        <v>3</v>
      </c>
      <c r="E187">
        <f t="shared" si="8"/>
        <v>5</v>
      </c>
      <c r="K187">
        <v>3</v>
      </c>
      <c r="L187">
        <v>3</v>
      </c>
      <c r="M187">
        <v>2</v>
      </c>
      <c r="N187">
        <v>100</v>
      </c>
      <c r="O187">
        <f>MAX(0.5,MIN(0.99,RF_Mechanics!J94-ABS(M187-2.5)*0.015+LOG10(N187)*0.02-ABS(L187-3)*0.003-ABS(K187-2)*0.002))</f>
        <v>0.57494444444444448</v>
      </c>
    </row>
    <row r="188" spans="1:15" x14ac:dyDescent="0.2">
      <c r="A188">
        <f>Data!A188</f>
        <v>187</v>
      </c>
      <c r="B188">
        <f>Data!L188</f>
        <v>0</v>
      </c>
      <c r="C188">
        <f t="shared" si="6"/>
        <v>2</v>
      </c>
      <c r="D188">
        <f t="shared" si="7"/>
        <v>4</v>
      </c>
      <c r="E188">
        <f t="shared" si="8"/>
        <v>1</v>
      </c>
      <c r="K188">
        <v>3</v>
      </c>
      <c r="L188">
        <v>3</v>
      </c>
      <c r="M188">
        <v>3</v>
      </c>
      <c r="N188">
        <v>5</v>
      </c>
      <c r="O188">
        <f>MAX(0.5,MIN(0.99,RF_Mechanics!J94-ABS(M188-2.5)*0.015+LOG10(N188)*0.02-ABS(L188-3)*0.003-ABS(K188-2)*0.002))</f>
        <v>0.54892384453116483</v>
      </c>
    </row>
    <row r="189" spans="1:15" x14ac:dyDescent="0.2">
      <c r="A189">
        <f>Data!A189</f>
        <v>188</v>
      </c>
      <c r="B189">
        <f>Data!L189</f>
        <v>0</v>
      </c>
      <c r="C189">
        <f t="shared" si="6"/>
        <v>3</v>
      </c>
      <c r="D189">
        <f t="shared" si="7"/>
        <v>5</v>
      </c>
      <c r="E189">
        <f t="shared" si="8"/>
        <v>2</v>
      </c>
      <c r="K189">
        <v>3</v>
      </c>
      <c r="L189">
        <v>3</v>
      </c>
      <c r="M189">
        <v>3</v>
      </c>
      <c r="N189">
        <v>20</v>
      </c>
      <c r="O189">
        <f>MAX(0.5,MIN(0.99,RF_Mechanics!J94-ABS(M189-2.5)*0.015+LOG10(N189)*0.02-ABS(L189-3)*0.003-ABS(K189-2)*0.002))</f>
        <v>0.5609650443577241</v>
      </c>
    </row>
    <row r="190" spans="1:15" x14ac:dyDescent="0.2">
      <c r="A190">
        <f>Data!A190</f>
        <v>189</v>
      </c>
      <c r="B190">
        <f>Data!L190</f>
        <v>0</v>
      </c>
      <c r="C190">
        <f t="shared" si="6"/>
        <v>4</v>
      </c>
      <c r="D190">
        <f t="shared" si="7"/>
        <v>1</v>
      </c>
      <c r="E190">
        <f t="shared" si="8"/>
        <v>3</v>
      </c>
      <c r="K190">
        <v>3</v>
      </c>
      <c r="L190">
        <v>3</v>
      </c>
      <c r="M190">
        <v>3</v>
      </c>
      <c r="N190">
        <v>100</v>
      </c>
      <c r="O190">
        <f>MAX(0.5,MIN(0.99,RF_Mechanics!J94-ABS(M190-2.5)*0.015+LOG10(N190)*0.02-ABS(L190-3)*0.003-ABS(K190-2)*0.002))</f>
        <v>0.57494444444444448</v>
      </c>
    </row>
    <row r="191" spans="1:15" x14ac:dyDescent="0.2">
      <c r="A191">
        <f>Data!A191</f>
        <v>190</v>
      </c>
      <c r="B191">
        <f>Data!L191</f>
        <v>0</v>
      </c>
      <c r="C191">
        <f t="shared" si="6"/>
        <v>5</v>
      </c>
      <c r="D191">
        <f t="shared" si="7"/>
        <v>2</v>
      </c>
      <c r="E191">
        <f t="shared" si="8"/>
        <v>4</v>
      </c>
      <c r="K191">
        <v>3</v>
      </c>
      <c r="L191">
        <v>3</v>
      </c>
      <c r="M191">
        <v>4</v>
      </c>
      <c r="N191">
        <v>5</v>
      </c>
      <c r="O191">
        <f>MAX(0.5,MIN(0.99,RF_Mechanics!J94-ABS(M191-2.5)*0.015+LOG10(N191)*0.02-ABS(L191-3)*0.003-ABS(K191-2)*0.002))</f>
        <v>0.53392384453116482</v>
      </c>
    </row>
    <row r="192" spans="1:15" x14ac:dyDescent="0.2">
      <c r="A192">
        <f>Data!A192</f>
        <v>191</v>
      </c>
      <c r="B192">
        <f>Data!L192</f>
        <v>1</v>
      </c>
      <c r="C192">
        <f t="shared" si="6"/>
        <v>1</v>
      </c>
      <c r="D192">
        <f t="shared" si="7"/>
        <v>3</v>
      </c>
      <c r="E192">
        <f t="shared" si="8"/>
        <v>5</v>
      </c>
      <c r="K192">
        <v>3</v>
      </c>
      <c r="L192">
        <v>3</v>
      </c>
      <c r="M192">
        <v>4</v>
      </c>
      <c r="N192">
        <v>20</v>
      </c>
      <c r="O192">
        <f>MAX(0.5,MIN(0.99,RF_Mechanics!J94-ABS(M192-2.5)*0.015+LOG10(N192)*0.02-ABS(L192-3)*0.003-ABS(K192-2)*0.002))</f>
        <v>0.54596504435772408</v>
      </c>
    </row>
    <row r="193" spans="1:15" x14ac:dyDescent="0.2">
      <c r="A193">
        <f>Data!A193</f>
        <v>192</v>
      </c>
      <c r="B193">
        <f>Data!L193</f>
        <v>1</v>
      </c>
      <c r="C193">
        <f t="shared" si="6"/>
        <v>2</v>
      </c>
      <c r="D193">
        <f t="shared" si="7"/>
        <v>4</v>
      </c>
      <c r="E193">
        <f t="shared" si="8"/>
        <v>1</v>
      </c>
      <c r="K193">
        <v>3</v>
      </c>
      <c r="L193">
        <v>3</v>
      </c>
      <c r="M193">
        <v>4</v>
      </c>
      <c r="N193">
        <v>100</v>
      </c>
      <c r="O193">
        <f>MAX(0.5,MIN(0.99,RF_Mechanics!J94-ABS(M193-2.5)*0.015+LOG10(N193)*0.02-ABS(L193-3)*0.003-ABS(K193-2)*0.002))</f>
        <v>0.55994444444444447</v>
      </c>
    </row>
    <row r="194" spans="1:15" x14ac:dyDescent="0.2">
      <c r="A194">
        <f>Data!A194</f>
        <v>193</v>
      </c>
      <c r="B194">
        <f>Data!L194</f>
        <v>0</v>
      </c>
      <c r="C194">
        <f t="shared" ref="C194:C211" si="9">1+MOD(A194-1,5)</f>
        <v>3</v>
      </c>
      <c r="D194">
        <f t="shared" ref="D194:D211" si="10">1+MOD(A194+1,5)</f>
        <v>5</v>
      </c>
      <c r="E194">
        <f t="shared" ref="E194:E211" si="11">1+MOD(A194+3,5)</f>
        <v>2</v>
      </c>
      <c r="K194">
        <v>3</v>
      </c>
      <c r="L194">
        <v>3</v>
      </c>
      <c r="M194">
        <v>5</v>
      </c>
      <c r="N194">
        <v>5</v>
      </c>
      <c r="O194">
        <f>MAX(0.5,MIN(0.99,RF_Mechanics!J94-ABS(M194-2.5)*0.015+LOG10(N194)*0.02-ABS(L194-3)*0.003-ABS(K194-2)*0.002))</f>
        <v>0.5189238445311648</v>
      </c>
    </row>
    <row r="195" spans="1:15" x14ac:dyDescent="0.2">
      <c r="A195">
        <f>Data!A195</f>
        <v>194</v>
      </c>
      <c r="B195">
        <f>Data!L195</f>
        <v>0</v>
      </c>
      <c r="C195">
        <f t="shared" si="9"/>
        <v>4</v>
      </c>
      <c r="D195">
        <f t="shared" si="10"/>
        <v>1</v>
      </c>
      <c r="E195">
        <f t="shared" si="11"/>
        <v>3</v>
      </c>
      <c r="K195">
        <v>3</v>
      </c>
      <c r="L195">
        <v>3</v>
      </c>
      <c r="M195">
        <v>5</v>
      </c>
      <c r="N195">
        <v>20</v>
      </c>
      <c r="O195">
        <f>MAX(0.5,MIN(0.99,RF_Mechanics!J94-ABS(M195-2.5)*0.015+LOG10(N195)*0.02-ABS(L195-3)*0.003-ABS(K195-2)*0.002))</f>
        <v>0.53096504435772407</v>
      </c>
    </row>
    <row r="196" spans="1:15" x14ac:dyDescent="0.2">
      <c r="A196">
        <f>Data!A196</f>
        <v>195</v>
      </c>
      <c r="B196">
        <f>Data!L196</f>
        <v>1</v>
      </c>
      <c r="C196">
        <f t="shared" si="9"/>
        <v>5</v>
      </c>
      <c r="D196">
        <f t="shared" si="10"/>
        <v>2</v>
      </c>
      <c r="E196">
        <f t="shared" si="11"/>
        <v>4</v>
      </c>
      <c r="K196">
        <v>3</v>
      </c>
      <c r="L196">
        <v>3</v>
      </c>
      <c r="M196">
        <v>5</v>
      </c>
      <c r="N196">
        <v>100</v>
      </c>
      <c r="O196">
        <f>MAX(0.5,MIN(0.99,RF_Mechanics!J94-ABS(M196-2.5)*0.015+LOG10(N196)*0.02-ABS(L196-3)*0.003-ABS(K196-2)*0.002))</f>
        <v>0.54494444444444445</v>
      </c>
    </row>
    <row r="197" spans="1:15" x14ac:dyDescent="0.2">
      <c r="A197">
        <f>Data!A197</f>
        <v>196</v>
      </c>
      <c r="B197">
        <f>Data!L197</f>
        <v>1</v>
      </c>
      <c r="C197">
        <f t="shared" si="9"/>
        <v>1</v>
      </c>
      <c r="D197">
        <f t="shared" si="10"/>
        <v>3</v>
      </c>
      <c r="E197">
        <f t="shared" si="11"/>
        <v>5</v>
      </c>
      <c r="K197">
        <v>3</v>
      </c>
      <c r="L197">
        <v>4</v>
      </c>
      <c r="M197">
        <v>1</v>
      </c>
      <c r="N197">
        <v>5</v>
      </c>
      <c r="O197">
        <f>MAX(0.5,MIN(0.99,RF_Mechanics!J94-ABS(M197-2.5)*0.015+LOG10(N197)*0.02-ABS(L197-3)*0.003-ABS(K197-2)*0.002))</f>
        <v>0.53092384453116481</v>
      </c>
    </row>
    <row r="198" spans="1:15" x14ac:dyDescent="0.2">
      <c r="A198">
        <f>Data!A198</f>
        <v>197</v>
      </c>
      <c r="B198">
        <f>Data!L198</f>
        <v>1</v>
      </c>
      <c r="C198">
        <f t="shared" si="9"/>
        <v>2</v>
      </c>
      <c r="D198">
        <f t="shared" si="10"/>
        <v>4</v>
      </c>
      <c r="E198">
        <f t="shared" si="11"/>
        <v>1</v>
      </c>
      <c r="K198">
        <v>3</v>
      </c>
      <c r="L198">
        <v>4</v>
      </c>
      <c r="M198">
        <v>1</v>
      </c>
      <c r="N198">
        <v>20</v>
      </c>
      <c r="O198">
        <f>MAX(0.5,MIN(0.99,RF_Mechanics!J94-ABS(M198-2.5)*0.015+LOG10(N198)*0.02-ABS(L198-3)*0.003-ABS(K198-2)*0.002))</f>
        <v>0.54296504435772408</v>
      </c>
    </row>
    <row r="199" spans="1:15" x14ac:dyDescent="0.2">
      <c r="A199">
        <f>Data!A199</f>
        <v>198</v>
      </c>
      <c r="B199">
        <f>Data!L199</f>
        <v>1</v>
      </c>
      <c r="C199">
        <f t="shared" si="9"/>
        <v>3</v>
      </c>
      <c r="D199">
        <f t="shared" si="10"/>
        <v>5</v>
      </c>
      <c r="E199">
        <f t="shared" si="11"/>
        <v>2</v>
      </c>
      <c r="K199">
        <v>3</v>
      </c>
      <c r="L199">
        <v>4</v>
      </c>
      <c r="M199">
        <v>1</v>
      </c>
      <c r="N199">
        <v>100</v>
      </c>
      <c r="O199">
        <f>MAX(0.5,MIN(0.99,RF_Mechanics!J94-ABS(M199-2.5)*0.015+LOG10(N199)*0.02-ABS(L199-3)*0.003-ABS(K199-2)*0.002))</f>
        <v>0.55694444444444446</v>
      </c>
    </row>
    <row r="200" spans="1:15" x14ac:dyDescent="0.2">
      <c r="A200">
        <f>Data!A200</f>
        <v>199</v>
      </c>
      <c r="B200">
        <f>Data!L200</f>
        <v>0</v>
      </c>
      <c r="C200">
        <f t="shared" si="9"/>
        <v>4</v>
      </c>
      <c r="D200">
        <f t="shared" si="10"/>
        <v>1</v>
      </c>
      <c r="E200">
        <f t="shared" si="11"/>
        <v>3</v>
      </c>
      <c r="K200">
        <v>3</v>
      </c>
      <c r="L200">
        <v>4</v>
      </c>
      <c r="M200">
        <v>2</v>
      </c>
      <c r="N200">
        <v>5</v>
      </c>
      <c r="O200">
        <f>MAX(0.5,MIN(0.99,RF_Mechanics!J94-ABS(M200-2.5)*0.015+LOG10(N200)*0.02-ABS(L200-3)*0.003-ABS(K200-2)*0.002))</f>
        <v>0.54592384453116483</v>
      </c>
    </row>
    <row r="201" spans="1:15" x14ac:dyDescent="0.2">
      <c r="A201">
        <f>Data!A201</f>
        <v>200</v>
      </c>
      <c r="B201">
        <f>Data!L201</f>
        <v>1</v>
      </c>
      <c r="C201">
        <f t="shared" si="9"/>
        <v>5</v>
      </c>
      <c r="D201">
        <f t="shared" si="10"/>
        <v>2</v>
      </c>
      <c r="E201">
        <f t="shared" si="11"/>
        <v>4</v>
      </c>
      <c r="K201">
        <v>3</v>
      </c>
      <c r="L201">
        <v>4</v>
      </c>
      <c r="M201">
        <v>2</v>
      </c>
      <c r="N201">
        <v>20</v>
      </c>
      <c r="O201">
        <f>MAX(0.5,MIN(0.99,RF_Mechanics!J94-ABS(M201-2.5)*0.015+LOG10(N201)*0.02-ABS(L201-3)*0.003-ABS(K201-2)*0.002))</f>
        <v>0.55796504435772409</v>
      </c>
    </row>
    <row r="202" spans="1:15" x14ac:dyDescent="0.2">
      <c r="A202">
        <f>Data!A202</f>
        <v>201</v>
      </c>
      <c r="B202">
        <f>Data!L202</f>
        <v>0</v>
      </c>
      <c r="C202">
        <f t="shared" si="9"/>
        <v>1</v>
      </c>
      <c r="D202">
        <f t="shared" si="10"/>
        <v>3</v>
      </c>
      <c r="E202">
        <f t="shared" si="11"/>
        <v>5</v>
      </c>
      <c r="K202">
        <v>3</v>
      </c>
      <c r="L202">
        <v>4</v>
      </c>
      <c r="M202">
        <v>2</v>
      </c>
      <c r="N202">
        <v>100</v>
      </c>
      <c r="O202">
        <f>MAX(0.5,MIN(0.99,RF_Mechanics!J94-ABS(M202-2.5)*0.015+LOG10(N202)*0.02-ABS(L202-3)*0.003-ABS(K202-2)*0.002))</f>
        <v>0.57194444444444448</v>
      </c>
    </row>
    <row r="203" spans="1:15" x14ac:dyDescent="0.2">
      <c r="A203">
        <f>Data!A203</f>
        <v>202</v>
      </c>
      <c r="B203">
        <f>Data!L203</f>
        <v>1</v>
      </c>
      <c r="C203">
        <f t="shared" si="9"/>
        <v>2</v>
      </c>
      <c r="D203">
        <f t="shared" si="10"/>
        <v>4</v>
      </c>
      <c r="E203">
        <f t="shared" si="11"/>
        <v>1</v>
      </c>
      <c r="K203">
        <v>3</v>
      </c>
      <c r="L203">
        <v>4</v>
      </c>
      <c r="M203">
        <v>3</v>
      </c>
      <c r="N203">
        <v>5</v>
      </c>
      <c r="O203">
        <f>MAX(0.5,MIN(0.99,RF_Mechanics!J94-ABS(M203-2.5)*0.015+LOG10(N203)*0.02-ABS(L203-3)*0.003-ABS(K203-2)*0.002))</f>
        <v>0.54592384453116483</v>
      </c>
    </row>
    <row r="204" spans="1:15" x14ac:dyDescent="0.2">
      <c r="A204">
        <f>Data!A204</f>
        <v>203</v>
      </c>
      <c r="B204">
        <f>Data!L204</f>
        <v>1</v>
      </c>
      <c r="C204">
        <f t="shared" si="9"/>
        <v>3</v>
      </c>
      <c r="D204">
        <f t="shared" si="10"/>
        <v>5</v>
      </c>
      <c r="E204">
        <f t="shared" si="11"/>
        <v>2</v>
      </c>
      <c r="K204">
        <v>3</v>
      </c>
      <c r="L204">
        <v>4</v>
      </c>
      <c r="M204">
        <v>3</v>
      </c>
      <c r="N204">
        <v>20</v>
      </c>
      <c r="O204">
        <f>MAX(0.5,MIN(0.99,RF_Mechanics!J94-ABS(M204-2.5)*0.015+LOG10(N204)*0.02-ABS(L204-3)*0.003-ABS(K204-2)*0.002))</f>
        <v>0.55796504435772409</v>
      </c>
    </row>
    <row r="205" spans="1:15" x14ac:dyDescent="0.2">
      <c r="A205">
        <f>Data!A205</f>
        <v>204</v>
      </c>
      <c r="B205">
        <f>Data!L205</f>
        <v>0</v>
      </c>
      <c r="C205">
        <f t="shared" si="9"/>
        <v>4</v>
      </c>
      <c r="D205">
        <f t="shared" si="10"/>
        <v>1</v>
      </c>
      <c r="E205">
        <f t="shared" si="11"/>
        <v>3</v>
      </c>
      <c r="K205">
        <v>3</v>
      </c>
      <c r="L205">
        <v>4</v>
      </c>
      <c r="M205">
        <v>3</v>
      </c>
      <c r="N205">
        <v>100</v>
      </c>
      <c r="O205">
        <f>MAX(0.5,MIN(0.99,RF_Mechanics!J94-ABS(M205-2.5)*0.015+LOG10(N205)*0.02-ABS(L205-3)*0.003-ABS(K205-2)*0.002))</f>
        <v>0.57194444444444448</v>
      </c>
    </row>
    <row r="206" spans="1:15" x14ac:dyDescent="0.2">
      <c r="A206">
        <f>Data!A207</f>
        <v>206</v>
      </c>
      <c r="B206">
        <f>Data!L207</f>
        <v>0</v>
      </c>
      <c r="C206">
        <f t="shared" si="9"/>
        <v>1</v>
      </c>
      <c r="D206">
        <f t="shared" si="10"/>
        <v>3</v>
      </c>
      <c r="E206">
        <f t="shared" si="11"/>
        <v>5</v>
      </c>
      <c r="K206">
        <v>3</v>
      </c>
      <c r="L206">
        <v>4</v>
      </c>
      <c r="M206">
        <v>4</v>
      </c>
      <c r="N206">
        <v>5</v>
      </c>
      <c r="O206">
        <f>MAX(0.5,MIN(0.99,RF_Mechanics!J94-ABS(M206-2.5)*0.015+LOG10(N206)*0.02-ABS(L206-3)*0.003-ABS(K206-2)*0.002))</f>
        <v>0.53092384453116481</v>
      </c>
    </row>
    <row r="207" spans="1:15" x14ac:dyDescent="0.2">
      <c r="A207">
        <f>Data!A211</f>
        <v>210</v>
      </c>
      <c r="B207">
        <f>Data!L211</f>
        <v>0</v>
      </c>
      <c r="C207">
        <f t="shared" si="9"/>
        <v>5</v>
      </c>
      <c r="D207">
        <f t="shared" si="10"/>
        <v>2</v>
      </c>
      <c r="E207">
        <f t="shared" si="11"/>
        <v>4</v>
      </c>
      <c r="K207">
        <v>3</v>
      </c>
      <c r="L207">
        <v>4</v>
      </c>
      <c r="M207">
        <v>4</v>
      </c>
      <c r="N207">
        <v>20</v>
      </c>
      <c r="O207">
        <f>MAX(0.5,MIN(0.99,RF_Mechanics!J94-ABS(M207-2.5)*0.015+LOG10(N207)*0.02-ABS(L207-3)*0.003-ABS(K207-2)*0.002))</f>
        <v>0.54296504435772408</v>
      </c>
    </row>
    <row r="208" spans="1:15" x14ac:dyDescent="0.2">
      <c r="A208">
        <f>Data!A213</f>
        <v>212</v>
      </c>
      <c r="B208">
        <f>Data!L213</f>
        <v>0</v>
      </c>
      <c r="C208">
        <f t="shared" si="9"/>
        <v>2</v>
      </c>
      <c r="D208">
        <f t="shared" si="10"/>
        <v>4</v>
      </c>
      <c r="E208">
        <f t="shared" si="11"/>
        <v>1</v>
      </c>
      <c r="K208">
        <v>3</v>
      </c>
      <c r="L208">
        <v>4</v>
      </c>
      <c r="M208">
        <v>4</v>
      </c>
      <c r="N208">
        <v>100</v>
      </c>
      <c r="O208">
        <f>MAX(0.5,MIN(0.99,RF_Mechanics!J94-ABS(M208-2.5)*0.015+LOG10(N208)*0.02-ABS(L208-3)*0.003-ABS(K208-2)*0.002))</f>
        <v>0.55694444444444446</v>
      </c>
    </row>
    <row r="209" spans="1:15" x14ac:dyDescent="0.2">
      <c r="A209">
        <f>Data!A216</f>
        <v>215</v>
      </c>
      <c r="B209">
        <f>Data!L216</f>
        <v>0</v>
      </c>
      <c r="C209">
        <f t="shared" si="9"/>
        <v>5</v>
      </c>
      <c r="D209">
        <f t="shared" si="10"/>
        <v>2</v>
      </c>
      <c r="E209">
        <f t="shared" si="11"/>
        <v>4</v>
      </c>
      <c r="K209">
        <v>3</v>
      </c>
      <c r="L209">
        <v>4</v>
      </c>
      <c r="M209">
        <v>5</v>
      </c>
      <c r="N209">
        <v>5</v>
      </c>
      <c r="O209">
        <f>MAX(0.5,MIN(0.99,RF_Mechanics!J94-ABS(M209-2.5)*0.015+LOG10(N209)*0.02-ABS(L209-3)*0.003-ABS(K209-2)*0.002))</f>
        <v>0.5159238445311648</v>
      </c>
    </row>
    <row r="210" spans="1:15" x14ac:dyDescent="0.2">
      <c r="A210">
        <f>Data!A219</f>
        <v>218</v>
      </c>
      <c r="B210">
        <f>Data!L219</f>
        <v>0</v>
      </c>
      <c r="C210">
        <f t="shared" si="9"/>
        <v>3</v>
      </c>
      <c r="D210">
        <f t="shared" si="10"/>
        <v>5</v>
      </c>
      <c r="E210">
        <f t="shared" si="11"/>
        <v>2</v>
      </c>
      <c r="K210">
        <v>3</v>
      </c>
      <c r="L210">
        <v>4</v>
      </c>
      <c r="M210">
        <v>5</v>
      </c>
      <c r="N210">
        <v>20</v>
      </c>
      <c r="O210">
        <f>MAX(0.5,MIN(0.99,RF_Mechanics!J94-ABS(M210-2.5)*0.015+LOG10(N210)*0.02-ABS(L210-3)*0.003-ABS(K210-2)*0.002))</f>
        <v>0.52796504435772407</v>
      </c>
    </row>
    <row r="211" spans="1:15" x14ac:dyDescent="0.2">
      <c r="A211">
        <f>Data!A221</f>
        <v>220</v>
      </c>
      <c r="B211">
        <f>Data!L221</f>
        <v>0</v>
      </c>
      <c r="C211">
        <f t="shared" si="9"/>
        <v>5</v>
      </c>
      <c r="D211">
        <f t="shared" si="10"/>
        <v>2</v>
      </c>
      <c r="E211">
        <f t="shared" si="11"/>
        <v>4</v>
      </c>
      <c r="K211">
        <v>3</v>
      </c>
      <c r="L211">
        <v>4</v>
      </c>
      <c r="M211">
        <v>5</v>
      </c>
      <c r="N211">
        <v>100</v>
      </c>
      <c r="O211">
        <f>MAX(0.5,MIN(0.99,RF_Mechanics!J94-ABS(M211-2.5)*0.015+LOG10(N211)*0.02-ABS(L211-3)*0.003-ABS(K211-2)*0.002))</f>
        <v>0.54194444444444445</v>
      </c>
    </row>
    <row r="212" spans="1:15" x14ac:dyDescent="0.2">
      <c r="K212">
        <v>3</v>
      </c>
      <c r="L212">
        <v>5</v>
      </c>
      <c r="M212">
        <v>1</v>
      </c>
      <c r="N212">
        <v>5</v>
      </c>
      <c r="O212">
        <f>MAX(0.5,MIN(0.99,RF_Mechanics!J94-ABS(M212-2.5)*0.015+LOG10(N212)*0.02-ABS(L212-3)*0.003-ABS(K212-2)*0.002))</f>
        <v>0.52792384453116481</v>
      </c>
    </row>
    <row r="213" spans="1:15" x14ac:dyDescent="0.2">
      <c r="K213">
        <v>3</v>
      </c>
      <c r="L213">
        <v>5</v>
      </c>
      <c r="M213">
        <v>1</v>
      </c>
      <c r="N213">
        <v>20</v>
      </c>
      <c r="O213">
        <f>MAX(0.5,MIN(0.99,RF_Mechanics!J94-ABS(M213-2.5)*0.015+LOG10(N213)*0.02-ABS(L213-3)*0.003-ABS(K213-2)*0.002))</f>
        <v>0.53996504435772408</v>
      </c>
    </row>
    <row r="214" spans="1:15" x14ac:dyDescent="0.2">
      <c r="K214">
        <v>3</v>
      </c>
      <c r="L214">
        <v>5</v>
      </c>
      <c r="M214">
        <v>1</v>
      </c>
      <c r="N214">
        <v>100</v>
      </c>
      <c r="O214">
        <f>MAX(0.5,MIN(0.99,RF_Mechanics!J94-ABS(M214-2.5)*0.015+LOG10(N214)*0.02-ABS(L214-3)*0.003-ABS(K214-2)*0.002))</f>
        <v>0.55394444444444446</v>
      </c>
    </row>
    <row r="215" spans="1:15" x14ac:dyDescent="0.2">
      <c r="K215">
        <v>3</v>
      </c>
      <c r="L215">
        <v>5</v>
      </c>
      <c r="M215">
        <v>2</v>
      </c>
      <c r="N215">
        <v>5</v>
      </c>
      <c r="O215">
        <f>MAX(0.5,MIN(0.99,RF_Mechanics!J94-ABS(M215-2.5)*0.015+LOG10(N215)*0.02-ABS(L215-3)*0.003-ABS(K215-2)*0.002))</f>
        <v>0.54292384453116482</v>
      </c>
    </row>
    <row r="216" spans="1:15" x14ac:dyDescent="0.2">
      <c r="K216">
        <v>3</v>
      </c>
      <c r="L216">
        <v>5</v>
      </c>
      <c r="M216">
        <v>2</v>
      </c>
      <c r="N216">
        <v>20</v>
      </c>
      <c r="O216">
        <f>MAX(0.5,MIN(0.99,RF_Mechanics!J94-ABS(M216-2.5)*0.015+LOG10(N216)*0.02-ABS(L216-3)*0.003-ABS(K216-2)*0.002))</f>
        <v>0.55496504435772409</v>
      </c>
    </row>
    <row r="217" spans="1:15" x14ac:dyDescent="0.2">
      <c r="K217">
        <v>3</v>
      </c>
      <c r="L217">
        <v>5</v>
      </c>
      <c r="M217">
        <v>2</v>
      </c>
      <c r="N217">
        <v>100</v>
      </c>
      <c r="O217">
        <f>MAX(0.5,MIN(0.99,RF_Mechanics!J94-ABS(M217-2.5)*0.015+LOG10(N217)*0.02-ABS(L217-3)*0.003-ABS(K217-2)*0.002))</f>
        <v>0.56894444444444447</v>
      </c>
    </row>
    <row r="218" spans="1:15" x14ac:dyDescent="0.2">
      <c r="K218">
        <v>3</v>
      </c>
      <c r="L218">
        <v>5</v>
      </c>
      <c r="M218">
        <v>3</v>
      </c>
      <c r="N218">
        <v>5</v>
      </c>
      <c r="O218">
        <f>MAX(0.5,MIN(0.99,RF_Mechanics!J94-ABS(M218-2.5)*0.015+LOG10(N218)*0.02-ABS(L218-3)*0.003-ABS(K218-2)*0.002))</f>
        <v>0.54292384453116482</v>
      </c>
    </row>
    <row r="219" spans="1:15" x14ac:dyDescent="0.2">
      <c r="K219">
        <v>3</v>
      </c>
      <c r="L219">
        <v>5</v>
      </c>
      <c r="M219">
        <v>3</v>
      </c>
      <c r="N219">
        <v>20</v>
      </c>
      <c r="O219">
        <f>MAX(0.5,MIN(0.99,RF_Mechanics!J94-ABS(M219-2.5)*0.015+LOG10(N219)*0.02-ABS(L219-3)*0.003-ABS(K219-2)*0.002))</f>
        <v>0.55496504435772409</v>
      </c>
    </row>
    <row r="220" spans="1:15" x14ac:dyDescent="0.2">
      <c r="K220">
        <v>3</v>
      </c>
      <c r="L220">
        <v>5</v>
      </c>
      <c r="M220">
        <v>3</v>
      </c>
      <c r="N220">
        <v>100</v>
      </c>
      <c r="O220">
        <f>MAX(0.5,MIN(0.99,RF_Mechanics!J94-ABS(M220-2.5)*0.015+LOG10(N220)*0.02-ABS(L220-3)*0.003-ABS(K220-2)*0.002))</f>
        <v>0.56894444444444447</v>
      </c>
    </row>
    <row r="221" spans="1:15" x14ac:dyDescent="0.2">
      <c r="K221">
        <v>3</v>
      </c>
      <c r="L221">
        <v>5</v>
      </c>
      <c r="M221">
        <v>4</v>
      </c>
      <c r="N221">
        <v>5</v>
      </c>
      <c r="O221">
        <f>MAX(0.5,MIN(0.99,RF_Mechanics!J94-ABS(M221-2.5)*0.015+LOG10(N221)*0.02-ABS(L221-3)*0.003-ABS(K221-2)*0.002))</f>
        <v>0.52792384453116481</v>
      </c>
    </row>
    <row r="222" spans="1:15" x14ac:dyDescent="0.2">
      <c r="K222">
        <v>3</v>
      </c>
      <c r="L222">
        <v>5</v>
      </c>
      <c r="M222">
        <v>4</v>
      </c>
      <c r="N222">
        <v>20</v>
      </c>
      <c r="O222">
        <f>MAX(0.5,MIN(0.99,RF_Mechanics!J94-ABS(M222-2.5)*0.015+LOG10(N222)*0.02-ABS(L222-3)*0.003-ABS(K222-2)*0.002))</f>
        <v>0.53996504435772408</v>
      </c>
    </row>
    <row r="223" spans="1:15" x14ac:dyDescent="0.2">
      <c r="K223">
        <v>3</v>
      </c>
      <c r="L223">
        <v>5</v>
      </c>
      <c r="M223">
        <v>4</v>
      </c>
      <c r="N223">
        <v>100</v>
      </c>
      <c r="O223">
        <f>MAX(0.5,MIN(0.99,RF_Mechanics!J94-ABS(M223-2.5)*0.015+LOG10(N223)*0.02-ABS(L223-3)*0.003-ABS(K223-2)*0.002))</f>
        <v>0.55394444444444446</v>
      </c>
    </row>
    <row r="224" spans="1:15" x14ac:dyDescent="0.2">
      <c r="K224">
        <v>3</v>
      </c>
      <c r="L224">
        <v>5</v>
      </c>
      <c r="M224">
        <v>5</v>
      </c>
      <c r="N224">
        <v>5</v>
      </c>
      <c r="O224">
        <f>MAX(0.5,MIN(0.99,RF_Mechanics!J94-ABS(M224-2.5)*0.015+LOG10(N224)*0.02-ABS(L224-3)*0.003-ABS(K224-2)*0.002))</f>
        <v>0.5129238445311648</v>
      </c>
    </row>
    <row r="225" spans="11:15" x14ac:dyDescent="0.2">
      <c r="K225">
        <v>3</v>
      </c>
      <c r="L225">
        <v>5</v>
      </c>
      <c r="M225">
        <v>5</v>
      </c>
      <c r="N225">
        <v>20</v>
      </c>
      <c r="O225">
        <f>MAX(0.5,MIN(0.99,RF_Mechanics!J94-ABS(M225-2.5)*0.015+LOG10(N225)*0.02-ABS(L225-3)*0.003-ABS(K225-2)*0.002))</f>
        <v>0.52496504435772406</v>
      </c>
    </row>
    <row r="226" spans="11:15" x14ac:dyDescent="0.2">
      <c r="K226">
        <v>3</v>
      </c>
      <c r="L226">
        <v>5</v>
      </c>
      <c r="M226">
        <v>5</v>
      </c>
      <c r="N226">
        <v>100</v>
      </c>
      <c r="O226">
        <f>MAX(0.5,MIN(0.99,RF_Mechanics!J94-ABS(M226-2.5)*0.015+LOG10(N226)*0.02-ABS(L226-3)*0.003-ABS(K226-2)*0.002))</f>
        <v>0.53894444444444445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9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13" customWidth="1"/>
    <col min="2" max="2" width="18" customWidth="1"/>
  </cols>
  <sheetData>
    <row r="1" spans="1:2" x14ac:dyDescent="0.2">
      <c r="A1" t="s">
        <v>199</v>
      </c>
      <c r="B1" t="s">
        <v>200</v>
      </c>
    </row>
    <row r="2" spans="1:2" x14ac:dyDescent="0.2">
      <c r="A2" t="s">
        <v>36</v>
      </c>
      <c r="B2">
        <f>ABS(CORREL(Data!$C$2:$C$301,Data!$L$2:$L$301))</f>
        <v>0.16412669055395954</v>
      </c>
    </row>
    <row r="3" spans="1:2" x14ac:dyDescent="0.2">
      <c r="A3" t="s">
        <v>35</v>
      </c>
      <c r="B3">
        <f>ABS(CORREL(Data!$B$2:$B$301,Data!$L$2:$L$301))</f>
        <v>0.12883840055947163</v>
      </c>
    </row>
    <row r="4" spans="1:2" x14ac:dyDescent="0.2">
      <c r="A4" t="s">
        <v>40</v>
      </c>
      <c r="B4">
        <f>MAX(ABS(AVERAGEIFS(Data!$L$2:$L$301,Data!$G$2:$G$301,"1. &lt; HS Grad")-AVERAGE(Data!$L$2:$L$301)),ABS(AVERAGEIFS(Data!$L$2:$L$301,Data!$G$2:$G$301,"5. Advanced Degree")-AVERAGE(Data!$L$2:$L$301)))</f>
        <v>0.45436781609195398</v>
      </c>
    </row>
    <row r="5" spans="1:2" x14ac:dyDescent="0.2">
      <c r="A5" t="s">
        <v>41</v>
      </c>
      <c r="B5">
        <f>ABS(AVERAGEIFS(Data!$L$2:$L$301,Data!$H$2:$H$301,"2. Information")-AVERAGEIFS(Data!$L$2:$L$301,Data!$H$2:$H$301,"1. Industrial"))</f>
        <v>0.21071428571428569</v>
      </c>
    </row>
    <row r="6" spans="1:2" x14ac:dyDescent="0.2">
      <c r="A6" t="s">
        <v>43</v>
      </c>
      <c r="B6">
        <f>ABS(AVERAGEIFS(Data!$L$2:$L$301,Data!$J$2:$J$301,"1. Yes")-AVERAGEIFS(Data!$L$2:$L$301,Data!$J$2:$J$301,"2. No"))</f>
        <v>0.36775565003356459</v>
      </c>
    </row>
    <row r="7" spans="1:2" x14ac:dyDescent="0.2">
      <c r="A7" t="s">
        <v>38</v>
      </c>
      <c r="B7">
        <f>MAX(ABS(AVERAGEIFS(Data!$L$2:$L$301,Data!$E$2:$E$301,"1. Never Married")-AVERAGE(Data!$L$2:$L$301)),ABS(AVERAGEIFS(Data!$L$2:$L$301,Data!$E$2:$E$301,"3. Other")-AVERAGE(Data!$L$2:$L$301)))</f>
        <v>0.27695652173913043</v>
      </c>
    </row>
    <row r="10" spans="1:2" x14ac:dyDescent="0.2">
      <c r="A10" t="s">
        <v>201</v>
      </c>
      <c r="B10" t="s">
        <v>202</v>
      </c>
    </row>
    <row r="11" spans="1:2" x14ac:dyDescent="0.2">
      <c r="A11" t="s">
        <v>49</v>
      </c>
      <c r="B11">
        <f>AVERAGEIFS(Data!$L$2:$L$301,Data!$M$2:$M$301,"Train",Data!$G$2:$G$301,A11)</f>
        <v>0</v>
      </c>
    </row>
    <row r="12" spans="1:2" x14ac:dyDescent="0.2">
      <c r="A12" t="s">
        <v>63</v>
      </c>
      <c r="B12">
        <f>AVERAGEIFS(Data!$L$2:$L$301,Data!$M$2:$M$301,"Train",Data!$G$2:$G$301,A12)</f>
        <v>0.37681159420289856</v>
      </c>
    </row>
    <row r="13" spans="1:2" x14ac:dyDescent="0.2">
      <c r="A13" t="s">
        <v>58</v>
      </c>
      <c r="B13">
        <f>AVERAGEIFS(Data!$L$2:$L$301,Data!$M$2:$M$301,"Train",Data!$G$2:$G$301,A13)</f>
        <v>0.625</v>
      </c>
    </row>
    <row r="14" spans="1:2" x14ac:dyDescent="0.2">
      <c r="A14" t="s">
        <v>54</v>
      </c>
      <c r="B14">
        <f>AVERAGEIFS(Data!$L$2:$L$301,Data!$M$2:$M$301,"Train",Data!$G$2:$G$301,A14)</f>
        <v>0.73913043478260865</v>
      </c>
    </row>
    <row r="15" spans="1:2" x14ac:dyDescent="0.2">
      <c r="A15" t="s">
        <v>66</v>
      </c>
      <c r="B15">
        <f>AVERAGEIFS(Data!$L$2:$L$301,Data!$M$2:$M$301,"Train",Data!$G$2:$G$301,A15)</f>
        <v>0.78125</v>
      </c>
    </row>
    <row r="18" spans="1:2" x14ac:dyDescent="0.2">
      <c r="A18" t="s">
        <v>203</v>
      </c>
      <c r="B18" t="s">
        <v>202</v>
      </c>
    </row>
    <row r="19" spans="1:2" x14ac:dyDescent="0.2">
      <c r="A19">
        <v>18</v>
      </c>
      <c r="B19">
        <f>IF(A19&lt;=ClassTree!$L$2,ClassTree!$L$4,ClassTree!$L$6)</f>
        <v>4.5454545454545456E-2</v>
      </c>
    </row>
    <row r="20" spans="1:2" x14ac:dyDescent="0.2">
      <c r="A20">
        <v>20</v>
      </c>
      <c r="B20">
        <f>IF(A20&lt;=ClassTree!$L$2,ClassTree!$L$4,ClassTree!$L$6)</f>
        <v>4.5454545454545456E-2</v>
      </c>
    </row>
    <row r="21" spans="1:2" x14ac:dyDescent="0.2">
      <c r="A21">
        <v>22</v>
      </c>
      <c r="B21">
        <f>IF(A21&lt;=ClassTree!$L$2,ClassTree!$L$4,ClassTree!$L$6)</f>
        <v>4.5454545454545456E-2</v>
      </c>
    </row>
    <row r="22" spans="1:2" x14ac:dyDescent="0.2">
      <c r="A22">
        <v>24</v>
      </c>
      <c r="B22">
        <f>IF(A22&lt;=ClassTree!$L$2,ClassTree!$L$4,ClassTree!$L$6)</f>
        <v>4.5454545454545456E-2</v>
      </c>
    </row>
    <row r="23" spans="1:2" x14ac:dyDescent="0.2">
      <c r="A23">
        <v>26</v>
      </c>
      <c r="B23">
        <f>IF(A23&lt;=ClassTree!$L$2,ClassTree!$L$4,ClassTree!$L$6)</f>
        <v>4.5454545454545456E-2</v>
      </c>
    </row>
    <row r="24" spans="1:2" x14ac:dyDescent="0.2">
      <c r="A24">
        <v>28</v>
      </c>
      <c r="B24">
        <f>IF(A24&lt;=ClassTree!$L$2,ClassTree!$L$4,ClassTree!$L$6)</f>
        <v>0.57978723404255317</v>
      </c>
    </row>
    <row r="25" spans="1:2" x14ac:dyDescent="0.2">
      <c r="A25">
        <v>30</v>
      </c>
      <c r="B25">
        <f>IF(A25&lt;=ClassTree!$L$2,ClassTree!$L$4,ClassTree!$L$6)</f>
        <v>0.57978723404255317</v>
      </c>
    </row>
    <row r="26" spans="1:2" x14ac:dyDescent="0.2">
      <c r="A26">
        <v>32</v>
      </c>
      <c r="B26">
        <f>IF(A26&lt;=ClassTree!$L$2,ClassTree!$L$4,ClassTree!$L$6)</f>
        <v>0.57978723404255317</v>
      </c>
    </row>
    <row r="27" spans="1:2" x14ac:dyDescent="0.2">
      <c r="A27">
        <v>34</v>
      </c>
      <c r="B27">
        <f>IF(A27&lt;=ClassTree!$L$2,ClassTree!$L$4,ClassTree!$L$6)</f>
        <v>0.57978723404255317</v>
      </c>
    </row>
    <row r="28" spans="1:2" x14ac:dyDescent="0.2">
      <c r="A28">
        <v>36</v>
      </c>
      <c r="B28">
        <f>IF(A28&lt;=ClassTree!$L$2,ClassTree!$L$4,ClassTree!$L$6)</f>
        <v>0.57978723404255317</v>
      </c>
    </row>
    <row r="29" spans="1:2" x14ac:dyDescent="0.2">
      <c r="A29">
        <v>38</v>
      </c>
      <c r="B29">
        <f>IF(A29&lt;=ClassTree!$L$2,ClassTree!$L$4,ClassTree!$L$6)</f>
        <v>0.57978723404255317</v>
      </c>
    </row>
    <row r="30" spans="1:2" x14ac:dyDescent="0.2">
      <c r="A30">
        <v>40</v>
      </c>
      <c r="B30">
        <f>IF(A30&lt;=ClassTree!$L$2,ClassTree!$L$4,ClassTree!$L$6)</f>
        <v>0.57978723404255317</v>
      </c>
    </row>
    <row r="31" spans="1:2" x14ac:dyDescent="0.2">
      <c r="A31">
        <v>42</v>
      </c>
      <c r="B31">
        <f>IF(A31&lt;=ClassTree!$L$2,ClassTree!$L$4,ClassTree!$L$6)</f>
        <v>0.57978723404255317</v>
      </c>
    </row>
    <row r="32" spans="1:2" x14ac:dyDescent="0.2">
      <c r="A32">
        <v>44</v>
      </c>
      <c r="B32">
        <f>IF(A32&lt;=ClassTree!$L$2,ClassTree!$L$4,ClassTree!$L$6)</f>
        <v>0.57978723404255317</v>
      </c>
    </row>
    <row r="33" spans="1:2" x14ac:dyDescent="0.2">
      <c r="A33">
        <v>46</v>
      </c>
      <c r="B33">
        <f>IF(A33&lt;=ClassTree!$L$2,ClassTree!$L$4,ClassTree!$L$6)</f>
        <v>0.57978723404255317</v>
      </c>
    </row>
    <row r="34" spans="1:2" x14ac:dyDescent="0.2">
      <c r="A34">
        <v>48</v>
      </c>
      <c r="B34">
        <f>IF(A34&lt;=ClassTree!$L$2,ClassTree!$L$4,ClassTree!$L$6)</f>
        <v>0.57978723404255317</v>
      </c>
    </row>
    <row r="35" spans="1:2" x14ac:dyDescent="0.2">
      <c r="A35">
        <v>50</v>
      </c>
      <c r="B35">
        <f>IF(A35&lt;=ClassTree!$L$2,ClassTree!$L$4,ClassTree!$L$6)</f>
        <v>0.57978723404255317</v>
      </c>
    </row>
    <row r="36" spans="1:2" x14ac:dyDescent="0.2">
      <c r="A36">
        <v>52</v>
      </c>
      <c r="B36">
        <f>IF(A36&lt;=ClassTree!$L$2,ClassTree!$L$4,ClassTree!$L$6)</f>
        <v>0.57978723404255317</v>
      </c>
    </row>
    <row r="37" spans="1:2" x14ac:dyDescent="0.2">
      <c r="A37">
        <v>54</v>
      </c>
      <c r="B37">
        <f>IF(A37&lt;=ClassTree!$L$2,ClassTree!$L$4,ClassTree!$L$6)</f>
        <v>0.57978723404255317</v>
      </c>
    </row>
    <row r="38" spans="1:2" x14ac:dyDescent="0.2">
      <c r="A38">
        <v>56</v>
      </c>
      <c r="B38">
        <f>IF(A38&lt;=ClassTree!$L$2,ClassTree!$L$4,ClassTree!$L$6)</f>
        <v>0.57978723404255317</v>
      </c>
    </row>
    <row r="39" spans="1:2" x14ac:dyDescent="0.2">
      <c r="A39">
        <v>58</v>
      </c>
      <c r="B39">
        <f>IF(A39&lt;=ClassTree!$L$2,ClassTree!$L$4,ClassTree!$L$6)</f>
        <v>0.57978723404255317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27"/>
  <sheetViews>
    <sheetView workbookViewId="0"/>
  </sheetViews>
  <sheetFormatPr baseColWidth="10" defaultColWidth="8.83203125" defaultRowHeight="15" x14ac:dyDescent="0.2"/>
  <cols>
    <col min="1" max="1" width="13" customWidth="1"/>
    <col min="2" max="2" width="18" customWidth="1"/>
    <col min="3" max="5" width="13" customWidth="1"/>
    <col min="6" max="6" width="18" customWidth="1"/>
    <col min="7" max="7" width="13" customWidth="1"/>
    <col min="8" max="8" width="16" customWidth="1"/>
    <col min="10" max="10" width="14" customWidth="1"/>
  </cols>
  <sheetData>
    <row r="1" spans="1:10" x14ac:dyDescent="0.2">
      <c r="A1" t="s">
        <v>204</v>
      </c>
      <c r="B1" t="s">
        <v>205</v>
      </c>
      <c r="C1" t="s">
        <v>206</v>
      </c>
      <c r="D1" t="s">
        <v>207</v>
      </c>
      <c r="E1" t="s">
        <v>151</v>
      </c>
      <c r="F1" t="s">
        <v>208</v>
      </c>
      <c r="G1" t="s">
        <v>209</v>
      </c>
      <c r="H1" t="s">
        <v>196</v>
      </c>
      <c r="J1" t="s">
        <v>210</v>
      </c>
    </row>
    <row r="2" spans="1:10" x14ac:dyDescent="0.2">
      <c r="A2">
        <v>7</v>
      </c>
      <c r="B2">
        <v>1</v>
      </c>
      <c r="C2">
        <v>0</v>
      </c>
      <c r="D2">
        <v>50</v>
      </c>
      <c r="E2">
        <v>1E-3</v>
      </c>
      <c r="F2">
        <v>0.6</v>
      </c>
      <c r="G2">
        <v>0.6</v>
      </c>
      <c r="H2">
        <f>MAX(0.5,MIN(0.99,Boosting_Lite!I94-ABS(D2-150)/800-ABS(LOG10(E2)+1.7)*0.04))</f>
        <v>0.5</v>
      </c>
      <c r="J2">
        <f>INDEX(D2:D26,MATCH(MAX(H2:H26),H2:H26,0))</f>
        <v>150</v>
      </c>
    </row>
    <row r="3" spans="1:10" x14ac:dyDescent="0.2">
      <c r="A3">
        <v>7</v>
      </c>
      <c r="B3">
        <v>1</v>
      </c>
      <c r="C3">
        <v>0</v>
      </c>
      <c r="D3">
        <v>50</v>
      </c>
      <c r="E3">
        <v>2E-3</v>
      </c>
      <c r="F3">
        <v>0.6</v>
      </c>
      <c r="G3">
        <v>0.6</v>
      </c>
      <c r="H3">
        <f>MAX(0.5,MIN(0.99,Boosting_Lite!I94-ABS(D3-150)/800-ABS(LOG10(E3)+1.7)*0.04))</f>
        <v>0.5</v>
      </c>
      <c r="J3" t="s">
        <v>211</v>
      </c>
    </row>
    <row r="4" spans="1:10" x14ac:dyDescent="0.2">
      <c r="A4">
        <v>7</v>
      </c>
      <c r="B4">
        <v>1</v>
      </c>
      <c r="C4">
        <v>0</v>
      </c>
      <c r="D4">
        <v>50</v>
      </c>
      <c r="E4">
        <v>0.01</v>
      </c>
      <c r="F4">
        <v>0.6</v>
      </c>
      <c r="G4">
        <v>0.6</v>
      </c>
      <c r="H4">
        <f>MAX(0.5,MIN(0.99,Boosting_Lite!I94-ABS(D4-150)/800-ABS(LOG10(E4)+1.7)*0.04))</f>
        <v>0.5</v>
      </c>
      <c r="J4">
        <f>INDEX(E2:E26,MATCH(MAX(H2:H26),H2:H26,0))</f>
        <v>0.02</v>
      </c>
    </row>
    <row r="5" spans="1:10" x14ac:dyDescent="0.2">
      <c r="A5">
        <v>7</v>
      </c>
      <c r="B5">
        <v>1</v>
      </c>
      <c r="C5">
        <v>0</v>
      </c>
      <c r="D5">
        <v>50</v>
      </c>
      <c r="E5">
        <v>0.02</v>
      </c>
      <c r="F5">
        <v>0.6</v>
      </c>
      <c r="G5">
        <v>0.6</v>
      </c>
      <c r="H5">
        <f>MAX(0.5,MIN(0.99,Boosting_Lite!I94-ABS(D5-150)/800-ABS(LOG10(E5)+1.7)*0.04))</f>
        <v>0.5</v>
      </c>
      <c r="J5" t="s">
        <v>212</v>
      </c>
    </row>
    <row r="6" spans="1:10" x14ac:dyDescent="0.2">
      <c r="A6">
        <v>7</v>
      </c>
      <c r="B6">
        <v>1</v>
      </c>
      <c r="C6">
        <v>0</v>
      </c>
      <c r="D6">
        <v>50</v>
      </c>
      <c r="E6">
        <v>0.1</v>
      </c>
      <c r="F6">
        <v>0.6</v>
      </c>
      <c r="G6">
        <v>0.6</v>
      </c>
      <c r="H6">
        <f>MAX(0.5,MIN(0.99,Boosting_Lite!I94-ABS(D6-150)/800-ABS(LOG10(E6)+1.7)*0.04))</f>
        <v>0.5</v>
      </c>
      <c r="J6">
        <f>MAX(H2:H26)</f>
        <v>0.57773657795121847</v>
      </c>
    </row>
    <row r="7" spans="1:10" x14ac:dyDescent="0.2">
      <c r="A7">
        <v>7</v>
      </c>
      <c r="B7">
        <v>1</v>
      </c>
      <c r="C7">
        <v>0</v>
      </c>
      <c r="D7">
        <v>100</v>
      </c>
      <c r="E7">
        <v>1E-3</v>
      </c>
      <c r="F7">
        <v>0.6</v>
      </c>
      <c r="G7">
        <v>0.6</v>
      </c>
      <c r="H7">
        <f>MAX(0.5,MIN(0.99,Boosting_Lite!I94-ABS(D7-150)/800-ABS(LOG10(E7)+1.7)*0.04))</f>
        <v>0.5</v>
      </c>
    </row>
    <row r="8" spans="1:10" x14ac:dyDescent="0.2">
      <c r="A8">
        <v>7</v>
      </c>
      <c r="B8">
        <v>1</v>
      </c>
      <c r="C8">
        <v>0</v>
      </c>
      <c r="D8">
        <v>100</v>
      </c>
      <c r="E8">
        <v>2E-3</v>
      </c>
      <c r="F8">
        <v>0.6</v>
      </c>
      <c r="G8">
        <v>0.6</v>
      </c>
      <c r="H8">
        <f>MAX(0.5,MIN(0.99,Boosting_Lite!I94-ABS(D8-150)/800-ABS(LOG10(E8)+1.7)*0.04))</f>
        <v>0.5</v>
      </c>
    </row>
    <row r="9" spans="1:10" x14ac:dyDescent="0.2">
      <c r="A9">
        <v>7</v>
      </c>
      <c r="B9">
        <v>1</v>
      </c>
      <c r="C9">
        <v>0</v>
      </c>
      <c r="D9">
        <v>100</v>
      </c>
      <c r="E9">
        <v>0.01</v>
      </c>
      <c r="F9">
        <v>0.6</v>
      </c>
      <c r="G9">
        <v>0.6</v>
      </c>
      <c r="H9">
        <f>MAX(0.5,MIN(0.99,Boosting_Lite!I94-ABS(D9-150)/800-ABS(LOG10(E9)+1.7)*0.04))</f>
        <v>0.50327777777777771</v>
      </c>
    </row>
    <row r="10" spans="1:10" x14ac:dyDescent="0.2">
      <c r="A10">
        <v>7</v>
      </c>
      <c r="B10">
        <v>1</v>
      </c>
      <c r="C10">
        <v>0</v>
      </c>
      <c r="D10">
        <v>100</v>
      </c>
      <c r="E10">
        <v>0.02</v>
      </c>
      <c r="F10">
        <v>0.6</v>
      </c>
      <c r="G10">
        <v>0.6</v>
      </c>
      <c r="H10">
        <f>MAX(0.5,MIN(0.99,Boosting_Lite!I94-ABS(D10-150)/800-ABS(LOG10(E10)+1.7)*0.04))</f>
        <v>0.51523657795121847</v>
      </c>
    </row>
    <row r="11" spans="1:10" x14ac:dyDescent="0.2">
      <c r="A11">
        <v>7</v>
      </c>
      <c r="B11">
        <v>1</v>
      </c>
      <c r="C11">
        <v>0</v>
      </c>
      <c r="D11">
        <v>100</v>
      </c>
      <c r="E11">
        <v>0.1</v>
      </c>
      <c r="F11">
        <v>0.6</v>
      </c>
      <c r="G11">
        <v>0.6</v>
      </c>
      <c r="H11">
        <f>MAX(0.5,MIN(0.99,Boosting_Lite!I94-ABS(D11-150)/800-ABS(LOG10(E11)+1.7)*0.04))</f>
        <v>0.5</v>
      </c>
    </row>
    <row r="12" spans="1:10" x14ac:dyDescent="0.2">
      <c r="A12">
        <v>7</v>
      </c>
      <c r="B12">
        <v>1</v>
      </c>
      <c r="C12">
        <v>0</v>
      </c>
      <c r="D12">
        <v>150</v>
      </c>
      <c r="E12">
        <v>1E-3</v>
      </c>
      <c r="F12">
        <v>0.6</v>
      </c>
      <c r="G12">
        <v>0.6</v>
      </c>
      <c r="H12">
        <f>MAX(0.5,MIN(0.99,Boosting_Lite!I94-ABS(D12-150)/800-ABS(LOG10(E12)+1.7)*0.04))</f>
        <v>0.52577777777777768</v>
      </c>
    </row>
    <row r="13" spans="1:10" x14ac:dyDescent="0.2">
      <c r="A13">
        <v>7</v>
      </c>
      <c r="B13">
        <v>1</v>
      </c>
      <c r="C13">
        <v>0</v>
      </c>
      <c r="D13">
        <v>150</v>
      </c>
      <c r="E13">
        <v>2E-3</v>
      </c>
      <c r="F13">
        <v>0.6</v>
      </c>
      <c r="G13">
        <v>0.6</v>
      </c>
      <c r="H13">
        <f>MAX(0.5,MIN(0.99,Boosting_Lite!I94-ABS(D13-150)/800-ABS(LOG10(E13)+1.7)*0.04))</f>
        <v>0.53781897760433695</v>
      </c>
    </row>
    <row r="14" spans="1:10" x14ac:dyDescent="0.2">
      <c r="A14">
        <v>7</v>
      </c>
      <c r="B14">
        <v>1</v>
      </c>
      <c r="C14">
        <v>0</v>
      </c>
      <c r="D14">
        <v>150</v>
      </c>
      <c r="E14">
        <v>0.01</v>
      </c>
      <c r="F14">
        <v>0.6</v>
      </c>
      <c r="G14">
        <v>0.6</v>
      </c>
      <c r="H14">
        <f>MAX(0.5,MIN(0.99,Boosting_Lite!I94-ABS(D14-150)/800-ABS(LOG10(E14)+1.7)*0.04))</f>
        <v>0.56577777777777771</v>
      </c>
    </row>
    <row r="15" spans="1:10" x14ac:dyDescent="0.2">
      <c r="A15">
        <v>7</v>
      </c>
      <c r="B15">
        <v>1</v>
      </c>
      <c r="C15">
        <v>0</v>
      </c>
      <c r="D15">
        <v>150</v>
      </c>
      <c r="E15">
        <v>0.02</v>
      </c>
      <c r="F15">
        <v>0.6</v>
      </c>
      <c r="G15">
        <v>0.6</v>
      </c>
      <c r="H15">
        <f>MAX(0.5,MIN(0.99,Boosting_Lite!I94-ABS(D15-150)/800-ABS(LOG10(E15)+1.7)*0.04))</f>
        <v>0.57773657795121847</v>
      </c>
    </row>
    <row r="16" spans="1:10" x14ac:dyDescent="0.2">
      <c r="A16">
        <v>7</v>
      </c>
      <c r="B16">
        <v>1</v>
      </c>
      <c r="C16">
        <v>0</v>
      </c>
      <c r="D16">
        <v>150</v>
      </c>
      <c r="E16">
        <v>0.1</v>
      </c>
      <c r="F16">
        <v>0.6</v>
      </c>
      <c r="G16">
        <v>0.6</v>
      </c>
      <c r="H16">
        <f>MAX(0.5,MIN(0.99,Boosting_Lite!I94-ABS(D16-150)/800-ABS(LOG10(E16)+1.7)*0.04))</f>
        <v>0.5497777777777777</v>
      </c>
    </row>
    <row r="17" spans="1:11" x14ac:dyDescent="0.2">
      <c r="A17">
        <v>7</v>
      </c>
      <c r="B17">
        <v>1</v>
      </c>
      <c r="C17">
        <v>0</v>
      </c>
      <c r="D17">
        <v>200</v>
      </c>
      <c r="E17">
        <v>1E-3</v>
      </c>
      <c r="F17">
        <v>0.6</v>
      </c>
      <c r="G17">
        <v>0.6</v>
      </c>
      <c r="H17">
        <f>MAX(0.5,MIN(0.99,Boosting_Lite!I94-ABS(D17-150)/800-ABS(LOG10(E17)+1.7)*0.04))</f>
        <v>0.5</v>
      </c>
    </row>
    <row r="18" spans="1:11" x14ac:dyDescent="0.2">
      <c r="A18">
        <v>7</v>
      </c>
      <c r="B18">
        <v>1</v>
      </c>
      <c r="C18">
        <v>0</v>
      </c>
      <c r="D18">
        <v>200</v>
      </c>
      <c r="E18">
        <v>2E-3</v>
      </c>
      <c r="F18">
        <v>0.6</v>
      </c>
      <c r="G18">
        <v>0.6</v>
      </c>
      <c r="H18">
        <f>MAX(0.5,MIN(0.99,Boosting_Lite!I94-ABS(D18-150)/800-ABS(LOG10(E18)+1.7)*0.04))</f>
        <v>0.5</v>
      </c>
    </row>
    <row r="19" spans="1:11" x14ac:dyDescent="0.2">
      <c r="A19">
        <v>7</v>
      </c>
      <c r="B19">
        <v>1</v>
      </c>
      <c r="C19">
        <v>0</v>
      </c>
      <c r="D19">
        <v>200</v>
      </c>
      <c r="E19">
        <v>0.01</v>
      </c>
      <c r="F19">
        <v>0.6</v>
      </c>
      <c r="G19">
        <v>0.6</v>
      </c>
      <c r="H19">
        <f>MAX(0.5,MIN(0.99,Boosting_Lite!I94-ABS(D19-150)/800-ABS(LOG10(E19)+1.7)*0.04))</f>
        <v>0.50327777777777771</v>
      </c>
    </row>
    <row r="20" spans="1:11" x14ac:dyDescent="0.2">
      <c r="A20">
        <v>7</v>
      </c>
      <c r="B20">
        <v>1</v>
      </c>
      <c r="C20">
        <v>0</v>
      </c>
      <c r="D20">
        <v>200</v>
      </c>
      <c r="E20">
        <v>0.02</v>
      </c>
      <c r="F20">
        <v>0.6</v>
      </c>
      <c r="G20">
        <v>0.6</v>
      </c>
      <c r="H20">
        <f>MAX(0.5,MIN(0.99,Boosting_Lite!I94-ABS(D20-150)/800-ABS(LOG10(E20)+1.7)*0.04))</f>
        <v>0.51523657795121847</v>
      </c>
    </row>
    <row r="21" spans="1:11" x14ac:dyDescent="0.2">
      <c r="A21">
        <v>7</v>
      </c>
      <c r="B21">
        <v>1</v>
      </c>
      <c r="C21">
        <v>0</v>
      </c>
      <c r="D21">
        <v>200</v>
      </c>
      <c r="E21">
        <v>0.1</v>
      </c>
      <c r="F21">
        <v>0.6</v>
      </c>
      <c r="G21">
        <v>0.6</v>
      </c>
      <c r="H21">
        <f>MAX(0.5,MIN(0.99,Boosting_Lite!I94-ABS(D21-150)/800-ABS(LOG10(E21)+1.7)*0.04))</f>
        <v>0.5</v>
      </c>
    </row>
    <row r="22" spans="1:11" x14ac:dyDescent="0.2">
      <c r="A22">
        <v>7</v>
      </c>
      <c r="B22">
        <v>1</v>
      </c>
      <c r="C22">
        <v>0</v>
      </c>
      <c r="D22">
        <v>250</v>
      </c>
      <c r="E22">
        <v>1E-3</v>
      </c>
      <c r="F22">
        <v>0.6</v>
      </c>
      <c r="G22">
        <v>0.6</v>
      </c>
      <c r="H22">
        <f>MAX(0.5,MIN(0.99,Boosting_Lite!I94-ABS(D22-150)/800-ABS(LOG10(E22)+1.7)*0.04))</f>
        <v>0.5</v>
      </c>
    </row>
    <row r="23" spans="1:11" x14ac:dyDescent="0.2">
      <c r="A23">
        <v>7</v>
      </c>
      <c r="B23">
        <v>1</v>
      </c>
      <c r="C23">
        <v>0</v>
      </c>
      <c r="D23">
        <v>250</v>
      </c>
      <c r="E23">
        <v>2E-3</v>
      </c>
      <c r="F23">
        <v>0.6</v>
      </c>
      <c r="G23">
        <v>0.6</v>
      </c>
      <c r="H23">
        <f>MAX(0.5,MIN(0.99,Boosting_Lite!I94-ABS(D23-150)/800-ABS(LOG10(E23)+1.7)*0.04))</f>
        <v>0.5</v>
      </c>
    </row>
    <row r="24" spans="1:11" x14ac:dyDescent="0.2">
      <c r="A24">
        <v>7</v>
      </c>
      <c r="B24">
        <v>1</v>
      </c>
      <c r="C24">
        <v>0</v>
      </c>
      <c r="D24">
        <v>250</v>
      </c>
      <c r="E24">
        <v>0.01</v>
      </c>
      <c r="F24">
        <v>0.6</v>
      </c>
      <c r="G24">
        <v>0.6</v>
      </c>
      <c r="H24">
        <f>MAX(0.5,MIN(0.99,Boosting_Lite!I94-ABS(D24-150)/800-ABS(LOG10(E24)+1.7)*0.04))</f>
        <v>0.5</v>
      </c>
    </row>
    <row r="25" spans="1:11" x14ac:dyDescent="0.2">
      <c r="A25">
        <v>7</v>
      </c>
      <c r="B25">
        <v>1</v>
      </c>
      <c r="C25">
        <v>0</v>
      </c>
      <c r="D25">
        <v>250</v>
      </c>
      <c r="E25">
        <v>0.02</v>
      </c>
      <c r="F25">
        <v>0.6</v>
      </c>
      <c r="G25">
        <v>0.6</v>
      </c>
      <c r="H25">
        <f>MAX(0.5,MIN(0.99,Boosting_Lite!I94-ABS(D25-150)/800-ABS(LOG10(E25)+1.7)*0.04))</f>
        <v>0.5</v>
      </c>
    </row>
    <row r="26" spans="1:11" x14ac:dyDescent="0.2">
      <c r="A26">
        <v>7</v>
      </c>
      <c r="B26">
        <v>1</v>
      </c>
      <c r="C26">
        <v>0</v>
      </c>
      <c r="D26">
        <v>250</v>
      </c>
      <c r="E26">
        <v>0.1</v>
      </c>
      <c r="F26">
        <v>0.6</v>
      </c>
      <c r="G26">
        <v>0.6</v>
      </c>
      <c r="H26">
        <f>MAX(0.5,MIN(0.99,Boosting_Lite!I94-ABS(D26-150)/800-ABS(LOG10(E26)+1.7)*0.04))</f>
        <v>0.5</v>
      </c>
    </row>
    <row r="30" spans="1:11" x14ac:dyDescent="0.2">
      <c r="A30" t="s">
        <v>94</v>
      </c>
      <c r="B30" t="s">
        <v>95</v>
      </c>
      <c r="C30" t="s">
        <v>213</v>
      </c>
      <c r="D30" t="s">
        <v>97</v>
      </c>
      <c r="E30" t="s">
        <v>98</v>
      </c>
      <c r="G30" t="s">
        <v>108</v>
      </c>
      <c r="H30" t="s">
        <v>109</v>
      </c>
      <c r="I30" t="s">
        <v>110</v>
      </c>
      <c r="K30" t="s">
        <v>214</v>
      </c>
    </row>
    <row r="31" spans="1:11" x14ac:dyDescent="0.2">
      <c r="A31">
        <f>Data!A206</f>
        <v>205</v>
      </c>
      <c r="B31">
        <f>Data!L206</f>
        <v>1</v>
      </c>
      <c r="C31">
        <f>MIN(0.999,MAX(0.001,ClassTree!P2+0.15*LOG10($J$2)+0.08*($J$4-0.02)+0.03*IF(Data!C206&gt;ClassTree!$L$2,1,-1)))</f>
        <v>0.9362009229009054</v>
      </c>
      <c r="D31">
        <f>IF(C31&gt;=Controls!$B$2,1,0)</f>
        <v>1</v>
      </c>
      <c r="E31">
        <f t="shared" ref="E31:E62" si="0">--(D31=B31)</f>
        <v>1</v>
      </c>
      <c r="G31">
        <v>0</v>
      </c>
      <c r="H31">
        <f>IF(COUNTIF(B31:B120,1)=0,0,COUNTIFS(B31:B120,1,C31:C120,"&gt;="&amp;G31)/COUNTIF(B31:B120,1))</f>
        <v>1</v>
      </c>
      <c r="I31">
        <f>IF(COUNTIF(B31:B120,0)=0,0,COUNTIFS(B31:B120,0,C31:C120,"&gt;="&amp;G31)/COUNTIF(B31:B120,0))</f>
        <v>1</v>
      </c>
      <c r="K31">
        <f>SUMPRODUCT((I31:I50-I32:I51),(H31:H50+H32:H51)/2)</f>
        <v>0.55912914398812463</v>
      </c>
    </row>
    <row r="32" spans="1:11" x14ac:dyDescent="0.2">
      <c r="A32">
        <f>Data!A208</f>
        <v>207</v>
      </c>
      <c r="B32">
        <f>Data!L208</f>
        <v>1</v>
      </c>
      <c r="C32">
        <f>MIN(0.999,MAX(0.001,ClassTree!P3+0.15*LOG10($J$2)+0.08*($J$4-0.02)+0.03*IF(Data!C208&gt;ClassTree!$L$2,1,-1)))</f>
        <v>0.9362009229009054</v>
      </c>
      <c r="D32">
        <f>IF(C32&gt;=Controls!$B$2,1,0)</f>
        <v>1</v>
      </c>
      <c r="E32">
        <f t="shared" si="0"/>
        <v>1</v>
      </c>
      <c r="G32">
        <v>0.05</v>
      </c>
      <c r="H32">
        <f>IF(COUNTIF(B31:B120,1)=0,0,COUNTIFS(B31:B120,1,C31:C120,"&gt;="&amp;G32)/COUNTIF(B31:B120,1))</f>
        <v>1</v>
      </c>
      <c r="I32">
        <f>IF(COUNTIF(B31:B120,0)=0,0,COUNTIFS(B31:B120,0,C31:C120,"&gt;="&amp;G32)/COUNTIF(B31:B120,0))</f>
        <v>1</v>
      </c>
    </row>
    <row r="33" spans="1:9" x14ac:dyDescent="0.2">
      <c r="A33">
        <f>Data!A209</f>
        <v>208</v>
      </c>
      <c r="B33">
        <f>Data!L209</f>
        <v>1</v>
      </c>
      <c r="C33">
        <f>MIN(0.999,MAX(0.001,ClassTree!P4+0.15*LOG10($J$2)+0.08*($J$4-0.02)+0.03*IF(Data!C209&gt;ClassTree!$L$2,1,-1)))</f>
        <v>0.9362009229009054</v>
      </c>
      <c r="D33">
        <f>IF(C33&gt;=Controls!$B$2,1,0)</f>
        <v>1</v>
      </c>
      <c r="E33">
        <f t="shared" si="0"/>
        <v>1</v>
      </c>
      <c r="G33">
        <v>0.1</v>
      </c>
      <c r="H33">
        <f>IF(COUNTIF(B31:B120,1)=0,0,COUNTIFS(B31:B120,1,C31:C120,"&gt;="&amp;G33)/COUNTIF(B31:B120,1))</f>
        <v>1</v>
      </c>
      <c r="I33">
        <f>IF(COUNTIF(B31:B120,0)=0,0,COUNTIFS(B31:B120,0,C31:C120,"&gt;="&amp;G33)/COUNTIF(B31:B120,0))</f>
        <v>1</v>
      </c>
    </row>
    <row r="34" spans="1:9" x14ac:dyDescent="0.2">
      <c r="A34">
        <f>Data!A210</f>
        <v>209</v>
      </c>
      <c r="B34">
        <f>Data!L210</f>
        <v>1</v>
      </c>
      <c r="C34">
        <f>MIN(0.999,MAX(0.001,ClassTree!P5+0.15*LOG10($J$2)+0.08*($J$4-0.02)+0.03*IF(Data!C210&gt;ClassTree!$L$2,1,-1)))</f>
        <v>0.9362009229009054</v>
      </c>
      <c r="D34">
        <f>IF(C34&gt;=Controls!$B$2,1,0)</f>
        <v>1</v>
      </c>
      <c r="E34">
        <f t="shared" si="0"/>
        <v>1</v>
      </c>
      <c r="G34">
        <v>0.15</v>
      </c>
      <c r="H34">
        <f>IF(COUNTIF(B31:B120,1)=0,0,COUNTIFS(B31:B120,1,C31:C120,"&gt;="&amp;G34)/COUNTIF(B31:B120,1))</f>
        <v>1</v>
      </c>
      <c r="I34">
        <f>IF(COUNTIF(B31:B120,0)=0,0,COUNTIFS(B31:B120,0,C31:C120,"&gt;="&amp;G34)/COUNTIF(B31:B120,0))</f>
        <v>1</v>
      </c>
    </row>
    <row r="35" spans="1:9" x14ac:dyDescent="0.2">
      <c r="A35">
        <f>Data!A212</f>
        <v>211</v>
      </c>
      <c r="B35">
        <f>Data!L212</f>
        <v>1</v>
      </c>
      <c r="C35">
        <f>MIN(0.999,MAX(0.001,ClassTree!P6+0.15*LOG10($J$2)+0.08*($J$4-0.02)+0.03*IF(Data!C212&gt;ClassTree!$L$2,1,-1)))</f>
        <v>0.9362009229009054</v>
      </c>
      <c r="D35">
        <f>IF(C35&gt;=Controls!$B$2,1,0)</f>
        <v>1</v>
      </c>
      <c r="E35">
        <f t="shared" si="0"/>
        <v>1</v>
      </c>
      <c r="G35">
        <v>0.2</v>
      </c>
      <c r="H35">
        <f>IF(COUNTIF(B31:B120,1)=0,0,COUNTIFS(B31:B120,1,C31:C120,"&gt;="&amp;G35)/COUNTIF(B31:B120,1))</f>
        <v>1</v>
      </c>
      <c r="I35">
        <f>IF(COUNTIF(B31:B120,0)=0,0,COUNTIFS(B31:B120,0,C31:C120,"&gt;="&amp;G35)/COUNTIF(B31:B120,0))</f>
        <v>1</v>
      </c>
    </row>
    <row r="36" spans="1:9" x14ac:dyDescent="0.2">
      <c r="A36">
        <f>Data!A214</f>
        <v>213</v>
      </c>
      <c r="B36">
        <f>Data!L214</f>
        <v>1</v>
      </c>
      <c r="C36">
        <f>MIN(0.999,MAX(0.001,ClassTree!P7+0.15*LOG10($J$2)+0.08*($J$4-0.02)+0.03*IF(Data!C214&gt;ClassTree!$L$2,1,-1)))</f>
        <v>0.9362009229009054</v>
      </c>
      <c r="D36">
        <f>IF(C36&gt;=Controls!$B$2,1,0)</f>
        <v>1</v>
      </c>
      <c r="E36">
        <f t="shared" si="0"/>
        <v>1</v>
      </c>
      <c r="G36">
        <v>0.25</v>
      </c>
      <c r="H36">
        <f>IF(COUNTIF(B31:B120,1)=0,0,COUNTIFS(B31:B120,1,C31:C120,"&gt;="&amp;G36)/COUNTIF(B31:B120,1))</f>
        <v>1</v>
      </c>
      <c r="I36">
        <f>IF(COUNTIF(B31:B120,0)=0,0,COUNTIFS(B31:B120,0,C31:C120,"&gt;="&amp;G36)/COUNTIF(B31:B120,0))</f>
        <v>1</v>
      </c>
    </row>
    <row r="37" spans="1:9" x14ac:dyDescent="0.2">
      <c r="A37">
        <f>Data!A215</f>
        <v>214</v>
      </c>
      <c r="B37">
        <f>Data!L215</f>
        <v>1</v>
      </c>
      <c r="C37">
        <f>MIN(0.999,MAX(0.001,ClassTree!P8+0.15*LOG10($J$2)+0.08*($J$4-0.02)+0.03*IF(Data!C215&gt;ClassTree!$L$2,1,-1)))</f>
        <v>0.9362009229009054</v>
      </c>
      <c r="D37">
        <f>IF(C37&gt;=Controls!$B$2,1,0)</f>
        <v>1</v>
      </c>
      <c r="E37">
        <f t="shared" si="0"/>
        <v>1</v>
      </c>
      <c r="G37">
        <v>0.3</v>
      </c>
      <c r="H37">
        <f>IF(COUNTIF(B31:B120,1)=0,0,COUNTIFS(B31:B120,1,C31:C120,"&gt;="&amp;G37)/COUNTIF(B31:B120,1))</f>
        <v>1</v>
      </c>
      <c r="I37">
        <f>IF(COUNTIF(B31:B120,0)=0,0,COUNTIFS(B31:B120,0,C31:C120,"&gt;="&amp;G37)/COUNTIF(B31:B120,0))</f>
        <v>1</v>
      </c>
    </row>
    <row r="38" spans="1:9" x14ac:dyDescent="0.2">
      <c r="A38">
        <f>Data!A217</f>
        <v>216</v>
      </c>
      <c r="B38">
        <f>Data!L217</f>
        <v>1</v>
      </c>
      <c r="C38">
        <f>MIN(0.999,MAX(0.001,ClassTree!P9+0.15*LOG10($J$2)+0.08*($J$4-0.02)+0.03*IF(Data!C217&gt;ClassTree!$L$2,1,-1)))</f>
        <v>0.9362009229009054</v>
      </c>
      <c r="D38">
        <f>IF(C38&gt;=Controls!$B$2,1,0)</f>
        <v>1</v>
      </c>
      <c r="E38">
        <f t="shared" si="0"/>
        <v>1</v>
      </c>
      <c r="G38">
        <v>0.35</v>
      </c>
      <c r="H38">
        <f>IF(COUNTIF(B31:B120,1)=0,0,COUNTIFS(B31:B120,1,C31:C120,"&gt;="&amp;G38)/COUNTIF(B31:B120,1))</f>
        <v>0.97872340425531912</v>
      </c>
      <c r="I38">
        <f>IF(COUNTIF(B31:B120,0)=0,0,COUNTIFS(B31:B120,0,C31:C120,"&gt;="&amp;G38)/COUNTIF(B31:B120,0))</f>
        <v>0.86046511627906974</v>
      </c>
    </row>
    <row r="39" spans="1:9" x14ac:dyDescent="0.2">
      <c r="A39">
        <f>Data!A218</f>
        <v>217</v>
      </c>
      <c r="B39">
        <f>Data!L218</f>
        <v>1</v>
      </c>
      <c r="C39">
        <f>MIN(0.999,MAX(0.001,ClassTree!P10+0.15*LOG10($J$2)+0.08*($J$4-0.02)+0.03*IF(Data!C218&gt;ClassTree!$L$2,1,-1)))</f>
        <v>0.9362009229009054</v>
      </c>
      <c r="D39">
        <f>IF(C39&gt;=Controls!$B$2,1,0)</f>
        <v>1</v>
      </c>
      <c r="E39">
        <f t="shared" si="0"/>
        <v>1</v>
      </c>
      <c r="G39">
        <v>0.4</v>
      </c>
      <c r="H39">
        <f>IF(COUNTIF(B31:B120,1)=0,0,COUNTIFS(B31:B120,1,C31:C120,"&gt;="&amp;G39)/COUNTIF(B31:B120,1))</f>
        <v>0.97872340425531912</v>
      </c>
      <c r="I39">
        <f>IF(COUNTIF(B31:B120,0)=0,0,COUNTIFS(B31:B120,0,C31:C120,"&gt;="&amp;G39)/COUNTIF(B31:B120,0))</f>
        <v>0.86046511627906974</v>
      </c>
    </row>
    <row r="40" spans="1:9" x14ac:dyDescent="0.2">
      <c r="A40">
        <f>Data!A220</f>
        <v>219</v>
      </c>
      <c r="B40">
        <f>Data!L220</f>
        <v>1</v>
      </c>
      <c r="C40">
        <f>MIN(0.999,MAX(0.001,ClassTree!P11+0.15*LOG10($J$2)+0.08*($J$4-0.02)+0.03*IF(Data!C220&gt;ClassTree!$L$2,1,-1)))</f>
        <v>0.9362009229009054</v>
      </c>
      <c r="D40">
        <f>IF(C40&gt;=Controls!$B$2,1,0)</f>
        <v>1</v>
      </c>
      <c r="E40">
        <f t="shared" si="0"/>
        <v>1</v>
      </c>
      <c r="G40">
        <v>0.45</v>
      </c>
      <c r="H40">
        <f>IF(COUNTIF(B31:B120,1)=0,0,COUNTIFS(B31:B120,1,C31:C120,"&gt;="&amp;G40)/COUNTIF(B31:B120,1))</f>
        <v>0.97872340425531912</v>
      </c>
      <c r="I40">
        <f>IF(COUNTIF(B31:B120,0)=0,0,COUNTIFS(B31:B120,0,C31:C120,"&gt;="&amp;G40)/COUNTIF(B31:B120,0))</f>
        <v>0.86046511627906974</v>
      </c>
    </row>
    <row r="41" spans="1:9" x14ac:dyDescent="0.2">
      <c r="A41">
        <f>Data!A222</f>
        <v>221</v>
      </c>
      <c r="B41">
        <f>Data!L222</f>
        <v>0</v>
      </c>
      <c r="C41">
        <f>MIN(0.999,MAX(0.001,ClassTree!P12+0.15*LOG10($J$2)+0.08*($J$4-0.02)+0.03*IF(Data!C222&gt;ClassTree!$L$2,1,-1)))</f>
        <v>0.9362009229009054</v>
      </c>
      <c r="D41">
        <f>IF(C41&gt;=Controls!$B$2,1,0)</f>
        <v>1</v>
      </c>
      <c r="E41">
        <f t="shared" si="0"/>
        <v>0</v>
      </c>
      <c r="G41">
        <v>0.5</v>
      </c>
      <c r="H41">
        <f>IF(COUNTIF(B31:B120,1)=0,0,COUNTIFS(B31:B120,1,C31:C120,"&gt;="&amp;G41)/COUNTIF(B31:B120,1))</f>
        <v>0.97872340425531912</v>
      </c>
      <c r="I41">
        <f>IF(COUNTIF(B31:B120,0)=0,0,COUNTIFS(B31:B120,0,C31:C120,"&gt;="&amp;G41)/COUNTIF(B31:B120,0))</f>
        <v>0.86046511627906974</v>
      </c>
    </row>
    <row r="42" spans="1:9" x14ac:dyDescent="0.2">
      <c r="A42">
        <f>Data!A223</f>
        <v>222</v>
      </c>
      <c r="B42">
        <f>Data!L223</f>
        <v>0</v>
      </c>
      <c r="C42">
        <f>MIN(0.999,MAX(0.001,ClassTree!P13+0.15*LOG10($J$2)+0.08*($J$4-0.02)+0.03*IF(Data!C223&gt;ClassTree!$L$2,1,-1)))</f>
        <v>0.9362009229009054</v>
      </c>
      <c r="D42">
        <f>IF(C42&gt;=Controls!$B$2,1,0)</f>
        <v>1</v>
      </c>
      <c r="E42">
        <f t="shared" si="0"/>
        <v>0</v>
      </c>
      <c r="G42">
        <v>0.55000000000000004</v>
      </c>
      <c r="H42">
        <f>IF(COUNTIF(B31:B120,1)=0,0,COUNTIFS(B31:B120,1,C31:C120,"&gt;="&amp;G42)/COUNTIF(B31:B120,1))</f>
        <v>0.97872340425531912</v>
      </c>
      <c r="I42">
        <f>IF(COUNTIF(B31:B120,0)=0,0,COUNTIFS(B31:B120,0,C31:C120,"&gt;="&amp;G42)/COUNTIF(B31:B120,0))</f>
        <v>0.86046511627906974</v>
      </c>
    </row>
    <row r="43" spans="1:9" x14ac:dyDescent="0.2">
      <c r="A43">
        <f>Data!A224</f>
        <v>223</v>
      </c>
      <c r="B43">
        <f>Data!L224</f>
        <v>0</v>
      </c>
      <c r="C43">
        <f>MIN(0.999,MAX(0.001,ClassTree!P14+0.15*LOG10($J$2)+0.08*($J$4-0.02)+0.03*IF(Data!C224&gt;ClassTree!$L$2,1,-1)))</f>
        <v>0.9362009229009054</v>
      </c>
      <c r="D43">
        <f>IF(C43&gt;=Controls!$B$2,1,0)</f>
        <v>1</v>
      </c>
      <c r="E43">
        <f t="shared" si="0"/>
        <v>0</v>
      </c>
      <c r="G43">
        <v>0.6</v>
      </c>
      <c r="H43">
        <f>IF(COUNTIF(B31:B120,1)=0,0,COUNTIFS(B31:B120,1,C31:C120,"&gt;="&amp;G43)/COUNTIF(B31:B120,1))</f>
        <v>0.97872340425531912</v>
      </c>
      <c r="I43">
        <f>IF(COUNTIF(B31:B120,0)=0,0,COUNTIFS(B31:B120,0,C31:C120,"&gt;="&amp;G43)/COUNTIF(B31:B120,0))</f>
        <v>0.86046511627906974</v>
      </c>
    </row>
    <row r="44" spans="1:9" x14ac:dyDescent="0.2">
      <c r="A44">
        <f>Data!A225</f>
        <v>224</v>
      </c>
      <c r="B44">
        <f>Data!L225</f>
        <v>1</v>
      </c>
      <c r="C44">
        <f>MIN(0.999,MAX(0.001,ClassTree!P15+0.15*LOG10($J$2)+0.08*($J$4-0.02)+0.03*IF(Data!C225&gt;ClassTree!$L$2,1,-1)))</f>
        <v>0.9362009229009054</v>
      </c>
      <c r="D44">
        <f>IF(C44&gt;=Controls!$B$2,1,0)</f>
        <v>1</v>
      </c>
      <c r="E44">
        <f t="shared" si="0"/>
        <v>1</v>
      </c>
      <c r="G44">
        <v>0.65</v>
      </c>
      <c r="H44">
        <f>IF(COUNTIF(B31:B120,1)=0,0,COUNTIFS(B31:B120,1,C31:C120,"&gt;="&amp;G44)/COUNTIF(B31:B120,1))</f>
        <v>0.97872340425531912</v>
      </c>
      <c r="I44">
        <f>IF(COUNTIF(B31:B120,0)=0,0,COUNTIFS(B31:B120,0,C31:C120,"&gt;="&amp;G44)/COUNTIF(B31:B120,0))</f>
        <v>0.86046511627906974</v>
      </c>
    </row>
    <row r="45" spans="1:9" x14ac:dyDescent="0.2">
      <c r="A45">
        <f>Data!A226</f>
        <v>225</v>
      </c>
      <c r="B45">
        <f>Data!L226</f>
        <v>0</v>
      </c>
      <c r="C45">
        <f>MIN(0.999,MAX(0.001,ClassTree!P16+0.15*LOG10($J$2)+0.08*($J$4-0.02)+0.03*IF(Data!C226&gt;ClassTree!$L$2,1,-1)))</f>
        <v>0.3418682343128977</v>
      </c>
      <c r="D45">
        <f>IF(C45&gt;=Controls!$B$2,1,0)</f>
        <v>0</v>
      </c>
      <c r="E45">
        <f t="shared" si="0"/>
        <v>1</v>
      </c>
      <c r="G45">
        <v>0.7</v>
      </c>
      <c r="H45">
        <f>IF(COUNTIF(B31:B120,1)=0,0,COUNTIFS(B31:B120,1,C31:C120,"&gt;="&amp;G45)/COUNTIF(B31:B120,1))</f>
        <v>0.97872340425531912</v>
      </c>
      <c r="I45">
        <f>IF(COUNTIF(B31:B120,0)=0,0,COUNTIFS(B31:B120,0,C31:C120,"&gt;="&amp;G45)/COUNTIF(B31:B120,0))</f>
        <v>0.86046511627906974</v>
      </c>
    </row>
    <row r="46" spans="1:9" x14ac:dyDescent="0.2">
      <c r="A46">
        <f>Data!A227</f>
        <v>226</v>
      </c>
      <c r="B46">
        <f>Data!L227</f>
        <v>0</v>
      </c>
      <c r="C46">
        <f>MIN(0.999,MAX(0.001,ClassTree!P17+0.15*LOG10($J$2)+0.08*($J$4-0.02)+0.03*IF(Data!C227&gt;ClassTree!$L$2,1,-1)))</f>
        <v>0.9362009229009054</v>
      </c>
      <c r="D46">
        <f>IF(C46&gt;=Controls!$B$2,1,0)</f>
        <v>1</v>
      </c>
      <c r="E46">
        <f t="shared" si="0"/>
        <v>0</v>
      </c>
      <c r="G46">
        <v>0.75</v>
      </c>
      <c r="H46">
        <f>IF(COUNTIF(B31:B120,1)=0,0,COUNTIFS(B31:B120,1,C31:C120,"&gt;="&amp;G46)/COUNTIF(B31:B120,1))</f>
        <v>0.97872340425531912</v>
      </c>
      <c r="I46">
        <f>IF(COUNTIF(B31:B120,0)=0,0,COUNTIFS(B31:B120,0,C31:C120,"&gt;="&amp;G46)/COUNTIF(B31:B120,0))</f>
        <v>0.86046511627906974</v>
      </c>
    </row>
    <row r="47" spans="1:9" x14ac:dyDescent="0.2">
      <c r="A47">
        <f>Data!A228</f>
        <v>227</v>
      </c>
      <c r="B47">
        <f>Data!L228</f>
        <v>0</v>
      </c>
      <c r="C47">
        <f>MIN(0.999,MAX(0.001,ClassTree!P18+0.15*LOG10($J$2)+0.08*($J$4-0.02)+0.03*IF(Data!C228&gt;ClassTree!$L$2,1,-1)))</f>
        <v>0.3418682343128977</v>
      </c>
      <c r="D47">
        <f>IF(C47&gt;=Controls!$B$2,1,0)</f>
        <v>0</v>
      </c>
      <c r="E47">
        <f t="shared" si="0"/>
        <v>1</v>
      </c>
      <c r="G47">
        <v>0.8</v>
      </c>
      <c r="H47">
        <f>IF(COUNTIF(B31:B120,1)=0,0,COUNTIFS(B31:B120,1,C31:C120,"&gt;="&amp;G47)/COUNTIF(B31:B120,1))</f>
        <v>0.97872340425531912</v>
      </c>
      <c r="I47">
        <f>IF(COUNTIF(B31:B120,0)=0,0,COUNTIFS(B31:B120,0,C31:C120,"&gt;="&amp;G47)/COUNTIF(B31:B120,0))</f>
        <v>0.86046511627906974</v>
      </c>
    </row>
    <row r="48" spans="1:9" x14ac:dyDescent="0.2">
      <c r="A48">
        <f>Data!A229</f>
        <v>228</v>
      </c>
      <c r="B48">
        <f>Data!L229</f>
        <v>0</v>
      </c>
      <c r="C48">
        <f>MIN(0.999,MAX(0.001,ClassTree!P19+0.15*LOG10($J$2)+0.08*($J$4-0.02)+0.03*IF(Data!C229&gt;ClassTree!$L$2,1,-1)))</f>
        <v>0.9362009229009054</v>
      </c>
      <c r="D48">
        <f>IF(C48&gt;=Controls!$B$2,1,0)</f>
        <v>1</v>
      </c>
      <c r="E48">
        <f t="shared" si="0"/>
        <v>0</v>
      </c>
      <c r="G48">
        <v>0.85</v>
      </c>
      <c r="H48">
        <f>IF(COUNTIF(B31:B120,1)=0,0,COUNTIFS(B31:B120,1,C31:C120,"&gt;="&amp;G48)/COUNTIF(B31:B120,1))</f>
        <v>0.97872340425531912</v>
      </c>
      <c r="I48">
        <f>IF(COUNTIF(B31:B120,0)=0,0,COUNTIFS(B31:B120,0,C31:C120,"&gt;="&amp;G48)/COUNTIF(B31:B120,0))</f>
        <v>0.86046511627906974</v>
      </c>
    </row>
    <row r="49" spans="1:9" x14ac:dyDescent="0.2">
      <c r="A49">
        <f>Data!A230</f>
        <v>229</v>
      </c>
      <c r="B49">
        <f>Data!L230</f>
        <v>1</v>
      </c>
      <c r="C49">
        <f>MIN(0.999,MAX(0.001,ClassTree!P20+0.15*LOG10($J$2)+0.08*($J$4-0.02)+0.03*IF(Data!C230&gt;ClassTree!$L$2,1,-1)))</f>
        <v>0.9362009229009054</v>
      </c>
      <c r="D49">
        <f>IF(C49&gt;=Controls!$B$2,1,0)</f>
        <v>1</v>
      </c>
      <c r="E49">
        <f t="shared" si="0"/>
        <v>1</v>
      </c>
      <c r="G49">
        <v>0.9</v>
      </c>
      <c r="H49">
        <f>IF(COUNTIF(B31:B120,1)=0,0,COUNTIFS(B31:B120,1,C31:C120,"&gt;="&amp;G49)/COUNTIF(B31:B120,1))</f>
        <v>0.97872340425531912</v>
      </c>
      <c r="I49">
        <f>IF(COUNTIF(B31:B120,0)=0,0,COUNTIFS(B31:B120,0,C31:C120,"&gt;="&amp;G49)/COUNTIF(B31:B120,0))</f>
        <v>0.86046511627906974</v>
      </c>
    </row>
    <row r="50" spans="1:9" x14ac:dyDescent="0.2">
      <c r="A50">
        <f>Data!A231</f>
        <v>230</v>
      </c>
      <c r="B50">
        <f>Data!L231</f>
        <v>0</v>
      </c>
      <c r="C50">
        <f>MIN(0.999,MAX(0.001,ClassTree!P21+0.15*LOG10($J$2)+0.08*($J$4-0.02)+0.03*IF(Data!C231&gt;ClassTree!$L$2,1,-1)))</f>
        <v>0.9362009229009054</v>
      </c>
      <c r="D50">
        <f>IF(C50&gt;=Controls!$B$2,1,0)</f>
        <v>1</v>
      </c>
      <c r="E50">
        <f t="shared" si="0"/>
        <v>0</v>
      </c>
      <c r="G50">
        <v>0.95</v>
      </c>
      <c r="H50">
        <f>IF(COUNTIF(B31:B120,1)=0,0,COUNTIFS(B31:B120,1,C31:C120,"&gt;="&amp;G50)/COUNTIF(B31:B120,1))</f>
        <v>0</v>
      </c>
      <c r="I50">
        <f>IF(COUNTIF(B31:B120,0)=0,0,COUNTIFS(B31:B120,0,C31:C120,"&gt;="&amp;G50)/COUNTIF(B31:B120,0))</f>
        <v>0</v>
      </c>
    </row>
    <row r="51" spans="1:9" x14ac:dyDescent="0.2">
      <c r="A51">
        <f>Data!A232</f>
        <v>231</v>
      </c>
      <c r="B51">
        <f>Data!L232</f>
        <v>0</v>
      </c>
      <c r="C51">
        <f>MIN(0.999,MAX(0.001,ClassTree!P22+0.15*LOG10($J$2)+0.08*($J$4-0.02)+0.03*IF(Data!C232&gt;ClassTree!$L$2,1,-1)))</f>
        <v>0.9362009229009054</v>
      </c>
      <c r="D51">
        <f>IF(C51&gt;=Controls!$B$2,1,0)</f>
        <v>1</v>
      </c>
      <c r="E51">
        <f t="shared" si="0"/>
        <v>0</v>
      </c>
      <c r="G51">
        <v>1</v>
      </c>
      <c r="H51">
        <f>IF(COUNTIF(B31:B120,1)=0,0,COUNTIFS(B31:B120,1,C31:C120,"&gt;="&amp;G51)/COUNTIF(B31:B120,1))</f>
        <v>0</v>
      </c>
      <c r="I51">
        <f>IF(COUNTIF(B31:B120,0)=0,0,COUNTIFS(B31:B120,0,C31:C120,"&gt;="&amp;G51)/COUNTIF(B31:B120,0))</f>
        <v>0</v>
      </c>
    </row>
    <row r="52" spans="1:9" x14ac:dyDescent="0.2">
      <c r="A52">
        <f>Data!A233</f>
        <v>232</v>
      </c>
      <c r="B52">
        <f>Data!L233</f>
        <v>1</v>
      </c>
      <c r="C52">
        <f>MIN(0.999,MAX(0.001,ClassTree!P23+0.15*LOG10($J$2)+0.08*($J$4-0.02)+0.03*IF(Data!C233&gt;ClassTree!$L$2,1,-1)))</f>
        <v>0.9362009229009054</v>
      </c>
      <c r="D52">
        <f>IF(C52&gt;=Controls!$B$2,1,0)</f>
        <v>1</v>
      </c>
      <c r="E52">
        <f t="shared" si="0"/>
        <v>1</v>
      </c>
    </row>
    <row r="53" spans="1:9" x14ac:dyDescent="0.2">
      <c r="A53">
        <f>Data!A234</f>
        <v>233</v>
      </c>
      <c r="B53">
        <f>Data!L234</f>
        <v>1</v>
      </c>
      <c r="C53">
        <f>MIN(0.999,MAX(0.001,ClassTree!P24+0.15*LOG10($J$2)+0.08*($J$4-0.02)+0.03*IF(Data!C234&gt;ClassTree!$L$2,1,-1)))</f>
        <v>0.9362009229009054</v>
      </c>
      <c r="D53">
        <f>IF(C53&gt;=Controls!$B$2,1,0)</f>
        <v>1</v>
      </c>
      <c r="E53">
        <f t="shared" si="0"/>
        <v>1</v>
      </c>
    </row>
    <row r="54" spans="1:9" x14ac:dyDescent="0.2">
      <c r="A54">
        <f>Data!A235</f>
        <v>234</v>
      </c>
      <c r="B54">
        <f>Data!L235</f>
        <v>1</v>
      </c>
      <c r="C54">
        <f>MIN(0.999,MAX(0.001,ClassTree!P25+0.15*LOG10($J$2)+0.08*($J$4-0.02)+0.03*IF(Data!C235&gt;ClassTree!$L$2,1,-1)))</f>
        <v>0.9362009229009054</v>
      </c>
      <c r="D54">
        <f>IF(C54&gt;=Controls!$B$2,1,0)</f>
        <v>1</v>
      </c>
      <c r="E54">
        <f t="shared" si="0"/>
        <v>1</v>
      </c>
    </row>
    <row r="55" spans="1:9" x14ac:dyDescent="0.2">
      <c r="A55">
        <f>Data!A236</f>
        <v>235</v>
      </c>
      <c r="B55">
        <f>Data!L236</f>
        <v>0</v>
      </c>
      <c r="C55">
        <f>MIN(0.999,MAX(0.001,ClassTree!P26+0.15*LOG10($J$2)+0.08*($J$4-0.02)+0.03*IF(Data!C236&gt;ClassTree!$L$2,1,-1)))</f>
        <v>0.3418682343128977</v>
      </c>
      <c r="D55">
        <f>IF(C55&gt;=Controls!$B$2,1,0)</f>
        <v>0</v>
      </c>
      <c r="E55">
        <f t="shared" si="0"/>
        <v>1</v>
      </c>
    </row>
    <row r="56" spans="1:9" x14ac:dyDescent="0.2">
      <c r="A56">
        <f>Data!A237</f>
        <v>236</v>
      </c>
      <c r="B56">
        <f>Data!L237</f>
        <v>0</v>
      </c>
      <c r="C56">
        <f>MIN(0.999,MAX(0.001,ClassTree!P27+0.15*LOG10($J$2)+0.08*($J$4-0.02)+0.03*IF(Data!C237&gt;ClassTree!$L$2,1,-1)))</f>
        <v>0.9362009229009054</v>
      </c>
      <c r="D56">
        <f>IF(C56&gt;=Controls!$B$2,1,0)</f>
        <v>1</v>
      </c>
      <c r="E56">
        <f t="shared" si="0"/>
        <v>0</v>
      </c>
    </row>
    <row r="57" spans="1:9" x14ac:dyDescent="0.2">
      <c r="A57">
        <f>Data!A238</f>
        <v>237</v>
      </c>
      <c r="B57">
        <f>Data!L238</f>
        <v>1</v>
      </c>
      <c r="C57">
        <f>MIN(0.999,MAX(0.001,ClassTree!P28+0.15*LOG10($J$2)+0.08*($J$4-0.02)+0.03*IF(Data!C238&gt;ClassTree!$L$2,1,-1)))</f>
        <v>0.9362009229009054</v>
      </c>
      <c r="D57">
        <f>IF(C57&gt;=Controls!$B$2,1,0)</f>
        <v>1</v>
      </c>
      <c r="E57">
        <f t="shared" si="0"/>
        <v>1</v>
      </c>
    </row>
    <row r="58" spans="1:9" x14ac:dyDescent="0.2">
      <c r="A58">
        <f>Data!A239</f>
        <v>238</v>
      </c>
      <c r="B58">
        <f>Data!L239</f>
        <v>0</v>
      </c>
      <c r="C58">
        <f>MIN(0.999,MAX(0.001,ClassTree!P29+0.15*LOG10($J$2)+0.08*($J$4-0.02)+0.03*IF(Data!C239&gt;ClassTree!$L$2,1,-1)))</f>
        <v>0.9362009229009054</v>
      </c>
      <c r="D58">
        <f>IF(C58&gt;=Controls!$B$2,1,0)</f>
        <v>1</v>
      </c>
      <c r="E58">
        <f t="shared" si="0"/>
        <v>0</v>
      </c>
    </row>
    <row r="59" spans="1:9" x14ac:dyDescent="0.2">
      <c r="A59">
        <f>Data!A240</f>
        <v>239</v>
      </c>
      <c r="B59">
        <f>Data!L240</f>
        <v>0</v>
      </c>
      <c r="C59">
        <f>MIN(0.999,MAX(0.001,ClassTree!P30+0.15*LOG10($J$2)+0.08*($J$4-0.02)+0.03*IF(Data!C240&gt;ClassTree!$L$2,1,-1)))</f>
        <v>0.9362009229009054</v>
      </c>
      <c r="D59">
        <f>IF(C59&gt;=Controls!$B$2,1,0)</f>
        <v>1</v>
      </c>
      <c r="E59">
        <f t="shared" si="0"/>
        <v>0</v>
      </c>
    </row>
    <row r="60" spans="1:9" x14ac:dyDescent="0.2">
      <c r="A60">
        <f>Data!A241</f>
        <v>240</v>
      </c>
      <c r="B60">
        <f>Data!L241</f>
        <v>0</v>
      </c>
      <c r="C60">
        <f>MIN(0.999,MAX(0.001,ClassTree!P31+0.15*LOG10($J$2)+0.08*($J$4-0.02)+0.03*IF(Data!C241&gt;ClassTree!$L$2,1,-1)))</f>
        <v>0.9362009229009054</v>
      </c>
      <c r="D60">
        <f>IF(C60&gt;=Controls!$B$2,1,0)</f>
        <v>1</v>
      </c>
      <c r="E60">
        <f t="shared" si="0"/>
        <v>0</v>
      </c>
    </row>
    <row r="61" spans="1:9" x14ac:dyDescent="0.2">
      <c r="A61">
        <f>Data!A242</f>
        <v>241</v>
      </c>
      <c r="B61">
        <f>Data!L242</f>
        <v>0</v>
      </c>
      <c r="C61">
        <f>MIN(0.999,MAX(0.001,ClassTree!P32+0.15*LOG10($J$2)+0.08*($J$4-0.02)+0.03*IF(Data!C242&gt;ClassTree!$L$2,1,-1)))</f>
        <v>0.9362009229009054</v>
      </c>
      <c r="D61">
        <f>IF(C61&gt;=Controls!$B$2,1,0)</f>
        <v>1</v>
      </c>
      <c r="E61">
        <f t="shared" si="0"/>
        <v>0</v>
      </c>
    </row>
    <row r="62" spans="1:9" x14ac:dyDescent="0.2">
      <c r="A62">
        <f>Data!A243</f>
        <v>242</v>
      </c>
      <c r="B62">
        <f>Data!L243</f>
        <v>1</v>
      </c>
      <c r="C62">
        <f>MIN(0.999,MAX(0.001,ClassTree!P33+0.15*LOG10($J$2)+0.08*($J$4-0.02)+0.03*IF(Data!C243&gt;ClassTree!$L$2,1,-1)))</f>
        <v>0.9362009229009054</v>
      </c>
      <c r="D62">
        <f>IF(C62&gt;=Controls!$B$2,1,0)</f>
        <v>1</v>
      </c>
      <c r="E62">
        <f t="shared" si="0"/>
        <v>1</v>
      </c>
    </row>
    <row r="63" spans="1:9" x14ac:dyDescent="0.2">
      <c r="A63">
        <f>Data!A244</f>
        <v>243</v>
      </c>
      <c r="B63">
        <f>Data!L244</f>
        <v>0</v>
      </c>
      <c r="C63">
        <f>MIN(0.999,MAX(0.001,ClassTree!P34+0.15*LOG10($J$2)+0.08*($J$4-0.02)+0.03*IF(Data!C244&gt;ClassTree!$L$2,1,-1)))</f>
        <v>0.9362009229009054</v>
      </c>
      <c r="D63">
        <f>IF(C63&gt;=Controls!$B$2,1,0)</f>
        <v>1</v>
      </c>
      <c r="E63">
        <f t="shared" ref="E63:E94" si="1">--(D63=B63)</f>
        <v>0</v>
      </c>
    </row>
    <row r="64" spans="1:9" x14ac:dyDescent="0.2">
      <c r="A64">
        <f>Data!A245</f>
        <v>244</v>
      </c>
      <c r="B64">
        <f>Data!L245</f>
        <v>1</v>
      </c>
      <c r="C64">
        <f>MIN(0.999,MAX(0.001,ClassTree!P35+0.15*LOG10($J$2)+0.08*($J$4-0.02)+0.03*IF(Data!C245&gt;ClassTree!$L$2,1,-1)))</f>
        <v>0.9362009229009054</v>
      </c>
      <c r="D64">
        <f>IF(C64&gt;=Controls!$B$2,1,0)</f>
        <v>1</v>
      </c>
      <c r="E64">
        <f t="shared" si="1"/>
        <v>1</v>
      </c>
    </row>
    <row r="65" spans="1:5" x14ac:dyDescent="0.2">
      <c r="A65">
        <f>Data!A246</f>
        <v>245</v>
      </c>
      <c r="B65">
        <f>Data!L246</f>
        <v>1</v>
      </c>
      <c r="C65">
        <f>MIN(0.999,MAX(0.001,ClassTree!P36+0.15*LOG10($J$2)+0.08*($J$4-0.02)+0.03*IF(Data!C246&gt;ClassTree!$L$2,1,-1)))</f>
        <v>0.3418682343128977</v>
      </c>
      <c r="D65">
        <f>IF(C65&gt;=Controls!$B$2,1,0)</f>
        <v>0</v>
      </c>
      <c r="E65">
        <f t="shared" si="1"/>
        <v>0</v>
      </c>
    </row>
    <row r="66" spans="1:5" x14ac:dyDescent="0.2">
      <c r="A66">
        <f>Data!A247</f>
        <v>246</v>
      </c>
      <c r="B66">
        <f>Data!L247</f>
        <v>0</v>
      </c>
      <c r="C66">
        <f>MIN(0.999,MAX(0.001,ClassTree!P37+0.15*LOG10($J$2)+0.08*($J$4-0.02)+0.03*IF(Data!C247&gt;ClassTree!$L$2,1,-1)))</f>
        <v>0.3418682343128977</v>
      </c>
      <c r="D66">
        <f>IF(C66&gt;=Controls!$B$2,1,0)</f>
        <v>0</v>
      </c>
      <c r="E66">
        <f t="shared" si="1"/>
        <v>1</v>
      </c>
    </row>
    <row r="67" spans="1:5" x14ac:dyDescent="0.2">
      <c r="A67">
        <f>Data!A248</f>
        <v>247</v>
      </c>
      <c r="B67">
        <f>Data!L248</f>
        <v>0</v>
      </c>
      <c r="C67">
        <f>MIN(0.999,MAX(0.001,ClassTree!P38+0.15*LOG10($J$2)+0.08*($J$4-0.02)+0.03*IF(Data!C248&gt;ClassTree!$L$2,1,-1)))</f>
        <v>0.9362009229009054</v>
      </c>
      <c r="D67">
        <f>IF(C67&gt;=Controls!$B$2,1,0)</f>
        <v>1</v>
      </c>
      <c r="E67">
        <f t="shared" si="1"/>
        <v>0</v>
      </c>
    </row>
    <row r="68" spans="1:5" x14ac:dyDescent="0.2">
      <c r="A68">
        <f>Data!A249</f>
        <v>248</v>
      </c>
      <c r="B68">
        <f>Data!L249</f>
        <v>1</v>
      </c>
      <c r="C68">
        <f>MIN(0.999,MAX(0.001,ClassTree!P39+0.15*LOG10($J$2)+0.08*($J$4-0.02)+0.03*IF(Data!C249&gt;ClassTree!$L$2,1,-1)))</f>
        <v>0.9362009229009054</v>
      </c>
      <c r="D68">
        <f>IF(C68&gt;=Controls!$B$2,1,0)</f>
        <v>1</v>
      </c>
      <c r="E68">
        <f t="shared" si="1"/>
        <v>1</v>
      </c>
    </row>
    <row r="69" spans="1:5" x14ac:dyDescent="0.2">
      <c r="A69">
        <f>Data!A250</f>
        <v>249</v>
      </c>
      <c r="B69">
        <f>Data!L250</f>
        <v>0</v>
      </c>
      <c r="C69">
        <f>MIN(0.999,MAX(0.001,ClassTree!P40+0.15*LOG10($J$2)+0.08*($J$4-0.02)+0.03*IF(Data!C250&gt;ClassTree!$L$2,1,-1)))</f>
        <v>0.9362009229009054</v>
      </c>
      <c r="D69">
        <f>IF(C69&gt;=Controls!$B$2,1,0)</f>
        <v>1</v>
      </c>
      <c r="E69">
        <f t="shared" si="1"/>
        <v>0</v>
      </c>
    </row>
    <row r="70" spans="1:5" x14ac:dyDescent="0.2">
      <c r="A70">
        <f>Data!A251</f>
        <v>250</v>
      </c>
      <c r="B70">
        <f>Data!L251</f>
        <v>0</v>
      </c>
      <c r="C70">
        <f>MIN(0.999,MAX(0.001,ClassTree!P41+0.15*LOG10($J$2)+0.08*($J$4-0.02)+0.03*IF(Data!C251&gt;ClassTree!$L$2,1,-1)))</f>
        <v>0.9362009229009054</v>
      </c>
      <c r="D70">
        <f>IF(C70&gt;=Controls!$B$2,1,0)</f>
        <v>1</v>
      </c>
      <c r="E70">
        <f t="shared" si="1"/>
        <v>0</v>
      </c>
    </row>
    <row r="71" spans="1:5" x14ac:dyDescent="0.2">
      <c r="A71">
        <f>Data!A252</f>
        <v>251</v>
      </c>
      <c r="B71">
        <f>Data!L252</f>
        <v>0</v>
      </c>
      <c r="C71">
        <f>MIN(0.999,MAX(0.001,ClassTree!P42+0.15*LOG10($J$2)+0.08*($J$4-0.02)+0.03*IF(Data!C252&gt;ClassTree!$L$2,1,-1)))</f>
        <v>0.9362009229009054</v>
      </c>
      <c r="D71">
        <f>IF(C71&gt;=Controls!$B$2,1,0)</f>
        <v>1</v>
      </c>
      <c r="E71">
        <f t="shared" si="1"/>
        <v>0</v>
      </c>
    </row>
    <row r="72" spans="1:5" x14ac:dyDescent="0.2">
      <c r="A72">
        <f>Data!A253</f>
        <v>252</v>
      </c>
      <c r="B72">
        <f>Data!L253</f>
        <v>1</v>
      </c>
      <c r="C72">
        <f>MIN(0.999,MAX(0.001,ClassTree!P43+0.15*LOG10($J$2)+0.08*($J$4-0.02)+0.03*IF(Data!C253&gt;ClassTree!$L$2,1,-1)))</f>
        <v>0.9362009229009054</v>
      </c>
      <c r="D72">
        <f>IF(C72&gt;=Controls!$B$2,1,0)</f>
        <v>1</v>
      </c>
      <c r="E72">
        <f t="shared" si="1"/>
        <v>1</v>
      </c>
    </row>
    <row r="73" spans="1:5" x14ac:dyDescent="0.2">
      <c r="A73">
        <f>Data!A254</f>
        <v>253</v>
      </c>
      <c r="B73">
        <f>Data!L254</f>
        <v>0</v>
      </c>
      <c r="C73">
        <f>MIN(0.999,MAX(0.001,ClassTree!P44+0.15*LOG10($J$2)+0.08*($J$4-0.02)+0.03*IF(Data!C254&gt;ClassTree!$L$2,1,-1)))</f>
        <v>0.9362009229009054</v>
      </c>
      <c r="D73">
        <f>IF(C73&gt;=Controls!$B$2,1,0)</f>
        <v>1</v>
      </c>
      <c r="E73">
        <f t="shared" si="1"/>
        <v>0</v>
      </c>
    </row>
    <row r="74" spans="1:5" x14ac:dyDescent="0.2">
      <c r="A74">
        <f>Data!A255</f>
        <v>254</v>
      </c>
      <c r="B74">
        <f>Data!L255</f>
        <v>1</v>
      </c>
      <c r="C74">
        <f>MIN(0.999,MAX(0.001,ClassTree!P45+0.15*LOG10($J$2)+0.08*($J$4-0.02)+0.03*IF(Data!C255&gt;ClassTree!$L$2,1,-1)))</f>
        <v>0.9362009229009054</v>
      </c>
      <c r="D74">
        <f>IF(C74&gt;=Controls!$B$2,1,0)</f>
        <v>1</v>
      </c>
      <c r="E74">
        <f t="shared" si="1"/>
        <v>1</v>
      </c>
    </row>
    <row r="75" spans="1:5" x14ac:dyDescent="0.2">
      <c r="A75">
        <f>Data!A256</f>
        <v>255</v>
      </c>
      <c r="B75">
        <f>Data!L256</f>
        <v>0</v>
      </c>
      <c r="C75">
        <f>MIN(0.999,MAX(0.001,ClassTree!P46+0.15*LOG10($J$2)+0.08*($J$4-0.02)+0.03*IF(Data!C256&gt;ClassTree!$L$2,1,-1)))</f>
        <v>0.9362009229009054</v>
      </c>
      <c r="D75">
        <f>IF(C75&gt;=Controls!$B$2,1,0)</f>
        <v>1</v>
      </c>
      <c r="E75">
        <f t="shared" si="1"/>
        <v>0</v>
      </c>
    </row>
    <row r="76" spans="1:5" x14ac:dyDescent="0.2">
      <c r="A76">
        <f>Data!A257</f>
        <v>256</v>
      </c>
      <c r="B76">
        <f>Data!L257</f>
        <v>1</v>
      </c>
      <c r="C76">
        <f>MIN(0.999,MAX(0.001,ClassTree!P47+0.15*LOG10($J$2)+0.08*($J$4-0.02)+0.03*IF(Data!C257&gt;ClassTree!$L$2,1,-1)))</f>
        <v>0.9362009229009054</v>
      </c>
      <c r="D76">
        <f>IF(C76&gt;=Controls!$B$2,1,0)</f>
        <v>1</v>
      </c>
      <c r="E76">
        <f t="shared" si="1"/>
        <v>1</v>
      </c>
    </row>
    <row r="77" spans="1:5" x14ac:dyDescent="0.2">
      <c r="A77">
        <f>Data!A258</f>
        <v>257</v>
      </c>
      <c r="B77">
        <f>Data!L258</f>
        <v>1</v>
      </c>
      <c r="C77">
        <f>MIN(0.999,MAX(0.001,ClassTree!P48+0.15*LOG10($J$2)+0.08*($J$4-0.02)+0.03*IF(Data!C258&gt;ClassTree!$L$2,1,-1)))</f>
        <v>0.9362009229009054</v>
      </c>
      <c r="D77">
        <f>IF(C77&gt;=Controls!$B$2,1,0)</f>
        <v>1</v>
      </c>
      <c r="E77">
        <f t="shared" si="1"/>
        <v>1</v>
      </c>
    </row>
    <row r="78" spans="1:5" x14ac:dyDescent="0.2">
      <c r="A78">
        <f>Data!A259</f>
        <v>258</v>
      </c>
      <c r="B78">
        <f>Data!L259</f>
        <v>0</v>
      </c>
      <c r="C78">
        <f>MIN(0.999,MAX(0.001,ClassTree!P49+0.15*LOG10($J$2)+0.08*($J$4-0.02)+0.03*IF(Data!C259&gt;ClassTree!$L$2,1,-1)))</f>
        <v>0.9362009229009054</v>
      </c>
      <c r="D78">
        <f>IF(C78&gt;=Controls!$B$2,1,0)</f>
        <v>1</v>
      </c>
      <c r="E78">
        <f t="shared" si="1"/>
        <v>0</v>
      </c>
    </row>
    <row r="79" spans="1:5" x14ac:dyDescent="0.2">
      <c r="A79">
        <f>Data!A260</f>
        <v>259</v>
      </c>
      <c r="B79">
        <f>Data!L260</f>
        <v>1</v>
      </c>
      <c r="C79">
        <f>MIN(0.999,MAX(0.001,ClassTree!P50+0.15*LOG10($J$2)+0.08*($J$4-0.02)+0.03*IF(Data!C260&gt;ClassTree!$L$2,1,-1)))</f>
        <v>0.9362009229009054</v>
      </c>
      <c r="D79">
        <f>IF(C79&gt;=Controls!$B$2,1,0)</f>
        <v>1</v>
      </c>
      <c r="E79">
        <f t="shared" si="1"/>
        <v>1</v>
      </c>
    </row>
    <row r="80" spans="1:5" x14ac:dyDescent="0.2">
      <c r="A80">
        <f>Data!A261</f>
        <v>260</v>
      </c>
      <c r="B80">
        <f>Data!L261</f>
        <v>0</v>
      </c>
      <c r="C80">
        <f>MIN(0.999,MAX(0.001,ClassTree!P51+0.15*LOG10($J$2)+0.08*($J$4-0.02)+0.03*IF(Data!C261&gt;ClassTree!$L$2,1,-1)))</f>
        <v>0.9362009229009054</v>
      </c>
      <c r="D80">
        <f>IF(C80&gt;=Controls!$B$2,1,0)</f>
        <v>1</v>
      </c>
      <c r="E80">
        <f t="shared" si="1"/>
        <v>0</v>
      </c>
    </row>
    <row r="81" spans="1:5" x14ac:dyDescent="0.2">
      <c r="A81">
        <f>Data!A262</f>
        <v>261</v>
      </c>
      <c r="B81">
        <f>Data!L262</f>
        <v>0</v>
      </c>
      <c r="C81">
        <f>MIN(0.999,MAX(0.001,ClassTree!P52+0.15*LOG10($J$2)+0.08*($J$4-0.02)+0.03*IF(Data!C262&gt;ClassTree!$L$2,1,-1)))</f>
        <v>0.9362009229009054</v>
      </c>
      <c r="D81">
        <f>IF(C81&gt;=Controls!$B$2,1,0)</f>
        <v>1</v>
      </c>
      <c r="E81">
        <f t="shared" si="1"/>
        <v>0</v>
      </c>
    </row>
    <row r="82" spans="1:5" x14ac:dyDescent="0.2">
      <c r="A82">
        <f>Data!A263</f>
        <v>262</v>
      </c>
      <c r="B82">
        <f>Data!L263</f>
        <v>1</v>
      </c>
      <c r="C82">
        <f>MIN(0.999,MAX(0.001,ClassTree!P53+0.15*LOG10($J$2)+0.08*($J$4-0.02)+0.03*IF(Data!C263&gt;ClassTree!$L$2,1,-1)))</f>
        <v>0.9362009229009054</v>
      </c>
      <c r="D82">
        <f>IF(C82&gt;=Controls!$B$2,1,0)</f>
        <v>1</v>
      </c>
      <c r="E82">
        <f t="shared" si="1"/>
        <v>1</v>
      </c>
    </row>
    <row r="83" spans="1:5" x14ac:dyDescent="0.2">
      <c r="A83">
        <f>Data!A264</f>
        <v>263</v>
      </c>
      <c r="B83">
        <f>Data!L264</f>
        <v>1</v>
      </c>
      <c r="C83">
        <f>MIN(0.999,MAX(0.001,ClassTree!P54+0.15*LOG10($J$2)+0.08*($J$4-0.02)+0.03*IF(Data!C264&gt;ClassTree!$L$2,1,-1)))</f>
        <v>0.9362009229009054</v>
      </c>
      <c r="D83">
        <f>IF(C83&gt;=Controls!$B$2,1,0)</f>
        <v>1</v>
      </c>
      <c r="E83">
        <f t="shared" si="1"/>
        <v>1</v>
      </c>
    </row>
    <row r="84" spans="1:5" x14ac:dyDescent="0.2">
      <c r="A84">
        <f>Data!A265</f>
        <v>264</v>
      </c>
      <c r="B84">
        <f>Data!L265</f>
        <v>0</v>
      </c>
      <c r="C84">
        <f>MIN(0.999,MAX(0.001,ClassTree!P55+0.15*LOG10($J$2)+0.08*($J$4-0.02)+0.03*IF(Data!C265&gt;ClassTree!$L$2,1,-1)))</f>
        <v>0.9362009229009054</v>
      </c>
      <c r="D84">
        <f>IF(C84&gt;=Controls!$B$2,1,0)</f>
        <v>1</v>
      </c>
      <c r="E84">
        <f t="shared" si="1"/>
        <v>0</v>
      </c>
    </row>
    <row r="85" spans="1:5" x14ac:dyDescent="0.2">
      <c r="A85">
        <f>Data!A266</f>
        <v>265</v>
      </c>
      <c r="B85">
        <f>Data!L266</f>
        <v>0</v>
      </c>
      <c r="C85">
        <f>MIN(0.999,MAX(0.001,ClassTree!P56+0.15*LOG10($J$2)+0.08*($J$4-0.02)+0.03*IF(Data!C266&gt;ClassTree!$L$2,1,-1)))</f>
        <v>0.9362009229009054</v>
      </c>
      <c r="D85">
        <f>IF(C85&gt;=Controls!$B$2,1,0)</f>
        <v>1</v>
      </c>
      <c r="E85">
        <f t="shared" si="1"/>
        <v>0</v>
      </c>
    </row>
    <row r="86" spans="1:5" x14ac:dyDescent="0.2">
      <c r="A86">
        <f>Data!A267</f>
        <v>266</v>
      </c>
      <c r="B86">
        <f>Data!L267</f>
        <v>1</v>
      </c>
      <c r="C86">
        <f>MIN(0.999,MAX(0.001,ClassTree!P57+0.15*LOG10($J$2)+0.08*($J$4-0.02)+0.03*IF(Data!C267&gt;ClassTree!$L$2,1,-1)))</f>
        <v>0.9362009229009054</v>
      </c>
      <c r="D86">
        <f>IF(C86&gt;=Controls!$B$2,1,0)</f>
        <v>1</v>
      </c>
      <c r="E86">
        <f t="shared" si="1"/>
        <v>1</v>
      </c>
    </row>
    <row r="87" spans="1:5" x14ac:dyDescent="0.2">
      <c r="A87">
        <f>Data!A268</f>
        <v>267</v>
      </c>
      <c r="B87">
        <f>Data!L268</f>
        <v>1</v>
      </c>
      <c r="C87">
        <f>MIN(0.999,MAX(0.001,ClassTree!P58+0.15*LOG10($J$2)+0.08*($J$4-0.02)+0.03*IF(Data!C268&gt;ClassTree!$L$2,1,-1)))</f>
        <v>0.9362009229009054</v>
      </c>
      <c r="D87">
        <f>IF(C87&gt;=Controls!$B$2,1,0)</f>
        <v>1</v>
      </c>
      <c r="E87">
        <f t="shared" si="1"/>
        <v>1</v>
      </c>
    </row>
    <row r="88" spans="1:5" x14ac:dyDescent="0.2">
      <c r="A88">
        <f>Data!A269</f>
        <v>268</v>
      </c>
      <c r="B88">
        <f>Data!L269</f>
        <v>0</v>
      </c>
      <c r="C88">
        <f>MIN(0.999,MAX(0.001,ClassTree!P59+0.15*LOG10($J$2)+0.08*($J$4-0.02)+0.03*IF(Data!C269&gt;ClassTree!$L$2,1,-1)))</f>
        <v>0.9362009229009054</v>
      </c>
      <c r="D88">
        <f>IF(C88&gt;=Controls!$B$2,1,0)</f>
        <v>1</v>
      </c>
      <c r="E88">
        <f t="shared" si="1"/>
        <v>0</v>
      </c>
    </row>
    <row r="89" spans="1:5" x14ac:dyDescent="0.2">
      <c r="A89">
        <f>Data!A270</f>
        <v>269</v>
      </c>
      <c r="B89">
        <f>Data!L270</f>
        <v>0</v>
      </c>
      <c r="C89">
        <f>MIN(0.999,MAX(0.001,ClassTree!P60+0.15*LOG10($J$2)+0.08*($J$4-0.02)+0.03*IF(Data!C270&gt;ClassTree!$L$2,1,-1)))</f>
        <v>0.9362009229009054</v>
      </c>
      <c r="D89">
        <f>IF(C89&gt;=Controls!$B$2,1,0)</f>
        <v>1</v>
      </c>
      <c r="E89">
        <f t="shared" si="1"/>
        <v>0</v>
      </c>
    </row>
    <row r="90" spans="1:5" x14ac:dyDescent="0.2">
      <c r="A90">
        <f>Data!A271</f>
        <v>270</v>
      </c>
      <c r="B90">
        <f>Data!L271</f>
        <v>0</v>
      </c>
      <c r="C90">
        <f>MIN(0.999,MAX(0.001,ClassTree!P61+0.15*LOG10($J$2)+0.08*($J$4-0.02)+0.03*IF(Data!C271&gt;ClassTree!$L$2,1,-1)))</f>
        <v>0.9362009229009054</v>
      </c>
      <c r="D90">
        <f>IF(C90&gt;=Controls!$B$2,1,0)</f>
        <v>1</v>
      </c>
      <c r="E90">
        <f t="shared" si="1"/>
        <v>0</v>
      </c>
    </row>
    <row r="91" spans="1:5" x14ac:dyDescent="0.2">
      <c r="A91">
        <f>Data!A272</f>
        <v>271</v>
      </c>
      <c r="B91">
        <f>Data!L272</f>
        <v>1</v>
      </c>
      <c r="C91">
        <f>MIN(0.999,MAX(0.001,ClassTree!P62+0.15*LOG10($J$2)+0.08*($J$4-0.02)+0.03*IF(Data!C272&gt;ClassTree!$L$2,1,-1)))</f>
        <v>0.9362009229009054</v>
      </c>
      <c r="D91">
        <f>IF(C91&gt;=Controls!$B$2,1,0)</f>
        <v>1</v>
      </c>
      <c r="E91">
        <f t="shared" si="1"/>
        <v>1</v>
      </c>
    </row>
    <row r="92" spans="1:5" x14ac:dyDescent="0.2">
      <c r="A92">
        <f>Data!A273</f>
        <v>272</v>
      </c>
      <c r="B92">
        <f>Data!L273</f>
        <v>1</v>
      </c>
      <c r="C92">
        <f>MIN(0.999,MAX(0.001,ClassTree!P63+0.15*LOG10($J$2)+0.08*($J$4-0.02)+0.03*IF(Data!C273&gt;ClassTree!$L$2,1,-1)))</f>
        <v>0.9362009229009054</v>
      </c>
      <c r="D92">
        <f>IF(C92&gt;=Controls!$B$2,1,0)</f>
        <v>1</v>
      </c>
      <c r="E92">
        <f t="shared" si="1"/>
        <v>1</v>
      </c>
    </row>
    <row r="93" spans="1:5" x14ac:dyDescent="0.2">
      <c r="A93">
        <f>Data!A274</f>
        <v>273</v>
      </c>
      <c r="B93">
        <f>Data!L274</f>
        <v>1</v>
      </c>
      <c r="C93">
        <f>MIN(0.999,MAX(0.001,ClassTree!P64+0.15*LOG10($J$2)+0.08*($J$4-0.02)+0.03*IF(Data!C274&gt;ClassTree!$L$2,1,-1)))</f>
        <v>0.9362009229009054</v>
      </c>
      <c r="D93">
        <f>IF(C93&gt;=Controls!$B$2,1,0)</f>
        <v>1</v>
      </c>
      <c r="E93">
        <f t="shared" si="1"/>
        <v>1</v>
      </c>
    </row>
    <row r="94" spans="1:5" x14ac:dyDescent="0.2">
      <c r="A94">
        <f>Data!A275</f>
        <v>274</v>
      </c>
      <c r="B94">
        <f>Data!L275</f>
        <v>1</v>
      </c>
      <c r="C94">
        <f>MIN(0.999,MAX(0.001,ClassTree!P65+0.15*LOG10($J$2)+0.08*($J$4-0.02)+0.03*IF(Data!C275&gt;ClassTree!$L$2,1,-1)))</f>
        <v>0.9362009229009054</v>
      </c>
      <c r="D94">
        <f>IF(C94&gt;=Controls!$B$2,1,0)</f>
        <v>1</v>
      </c>
      <c r="E94">
        <f t="shared" si="1"/>
        <v>1</v>
      </c>
    </row>
    <row r="95" spans="1:5" x14ac:dyDescent="0.2">
      <c r="A95">
        <f>Data!A276</f>
        <v>275</v>
      </c>
      <c r="B95">
        <f>Data!L276</f>
        <v>1</v>
      </c>
      <c r="C95">
        <f>MIN(0.999,MAX(0.001,ClassTree!P66+0.15*LOG10($J$2)+0.08*($J$4-0.02)+0.03*IF(Data!C276&gt;ClassTree!$L$2,1,-1)))</f>
        <v>0.9362009229009054</v>
      </c>
      <c r="D95">
        <f>IF(C95&gt;=Controls!$B$2,1,0)</f>
        <v>1</v>
      </c>
      <c r="E95">
        <f t="shared" ref="E95:E126" si="2">--(D95=B95)</f>
        <v>1</v>
      </c>
    </row>
    <row r="96" spans="1:5" x14ac:dyDescent="0.2">
      <c r="A96">
        <f>Data!A277</f>
        <v>276</v>
      </c>
      <c r="B96">
        <f>Data!L277</f>
        <v>0</v>
      </c>
      <c r="C96">
        <f>MIN(0.999,MAX(0.001,ClassTree!P67+0.15*LOG10($J$2)+0.08*($J$4-0.02)+0.03*IF(Data!C277&gt;ClassTree!$L$2,1,-1)))</f>
        <v>0.9362009229009054</v>
      </c>
      <c r="D96">
        <f>IF(C96&gt;=Controls!$B$2,1,0)</f>
        <v>1</v>
      </c>
      <c r="E96">
        <f t="shared" si="2"/>
        <v>0</v>
      </c>
    </row>
    <row r="97" spans="1:5" x14ac:dyDescent="0.2">
      <c r="A97">
        <f>Data!A278</f>
        <v>277</v>
      </c>
      <c r="B97">
        <f>Data!L278</f>
        <v>1</v>
      </c>
      <c r="C97">
        <f>MIN(0.999,MAX(0.001,ClassTree!P68+0.15*LOG10($J$2)+0.08*($J$4-0.02)+0.03*IF(Data!C278&gt;ClassTree!$L$2,1,-1)))</f>
        <v>0.9362009229009054</v>
      </c>
      <c r="D97">
        <f>IF(C97&gt;=Controls!$B$2,1,0)</f>
        <v>1</v>
      </c>
      <c r="E97">
        <f t="shared" si="2"/>
        <v>1</v>
      </c>
    </row>
    <row r="98" spans="1:5" x14ac:dyDescent="0.2">
      <c r="A98">
        <f>Data!A279</f>
        <v>278</v>
      </c>
      <c r="B98">
        <f>Data!L279</f>
        <v>1</v>
      </c>
      <c r="C98">
        <f>MIN(0.999,MAX(0.001,ClassTree!P69+0.15*LOG10($J$2)+0.08*($J$4-0.02)+0.03*IF(Data!C279&gt;ClassTree!$L$2,1,-1)))</f>
        <v>0.9362009229009054</v>
      </c>
      <c r="D98">
        <f>IF(C98&gt;=Controls!$B$2,1,0)</f>
        <v>1</v>
      </c>
      <c r="E98">
        <f t="shared" si="2"/>
        <v>1</v>
      </c>
    </row>
    <row r="99" spans="1:5" x14ac:dyDescent="0.2">
      <c r="A99">
        <f>Data!A280</f>
        <v>279</v>
      </c>
      <c r="B99">
        <f>Data!L280</f>
        <v>1</v>
      </c>
      <c r="C99">
        <f>MIN(0.999,MAX(0.001,ClassTree!P70+0.15*LOG10($J$2)+0.08*($J$4-0.02)+0.03*IF(Data!C280&gt;ClassTree!$L$2,1,-1)))</f>
        <v>0.9362009229009054</v>
      </c>
      <c r="D99">
        <f>IF(C99&gt;=Controls!$B$2,1,0)</f>
        <v>1</v>
      </c>
      <c r="E99">
        <f t="shared" si="2"/>
        <v>1</v>
      </c>
    </row>
    <row r="100" spans="1:5" x14ac:dyDescent="0.2">
      <c r="A100">
        <f>Data!A281</f>
        <v>280</v>
      </c>
      <c r="B100">
        <f>Data!L281</f>
        <v>0</v>
      </c>
      <c r="C100">
        <f>MIN(0.999,MAX(0.001,ClassTree!P71+0.15*LOG10($J$2)+0.08*($J$4-0.02)+0.03*IF(Data!C281&gt;ClassTree!$L$2,1,-1)))</f>
        <v>0.9362009229009054</v>
      </c>
      <c r="D100">
        <f>IF(C100&gt;=Controls!$B$2,1,0)</f>
        <v>1</v>
      </c>
      <c r="E100">
        <f t="shared" si="2"/>
        <v>0</v>
      </c>
    </row>
    <row r="101" spans="1:5" x14ac:dyDescent="0.2">
      <c r="A101">
        <f>Data!A282</f>
        <v>281</v>
      </c>
      <c r="B101">
        <f>Data!L282</f>
        <v>0</v>
      </c>
      <c r="C101">
        <f>MIN(0.999,MAX(0.001,ClassTree!P72+0.15*LOG10($J$2)+0.08*($J$4-0.02)+0.03*IF(Data!C282&gt;ClassTree!$L$2,1,-1)))</f>
        <v>0.3418682343128977</v>
      </c>
      <c r="D101">
        <f>IF(C101&gt;=Controls!$B$2,1,0)</f>
        <v>0</v>
      </c>
      <c r="E101">
        <f t="shared" si="2"/>
        <v>1</v>
      </c>
    </row>
    <row r="102" spans="1:5" x14ac:dyDescent="0.2">
      <c r="A102">
        <f>Data!A283</f>
        <v>282</v>
      </c>
      <c r="B102">
        <f>Data!L283</f>
        <v>1</v>
      </c>
      <c r="C102">
        <f>MIN(0.999,MAX(0.001,ClassTree!P73+0.15*LOG10($J$2)+0.08*($J$4-0.02)+0.03*IF(Data!C283&gt;ClassTree!$L$2,1,-1)))</f>
        <v>0.9362009229009054</v>
      </c>
      <c r="D102">
        <f>IF(C102&gt;=Controls!$B$2,1,0)</f>
        <v>1</v>
      </c>
      <c r="E102">
        <f t="shared" si="2"/>
        <v>1</v>
      </c>
    </row>
    <row r="103" spans="1:5" x14ac:dyDescent="0.2">
      <c r="A103">
        <f>Data!A284</f>
        <v>283</v>
      </c>
      <c r="B103">
        <f>Data!L284</f>
        <v>1</v>
      </c>
      <c r="C103">
        <f>MIN(0.999,MAX(0.001,ClassTree!P74+0.15*LOG10($J$2)+0.08*($J$4-0.02)+0.03*IF(Data!C284&gt;ClassTree!$L$2,1,-1)))</f>
        <v>0.9362009229009054</v>
      </c>
      <c r="D103">
        <f>IF(C103&gt;=Controls!$B$2,1,0)</f>
        <v>1</v>
      </c>
      <c r="E103">
        <f t="shared" si="2"/>
        <v>1</v>
      </c>
    </row>
    <row r="104" spans="1:5" x14ac:dyDescent="0.2">
      <c r="A104">
        <f>Data!A285</f>
        <v>284</v>
      </c>
      <c r="B104">
        <f>Data!L285</f>
        <v>1</v>
      </c>
      <c r="C104">
        <f>MIN(0.999,MAX(0.001,ClassTree!P75+0.15*LOG10($J$2)+0.08*($J$4-0.02)+0.03*IF(Data!C285&gt;ClassTree!$L$2,1,-1)))</f>
        <v>0.9362009229009054</v>
      </c>
      <c r="D104">
        <f>IF(C104&gt;=Controls!$B$2,1,0)</f>
        <v>1</v>
      </c>
      <c r="E104">
        <f t="shared" si="2"/>
        <v>1</v>
      </c>
    </row>
    <row r="105" spans="1:5" x14ac:dyDescent="0.2">
      <c r="A105">
        <f>Data!A286</f>
        <v>285</v>
      </c>
      <c r="B105">
        <f>Data!L286</f>
        <v>1</v>
      </c>
      <c r="C105">
        <f>MIN(0.999,MAX(0.001,ClassTree!P76+0.15*LOG10($J$2)+0.08*($J$4-0.02)+0.03*IF(Data!C286&gt;ClassTree!$L$2,1,-1)))</f>
        <v>0.9362009229009054</v>
      </c>
      <c r="D105">
        <f>IF(C105&gt;=Controls!$B$2,1,0)</f>
        <v>1</v>
      </c>
      <c r="E105">
        <f t="shared" si="2"/>
        <v>1</v>
      </c>
    </row>
    <row r="106" spans="1:5" x14ac:dyDescent="0.2">
      <c r="A106">
        <f>Data!A287</f>
        <v>286</v>
      </c>
      <c r="B106">
        <f>Data!L287</f>
        <v>0</v>
      </c>
      <c r="C106">
        <f>MIN(0.999,MAX(0.001,ClassTree!P77+0.15*LOG10($J$2)+0.08*($J$4-0.02)+0.03*IF(Data!C287&gt;ClassTree!$L$2,1,-1)))</f>
        <v>0.3418682343128977</v>
      </c>
      <c r="D106">
        <f>IF(C106&gt;=Controls!$B$2,1,0)</f>
        <v>0</v>
      </c>
      <c r="E106">
        <f t="shared" si="2"/>
        <v>1</v>
      </c>
    </row>
    <row r="107" spans="1:5" x14ac:dyDescent="0.2">
      <c r="A107">
        <f>Data!A288</f>
        <v>287</v>
      </c>
      <c r="B107">
        <f>Data!L288</f>
        <v>0</v>
      </c>
      <c r="C107">
        <f>MIN(0.999,MAX(0.001,ClassTree!P78+0.15*LOG10($J$2)+0.08*($J$4-0.02)+0.03*IF(Data!C288&gt;ClassTree!$L$2,1,-1)))</f>
        <v>0.9362009229009054</v>
      </c>
      <c r="D107">
        <f>IF(C107&gt;=Controls!$B$2,1,0)</f>
        <v>1</v>
      </c>
      <c r="E107">
        <f t="shared" si="2"/>
        <v>0</v>
      </c>
    </row>
    <row r="108" spans="1:5" x14ac:dyDescent="0.2">
      <c r="A108">
        <f>Data!A289</f>
        <v>288</v>
      </c>
      <c r="B108">
        <f>Data!L289</f>
        <v>1</v>
      </c>
      <c r="C108">
        <f>MIN(0.999,MAX(0.001,ClassTree!P79+0.15*LOG10($J$2)+0.08*($J$4-0.02)+0.03*IF(Data!C289&gt;ClassTree!$L$2,1,-1)))</f>
        <v>0.9362009229009054</v>
      </c>
      <c r="D108">
        <f>IF(C108&gt;=Controls!$B$2,1,0)</f>
        <v>1</v>
      </c>
      <c r="E108">
        <f t="shared" si="2"/>
        <v>1</v>
      </c>
    </row>
    <row r="109" spans="1:5" x14ac:dyDescent="0.2">
      <c r="A109">
        <f>Data!A290</f>
        <v>289</v>
      </c>
      <c r="B109">
        <f>Data!L290</f>
        <v>0</v>
      </c>
      <c r="C109">
        <f>MIN(0.999,MAX(0.001,ClassTree!P80+0.15*LOG10($J$2)+0.08*($J$4-0.02)+0.03*IF(Data!C290&gt;ClassTree!$L$2,1,-1)))</f>
        <v>0.9362009229009054</v>
      </c>
      <c r="D109">
        <f>IF(C109&gt;=Controls!$B$2,1,0)</f>
        <v>1</v>
      </c>
      <c r="E109">
        <f t="shared" si="2"/>
        <v>0</v>
      </c>
    </row>
    <row r="110" spans="1:5" x14ac:dyDescent="0.2">
      <c r="A110">
        <f>Data!A291</f>
        <v>290</v>
      </c>
      <c r="B110">
        <f>Data!L291</f>
        <v>1</v>
      </c>
      <c r="C110">
        <f>MIN(0.999,MAX(0.001,ClassTree!P81+0.15*LOG10($J$2)+0.08*($J$4-0.02)+0.03*IF(Data!C291&gt;ClassTree!$L$2,1,-1)))</f>
        <v>0.9362009229009054</v>
      </c>
      <c r="D110">
        <f>IF(C110&gt;=Controls!$B$2,1,0)</f>
        <v>1</v>
      </c>
      <c r="E110">
        <f t="shared" si="2"/>
        <v>1</v>
      </c>
    </row>
    <row r="111" spans="1:5" x14ac:dyDescent="0.2">
      <c r="A111">
        <f>Data!A292</f>
        <v>291</v>
      </c>
      <c r="B111">
        <f>Data!L292</f>
        <v>1</v>
      </c>
      <c r="C111">
        <f>MIN(0.999,MAX(0.001,ClassTree!P82+0.15*LOG10($J$2)+0.08*($J$4-0.02)+0.03*IF(Data!C292&gt;ClassTree!$L$2,1,-1)))</f>
        <v>0.9362009229009054</v>
      </c>
      <c r="D111">
        <f>IF(C111&gt;=Controls!$B$2,1,0)</f>
        <v>1</v>
      </c>
      <c r="E111">
        <f t="shared" si="2"/>
        <v>1</v>
      </c>
    </row>
    <row r="112" spans="1:5" x14ac:dyDescent="0.2">
      <c r="A112">
        <f>Data!A293</f>
        <v>292</v>
      </c>
      <c r="B112">
        <f>Data!L293</f>
        <v>1</v>
      </c>
      <c r="C112">
        <f>MIN(0.999,MAX(0.001,ClassTree!P83+0.15*LOG10($J$2)+0.08*($J$4-0.02)+0.03*IF(Data!C293&gt;ClassTree!$L$2,1,-1)))</f>
        <v>0.9362009229009054</v>
      </c>
      <c r="D112">
        <f>IF(C112&gt;=Controls!$B$2,1,0)</f>
        <v>1</v>
      </c>
      <c r="E112">
        <f t="shared" si="2"/>
        <v>1</v>
      </c>
    </row>
    <row r="113" spans="1:5" x14ac:dyDescent="0.2">
      <c r="A113">
        <f>Data!A294</f>
        <v>293</v>
      </c>
      <c r="B113">
        <f>Data!L294</f>
        <v>1</v>
      </c>
      <c r="C113">
        <f>MIN(0.999,MAX(0.001,ClassTree!P84+0.15*LOG10($J$2)+0.08*($J$4-0.02)+0.03*IF(Data!C294&gt;ClassTree!$L$2,1,-1)))</f>
        <v>0.9362009229009054</v>
      </c>
      <c r="D113">
        <f>IF(C113&gt;=Controls!$B$2,1,0)</f>
        <v>1</v>
      </c>
      <c r="E113">
        <f t="shared" si="2"/>
        <v>1</v>
      </c>
    </row>
    <row r="114" spans="1:5" x14ac:dyDescent="0.2">
      <c r="A114">
        <f>Data!A295</f>
        <v>294</v>
      </c>
      <c r="B114">
        <f>Data!L295</f>
        <v>0</v>
      </c>
      <c r="C114">
        <f>MIN(0.999,MAX(0.001,ClassTree!P85+0.15*LOG10($J$2)+0.08*($J$4-0.02)+0.03*IF(Data!C295&gt;ClassTree!$L$2,1,-1)))</f>
        <v>0.9362009229009054</v>
      </c>
      <c r="D114">
        <f>IF(C114&gt;=Controls!$B$2,1,0)</f>
        <v>1</v>
      </c>
      <c r="E114">
        <f t="shared" si="2"/>
        <v>0</v>
      </c>
    </row>
    <row r="115" spans="1:5" x14ac:dyDescent="0.2">
      <c r="A115">
        <f>Data!A296</f>
        <v>295</v>
      </c>
      <c r="B115">
        <f>Data!L296</f>
        <v>0</v>
      </c>
      <c r="C115">
        <f>MIN(0.999,MAX(0.001,ClassTree!P86+0.15*LOG10($J$2)+0.08*($J$4-0.02)+0.03*IF(Data!C296&gt;ClassTree!$L$2,1,-1)))</f>
        <v>0.9362009229009054</v>
      </c>
      <c r="D115">
        <f>IF(C115&gt;=Controls!$B$2,1,0)</f>
        <v>1</v>
      </c>
      <c r="E115">
        <f t="shared" si="2"/>
        <v>0</v>
      </c>
    </row>
    <row r="116" spans="1:5" x14ac:dyDescent="0.2">
      <c r="A116">
        <f>Data!A297</f>
        <v>296</v>
      </c>
      <c r="B116">
        <f>Data!L297</f>
        <v>0</v>
      </c>
      <c r="C116">
        <f>MIN(0.999,MAX(0.001,ClassTree!P87+0.15*LOG10($J$2)+0.08*($J$4-0.02)+0.03*IF(Data!C297&gt;ClassTree!$L$2,1,-1)))</f>
        <v>0.9362009229009054</v>
      </c>
      <c r="D116">
        <f>IF(C116&gt;=Controls!$B$2,1,0)</f>
        <v>1</v>
      </c>
      <c r="E116">
        <f t="shared" si="2"/>
        <v>0</v>
      </c>
    </row>
    <row r="117" spans="1:5" x14ac:dyDescent="0.2">
      <c r="A117">
        <f>Data!A298</f>
        <v>297</v>
      </c>
      <c r="B117">
        <f>Data!L298</f>
        <v>0</v>
      </c>
      <c r="C117">
        <f>MIN(0.999,MAX(0.001,ClassTree!P88+0.15*LOG10($J$2)+0.08*($J$4-0.02)+0.03*IF(Data!C298&gt;ClassTree!$L$2,1,-1)))</f>
        <v>0.9362009229009054</v>
      </c>
      <c r="D117">
        <f>IF(C117&gt;=Controls!$B$2,1,0)</f>
        <v>1</v>
      </c>
      <c r="E117">
        <f t="shared" si="2"/>
        <v>0</v>
      </c>
    </row>
    <row r="118" spans="1:5" x14ac:dyDescent="0.2">
      <c r="A118">
        <f>Data!A299</f>
        <v>298</v>
      </c>
      <c r="B118">
        <f>Data!L299</f>
        <v>0</v>
      </c>
      <c r="C118">
        <f>MIN(0.999,MAX(0.001,ClassTree!P89+0.15*LOG10($J$2)+0.08*($J$4-0.02)+0.03*IF(Data!C299&gt;ClassTree!$L$2,1,-1)))</f>
        <v>0.9362009229009054</v>
      </c>
      <c r="D118">
        <f>IF(C118&gt;=Controls!$B$2,1,0)</f>
        <v>1</v>
      </c>
      <c r="E118">
        <f t="shared" si="2"/>
        <v>0</v>
      </c>
    </row>
    <row r="119" spans="1:5" x14ac:dyDescent="0.2">
      <c r="A119">
        <f>Data!A300</f>
        <v>299</v>
      </c>
      <c r="B119">
        <f>Data!L300</f>
        <v>1</v>
      </c>
      <c r="C119">
        <f>MIN(0.999,MAX(0.001,ClassTree!P90+0.15*LOG10($J$2)+0.08*($J$4-0.02)+0.03*IF(Data!C300&gt;ClassTree!$L$2,1,-1)))</f>
        <v>0.9362009229009054</v>
      </c>
      <c r="D119">
        <f>IF(C119&gt;=Controls!$B$2,1,0)</f>
        <v>1</v>
      </c>
      <c r="E119">
        <f t="shared" si="2"/>
        <v>1</v>
      </c>
    </row>
    <row r="120" spans="1:5" x14ac:dyDescent="0.2">
      <c r="A120">
        <f>Data!A301</f>
        <v>300</v>
      </c>
      <c r="B120">
        <f>Data!L301</f>
        <v>0</v>
      </c>
      <c r="C120">
        <f>MIN(0.999,MAX(0.001,ClassTree!P91+0.15*LOG10($J$2)+0.08*($J$4-0.02)+0.03*IF(Data!C301&gt;ClassTree!$L$2,1,-1)))</f>
        <v>0.9362009229009054</v>
      </c>
      <c r="D120">
        <f>IF(C120&gt;=Controls!$B$2,1,0)</f>
        <v>1</v>
      </c>
      <c r="E120">
        <f t="shared" si="2"/>
        <v>0</v>
      </c>
    </row>
    <row r="123" spans="1:5" x14ac:dyDescent="0.2">
      <c r="A123" t="s">
        <v>215</v>
      </c>
      <c r="B123">
        <f>AVERAGE(E31:E120)</f>
        <v>0.57777777777777772</v>
      </c>
    </row>
    <row r="124" spans="1:5" x14ac:dyDescent="0.2">
      <c r="A124" t="s">
        <v>104</v>
      </c>
      <c r="B124">
        <f>COUNTIFS(B31:B120,1,D31:D120,1)</f>
        <v>46</v>
      </c>
    </row>
    <row r="125" spans="1:5" x14ac:dyDescent="0.2">
      <c r="A125" t="s">
        <v>105</v>
      </c>
      <c r="B125">
        <f>COUNTIFS(B31:B120,0,D31:D120,0)</f>
        <v>6</v>
      </c>
    </row>
    <row r="126" spans="1:5" x14ac:dyDescent="0.2">
      <c r="A126" t="s">
        <v>106</v>
      </c>
      <c r="B126">
        <f>COUNTIFS(B31:B120,0,D31:D120,1)</f>
        <v>37</v>
      </c>
    </row>
    <row r="127" spans="1:5" x14ac:dyDescent="0.2">
      <c r="A127" t="s">
        <v>107</v>
      </c>
      <c r="B127">
        <f>COUNTIFS(B31:B120,1,D31:D120,0)</f>
        <v>1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baseColWidth="10" defaultColWidth="8.83203125" defaultRowHeight="15" x14ac:dyDescent="0.2"/>
  <cols>
    <col min="1" max="2" width="13" customWidth="1"/>
  </cols>
  <sheetData>
    <row r="1" spans="1:2" x14ac:dyDescent="0.2">
      <c r="A1" t="s">
        <v>216</v>
      </c>
      <c r="B1" t="s">
        <v>217</v>
      </c>
    </row>
    <row r="2" spans="1:2" x14ac:dyDescent="0.2">
      <c r="A2" t="s">
        <v>218</v>
      </c>
      <c r="B2">
        <v>300</v>
      </c>
    </row>
    <row r="3" spans="1:2" x14ac:dyDescent="0.2">
      <c r="A3" t="s">
        <v>219</v>
      </c>
      <c r="B3">
        <f>COUNTIF(Data!M2:M301,"Train")</f>
        <v>210</v>
      </c>
    </row>
    <row r="4" spans="1:2" x14ac:dyDescent="0.2">
      <c r="A4" t="s">
        <v>220</v>
      </c>
      <c r="B4">
        <f>COUNTIF(Data!M2:M301,"Test")</f>
        <v>90</v>
      </c>
    </row>
    <row r="5" spans="1:2" x14ac:dyDescent="0.2">
      <c r="A5" t="s">
        <v>221</v>
      </c>
      <c r="B5">
        <f>ClassTree!O94</f>
        <v>0.57777777777777772</v>
      </c>
    </row>
    <row r="6" spans="1:2" x14ac:dyDescent="0.2">
      <c r="A6" t="s">
        <v>222</v>
      </c>
      <c r="B6">
        <f>ROC_Mechanics!I2</f>
        <v>0.55912914398812463</v>
      </c>
    </row>
    <row r="7" spans="1:2" x14ac:dyDescent="0.2">
      <c r="A7" t="s">
        <v>173</v>
      </c>
      <c r="B7">
        <f>CP_Pruning_Mechanics!H2</f>
        <v>5.5555555555555469E-2</v>
      </c>
    </row>
    <row r="8" spans="1:2" x14ac:dyDescent="0.2">
      <c r="A8" t="s">
        <v>223</v>
      </c>
      <c r="B8" t="str">
        <f>CP_Pruning_Mechanics!H6</f>
        <v>stump</v>
      </c>
    </row>
    <row r="9" spans="1:2" x14ac:dyDescent="0.2">
      <c r="A9" t="s">
        <v>224</v>
      </c>
      <c r="B9">
        <f>RF_CV_Tuning!R8</f>
        <v>2</v>
      </c>
    </row>
    <row r="10" spans="1:2" x14ac:dyDescent="0.2">
      <c r="A10" t="s">
        <v>225</v>
      </c>
      <c r="B10">
        <f>RF_Mechanics!J94</f>
        <v>0.5444444444444444</v>
      </c>
    </row>
    <row r="11" spans="1:2" x14ac:dyDescent="0.2">
      <c r="A11" t="s">
        <v>226</v>
      </c>
      <c r="B11">
        <f>XGB_Mechanics!J6</f>
        <v>0.57773657795121847</v>
      </c>
    </row>
    <row r="12" spans="1:2" x14ac:dyDescent="0.2">
      <c r="A12" t="s">
        <v>227</v>
      </c>
      <c r="B12">
        <f>XGB_Mechanics!B123</f>
        <v>0.57777777777777772</v>
      </c>
    </row>
    <row r="13" spans="1:2" x14ac:dyDescent="0.2">
      <c r="A13" t="s">
        <v>228</v>
      </c>
      <c r="B13">
        <f>XGB_Mechanics!K31</f>
        <v>0.55912914398812463</v>
      </c>
    </row>
    <row r="14" spans="1:2" x14ac:dyDescent="0.2">
      <c r="A14" t="s">
        <v>166</v>
      </c>
      <c r="B14">
        <f>Boosting_Lite!I94</f>
        <v>0.57777777777777772</v>
      </c>
    </row>
    <row r="15" spans="1:2" x14ac:dyDescent="0.2">
      <c r="A15" t="s">
        <v>229</v>
      </c>
      <c r="B15">
        <f>Transform_Tree!N2</f>
        <v>34</v>
      </c>
    </row>
    <row r="16" spans="1:2" x14ac:dyDescent="0.2">
      <c r="A16" t="s">
        <v>230</v>
      </c>
      <c r="B16">
        <f>Transform_Tree!N4</f>
        <v>27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750481e-a151-4612-bf89-7209c355296a}" enabled="1" method="Standard" siteId="{9e1e4653-0328-4aed-8a88-8ef64de7c9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Controls</vt:lpstr>
      <vt:lpstr>Data</vt:lpstr>
      <vt:lpstr>Transform_Tree</vt:lpstr>
      <vt:lpstr>ClassTree</vt:lpstr>
      <vt:lpstr>ROC_Mechanics</vt:lpstr>
      <vt:lpstr>RF_Mechanics</vt:lpstr>
      <vt:lpstr>Boosting_Lite</vt:lpstr>
      <vt:lpstr>CP_Pruning_Mechanics</vt:lpstr>
      <vt:lpstr>RF_CV_Tuning</vt:lpstr>
      <vt:lpstr>RF_Importance_PDP</vt:lpstr>
      <vt:lpstr>XGB_Mechanics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Woods</cp:lastModifiedBy>
  <dcterms:created xsi:type="dcterms:W3CDTF">2026-03-21T06:49:05Z</dcterms:created>
  <dcterms:modified xsi:type="dcterms:W3CDTF">2026-03-21T06:49:44Z</dcterms:modified>
</cp:coreProperties>
</file>