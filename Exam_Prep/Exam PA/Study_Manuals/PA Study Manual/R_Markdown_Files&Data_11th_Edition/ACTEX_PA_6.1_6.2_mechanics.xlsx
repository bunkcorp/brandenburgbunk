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USArrests" sheetId="2" state="visible" r:id="rId2"/>
    <sheet xmlns:r="http://schemas.openxmlformats.org/officeDocument/2006/relationships" name="Scale_PCA_Mechanics" sheetId="3" state="visible" r:id="rId3"/>
    <sheet xmlns:r="http://schemas.openxmlformats.org/officeDocument/2006/relationships" name="KMeans_6_2" sheetId="4" state="visible" r:id="rId4"/>
    <sheet xmlns:r="http://schemas.openxmlformats.org/officeDocument/2006/relationships" name="Cluster_Summary" sheetId="5" state="visible" r:id="rId5"/>
    <sheet xmlns:r="http://schemas.openxmlformats.org/officeDocument/2006/relationships" name="Distance_HC_Mechanics" sheetId="6" state="visible" r:id="rId6"/>
    <sheet xmlns:r="http://schemas.openxmlformats.org/officeDocument/2006/relationships" name="Credit_PCA_Mechanic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Plot_Parity_6_1" sheetId="9" state="visible" r:id="rId9"/>
    <sheet xmlns:r="http://schemas.openxmlformats.org/officeDocument/2006/relationships" name="Plot_Parity_6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PC1 scores by state index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'Scale_PCA_Mechanics'!L1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'Scale_PCA_Mechanics'!$A$2:$A$51</f>
            </numRef>
          </cat>
          <val>
            <numRef>
              <f>'Scale_PCA_Mechanics'!$L$2:$L$51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PC1 score vs z_Murder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'Scale_PCA_Mechanics'!$L$2:$L$51</f>
            </numRef>
          </xVal>
          <yVal>
            <numRef>
              <f>'Scale_PCA_Mechanics'!$G$2:$G$51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z_Murder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Plot (formula mechanics)</a:t>
            </a:r>
          </a:p>
        </rich>
      </tx>
    </title>
    <plotArea>
      <lineChart>
        <grouping val="standard"/>
        <ser>
          <idx val="0"/>
          <order val="0"/>
          <tx>
            <strRef>
              <f>'KMeans_6_2'!AF1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'KMeans_6_2'!$AE$2:$AE$11</f>
            </numRef>
          </cat>
          <val>
            <numRef>
              <f>'KMeans_6_2'!$AF$2:$AF$11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bss/tss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K=3 Clusters (z_Murder vs z_Assault)</a:t>
            </a:r>
          </a:p>
        </rich>
      </tx>
    </title>
    <plotArea>
      <scatterChart>
        <ser>
          <idx val="0"/>
          <order val="0"/>
          <tx>
            <v>cluster_1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'KMeans_6_2'!$AH$2:$AH$51</f>
            </numRef>
          </xVal>
          <yVal>
            <numRef>
              <f>'KMeans_6_2'!$AI$2:$AI$51</f>
            </numRef>
          </yVal>
        </ser>
        <ser>
          <idx val="1"/>
          <order val="1"/>
          <tx>
            <v>cluster_2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'KMeans_6_2'!$AJ$2:$AJ$51</f>
            </numRef>
          </xVal>
          <yVal>
            <numRef>
              <f>'KMeans_6_2'!$AK$2:$AK$51</f>
            </numRef>
          </yVal>
        </ser>
        <ser>
          <idx val="2"/>
          <order val="2"/>
          <tx>
            <v>cluster_3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'KMeans_6_2'!$AL$2:$AL$51</f>
            </numRef>
          </xVal>
          <yVal>
            <numRef>
              <f>'KMeans_6_2'!$AM$2:$AM$51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z_Murder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z_Assault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Histogram: Murder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'Plot_Parity_6_1'!C1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'Plot_Parity_6_1'!$B$2:$B$11</f>
            </numRef>
          </cat>
          <val>
            <numRef>
              <f>'Plot_Parity_6_1'!$C$2:$C$11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Histogram: Assault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'Plot_Parity_6_1'!E1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'Plot_Parity_6_1'!$D$2:$D$11</f>
            </numRef>
          </cat>
          <val>
            <numRef>
              <f>'Plot_Parity_6_1'!$E$2:$E$11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Histogram: UrbanPop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'Plot_Parity_6_1'!G1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'Plot_Parity_6_1'!$F$2:$F$11</f>
            </numRef>
          </cat>
          <val>
            <numRef>
              <f>'Plot_Parity_6_1'!$G$2:$G$11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Histogram: Rape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'Plot_Parity_6_1'!I1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'Plot_Parity_6_1'!$H$2:$H$11</f>
            </numRef>
          </cat>
          <val>
            <numRef>
              <f>'Plot_Parity_6_1'!$I$2:$I$11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PVE (proxy)</a:t>
            </a:r>
          </a:p>
        </rich>
      </tx>
    </title>
    <plotArea>
      <lineChart>
        <grouping val="standard"/>
        <ser>
          <idx val="0"/>
          <order val="0"/>
          <tx>
            <strRef>
              <f>'Plot_Parity_6_1'!L12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'Plot_Parity_6_1'!$K$13:$K$16</f>
            </numRef>
          </cat>
          <val>
            <numRef>
              <f>'Plot_Parity_6_1'!$L$13:$L$16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PVE (proxy)</a:t>
            </a:r>
          </a:p>
        </rich>
      </tx>
    </title>
    <plotArea>
      <lineChart>
        <grouping val="standard"/>
        <ser>
          <idx val="0"/>
          <order val="0"/>
          <tx>
            <strRef>
              <f>'Plot_Parity_6_1'!M12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'Plot_Parity_6_1'!$K$13:$K$16</f>
            </numRef>
          </cat>
          <val>
            <numRef>
              <f>'Plot_Parity_6_1'!$M$13:$M$16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PCA Biplot (scaled, fixed axes)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'Plot_Parity_6_1'!$O$2:$O$51</f>
            </numRef>
          </xVal>
          <yVal>
            <numRef>
              <f>'Plot_Parity_6_1'!$P$2:$P$51</f>
            </numRef>
          </yVal>
        </ser>
        <ser>
          <idx val="1"/>
          <order val="1"/>
          <tx>
            <v>Murder</v>
          </tx>
          <spPr>
            <a:ln xmlns:a="http://schemas.openxmlformats.org/drawingml/2006/main">
              <a:solidFill>
                <a:srgbClr val="CC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'Plot_Parity_6_1'!$AA$2:$AA$3</f>
            </numRef>
          </xVal>
          <yVal>
            <numRef>
              <f>'Plot_Parity_6_1'!$AB$2:$AB$3</f>
            </numRef>
          </yVal>
        </ser>
        <ser>
          <idx val="2"/>
          <order val="2"/>
          <tx>
            <v>Assault</v>
          </tx>
          <spPr>
            <a:ln xmlns:a="http://schemas.openxmlformats.org/drawingml/2006/main">
              <a:solidFill>
                <a:srgbClr val="CC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'Plot_Parity_6_1'!$AA$4:$AA$5</f>
            </numRef>
          </xVal>
          <yVal>
            <numRef>
              <f>'Plot_Parity_6_1'!$AB$4:$AB$5</f>
            </numRef>
          </yVal>
        </ser>
        <ser>
          <idx val="3"/>
          <order val="3"/>
          <tx>
            <v>UrbanPop</v>
          </tx>
          <spPr>
            <a:ln xmlns:a="http://schemas.openxmlformats.org/drawingml/2006/main">
              <a:solidFill>
                <a:srgbClr val="CC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'Plot_Parity_6_1'!$AA$6:$AA$7</f>
            </numRef>
          </xVal>
          <yVal>
            <numRef>
              <f>'Plot_Parity_6_1'!$AB$6:$AB$7</f>
            </numRef>
          </yVal>
        </ser>
        <ser>
          <idx val="4"/>
          <order val="4"/>
          <tx>
            <v>Rape</v>
          </tx>
          <spPr>
            <a:ln xmlns:a="http://schemas.openxmlformats.org/drawingml/2006/main">
              <a:solidFill>
                <a:srgbClr val="CC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'Plot_Parity_6_1'!$AA$8:$AA$9</f>
            </numRef>
          </xVal>
          <yVal>
            <numRef>
              <f>'Plot_Parity_6_1'!$AB$8:$AB$9</f>
            </numRef>
          </yVal>
        </ser>
        <ser>
          <idx val="5"/>
          <order val="5"/>
          <tx>
            <v>Murder</v>
          </tx>
          <spPr>
            <a:solidFill xmlns:a="http://schemas.openxmlformats.org/drawingml/2006/main">
              <a:srgbClr val="CC0000"/>
            </a:solidFill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ln xmlns:a="http://schemas.openxmlformats.org/drawingml/2006/main">
                <a:prstDash val="solid"/>
              </a:ln>
            </spPr>
          </marker>
          <dLbls>
            <showSerName val="1"/>
          </dLbls>
          <xVal>
            <numRef>
              <f>'Plot_Parity_6_1'!$AC$2</f>
            </numRef>
          </xVal>
          <yVal>
            <numRef>
              <f>'Plot_Parity_6_1'!$AD$2</f>
            </numRef>
          </yVal>
        </ser>
        <ser>
          <idx val="6"/>
          <order val="6"/>
          <tx>
            <v>Assault</v>
          </tx>
          <spPr>
            <a:solidFill xmlns:a="http://schemas.openxmlformats.org/drawingml/2006/main">
              <a:srgbClr val="CC0000"/>
            </a:solidFill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ln xmlns:a="http://schemas.openxmlformats.org/drawingml/2006/main">
                <a:prstDash val="solid"/>
              </a:ln>
            </spPr>
          </marker>
          <dLbls>
            <showSerName val="1"/>
          </dLbls>
          <xVal>
            <numRef>
              <f>'Plot_Parity_6_1'!$AC$3</f>
            </numRef>
          </xVal>
          <yVal>
            <numRef>
              <f>'Plot_Parity_6_1'!$AD$3</f>
            </numRef>
          </yVal>
        </ser>
        <ser>
          <idx val="7"/>
          <order val="7"/>
          <tx>
            <v>UrbanPop</v>
          </tx>
          <spPr>
            <a:solidFill xmlns:a="http://schemas.openxmlformats.org/drawingml/2006/main">
              <a:srgbClr val="CC0000"/>
            </a:solidFill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ln xmlns:a="http://schemas.openxmlformats.org/drawingml/2006/main">
                <a:prstDash val="solid"/>
              </a:ln>
            </spPr>
          </marker>
          <dLbls>
            <showSerName val="1"/>
          </dLbls>
          <xVal>
            <numRef>
              <f>'Plot_Parity_6_1'!$AC$4</f>
            </numRef>
          </xVal>
          <yVal>
            <numRef>
              <f>'Plot_Parity_6_1'!$AD$4</f>
            </numRef>
          </yVal>
        </ser>
        <ser>
          <idx val="8"/>
          <order val="8"/>
          <tx>
            <v>Rape</v>
          </tx>
          <spPr>
            <a:solidFill xmlns:a="http://schemas.openxmlformats.org/drawingml/2006/main">
              <a:srgbClr val="CC0000"/>
            </a:solidFill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ln xmlns:a="http://schemas.openxmlformats.org/drawingml/2006/main">
                <a:prstDash val="solid"/>
              </a:ln>
            </spPr>
          </marker>
          <dLbls>
            <showSerName val="1"/>
          </dLbls>
          <xVal>
            <numRef>
              <f>'Plot_Parity_6_1'!$AC$5</f>
            </numRef>
          </xVal>
          <yVal>
            <numRef>
              <f>'Plot_Parity_6_1'!$AD$5</f>
            </numRef>
          </yVal>
        </ser>
        <axId val="10"/>
        <axId val="20"/>
      </scatterChart>
      <valAx>
        <axId val="10"/>
        <scaling>
          <orientation val="minMax"/>
          <max val="3"/>
          <min val="-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</a:t>
                </a:r>
              </a:p>
            </rich>
          </tx>
        </title>
        <majorTickMark val="none"/>
        <minorTickMark val="none"/>
        <crossAx val="20"/>
        <crossesAt val="0"/>
      </valAx>
      <valAx>
        <axId val="20"/>
        <scaling>
          <orientation val="minMax"/>
          <max val="3"/>
          <min val="-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PC2</a:t>
                </a:r>
              </a:p>
            </rich>
          </tx>
        </title>
        <majorTickMark val="none"/>
        <minorTickMark val="none"/>
        <crossAx val="10"/>
        <crossesAt val="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PCA Score Space (PC1 vs PC2)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'Plot_Parity_6_1'!$O$2:$O$51</f>
            </numRef>
          </xVal>
          <yVal>
            <numRef>
              <f>'Plot_Parity_6_1'!$P$2:$P$51</f>
            </numRef>
          </yVal>
        </ser>
        <axId val="10"/>
        <axId val="20"/>
      </scatterChart>
      <valAx>
        <axId val="10"/>
        <scaling>
          <orientation val="minMax"/>
          <max val="3"/>
          <min val="-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 score</a:t>
                </a:r>
              </a:p>
            </rich>
          </tx>
        </title>
        <majorTickMark val="none"/>
        <minorTickMark val="none"/>
        <crossAx val="20"/>
        <crossesAt val="0"/>
      </valAx>
      <valAx>
        <axId val="20"/>
        <scaling>
          <orientation val="minMax"/>
          <max val="3"/>
          <min val="-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PC2 score</a:t>
                </a:r>
              </a:p>
            </rich>
          </tx>
        </title>
        <majorTickMark val="none"/>
        <minorTickMark val="none"/>
        <crossAx val="10"/>
        <crossesAt val="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PC1 vs PC2 by cluster</a:t>
            </a:r>
          </a:p>
        </rich>
      </tx>
    </title>
    <plotArea>
      <scatterChart>
        <ser>
          <idx val="0"/>
          <order val="0"/>
          <tx>
            <v>c1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'Plot_Parity_6_2'!$F$2:$F$51</f>
            </numRef>
          </xVal>
          <yVal>
            <numRef>
              <f>'Plot_Parity_6_2'!$G$2:$G$51</f>
            </numRef>
          </yVal>
        </ser>
        <ser>
          <idx val="1"/>
          <order val="1"/>
          <tx>
            <v>c2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'Plot_Parity_6_2'!$H$2:$H$51</f>
            </numRef>
          </xVal>
          <yVal>
            <numRef>
              <f>'Plot_Parity_6_2'!$I$2:$I$51</f>
            </numRef>
          </yVal>
        </ser>
        <ser>
          <idx val="2"/>
          <order val="2"/>
          <tx>
            <v>c3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'Plot_Parity_6_2'!$J$2:$J$51</f>
            </numRef>
          </xVal>
          <yVal>
            <numRef>
              <f>'Plot_Parity_6_2'!$K$2:$K$51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Plot (K vs bss/tss)</a:t>
            </a:r>
          </a:p>
        </rich>
      </tx>
    </title>
    <plotArea>
      <lineChart>
        <grouping val="standard"/>
        <ser>
          <idx val="0"/>
          <order val="0"/>
          <tx>
            <strRef>
              <f>'Plot_Parity_6_2'!N1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'Plot_Parity_6_2'!$M$2:$M$11</f>
            </numRef>
          </cat>
          <val>
            <numRef>
              <f>'Plot_Parity_6_2'!$N$2:$N$11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Dendrogram (complete)</a:t>
            </a:r>
          </a:p>
        </rich>
      </tx>
    </title>
    <plotArea>
      <scatterChart>
        <ser>
          <idx val="0"/>
          <order val="0"/>
          <tx>
            <v>s1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'Plot_Parity_6_2'!$T$2:$T$5</f>
            </numRef>
          </xVal>
          <yVal>
            <numRef>
              <f>'Plot_Parity_6_2'!$U$2:$U$5</f>
            </numRef>
          </yVal>
        </ser>
        <ser>
          <idx val="1"/>
          <order val="1"/>
          <tx>
            <v>s2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'Plot_Parity_6_2'!$T$7:$T$10</f>
            </numRef>
          </xVal>
          <yVal>
            <numRef>
              <f>'Plot_Parity_6_2'!$U$7:$U$10</f>
            </numRef>
          </yVal>
        </ser>
        <ser>
          <idx val="2"/>
          <order val="2"/>
          <tx>
            <v>s3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'Plot_Parity_6_2'!$T$12:$T$15</f>
            </numRef>
          </xVal>
          <yVal>
            <numRef>
              <f>'Plot_Parity_6_2'!$U$12:$U$15</f>
            </numRef>
          </yVal>
        </ser>
        <ser>
          <idx val="3"/>
          <order val="3"/>
          <tx>
            <v>s4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'Plot_Parity_6_2'!$T$17:$T$20</f>
            </numRef>
          </xVal>
          <yVal>
            <numRef>
              <f>'Plot_Parity_6_2'!$U$17:$U$20</f>
            </numRef>
          </yVal>
        </ser>
        <ser>
          <idx val="4"/>
          <order val="4"/>
          <tx>
            <v>s5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'Plot_Parity_6_2'!$T$22:$T$25</f>
            </numRef>
          </xVal>
          <yVal>
            <numRef>
              <f>'Plot_Parity_6_2'!$U$22:$U$25</f>
            </numRef>
          </yVal>
        </ser>
        <ser>
          <idx val="5"/>
          <order val="5"/>
          <tx>
            <v>s6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'Plot_Parity_6_2'!$T$27:$T$30</f>
            </numRef>
          </xVal>
          <yVal>
            <numRef>
              <f>'Plot_Parity_6_2'!$U$27:$U$30</f>
            </numRef>
          </yVal>
        </ser>
        <ser>
          <idx val="6"/>
          <order val="6"/>
          <tx>
            <v>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'Plot_Parity_6_2'!$T$32:$T$35</f>
            </numRef>
          </xVal>
          <yVal>
            <numRef>
              <f>'Plot_Parity_6_2'!$U$32:$U$35</f>
            </numRef>
          </yVal>
        </ser>
        <ser>
          <idx val="7"/>
          <order val="7"/>
          <tx>
            <v>s8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'Plot_Parity_6_2'!$T$37:$T$40</f>
            </numRef>
          </xVal>
          <yVal>
            <numRef>
              <f>'Plot_Parity_6_2'!$U$37:$U$40</f>
            </numRef>
          </yVal>
        </ser>
        <ser>
          <idx val="8"/>
          <order val="8"/>
          <tx>
            <v>s9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'Plot_Parity_6_2'!$T$42:$T$45</f>
            </numRef>
          </xVal>
          <yVal>
            <numRef>
              <f>'Plot_Parity_6_2'!$U$42:$U$45</f>
            </numRef>
          </yVal>
        </ser>
        <ser>
          <idx val="9"/>
          <order val="9"/>
          <tx>
            <v>s10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'Plot_Parity_6_2'!$T$47:$T$50</f>
            </numRef>
          </xVal>
          <yVal>
            <numRef>
              <f>'Plot_Parity_6_2'!$U$47:$U$50</f>
            </numRef>
          </yVal>
        </ser>
        <ser>
          <idx val="10"/>
          <order val="10"/>
          <tx>
            <v>s11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'Plot_Parity_6_2'!$T$52:$T$55</f>
            </numRef>
          </xVal>
          <yVal>
            <numRef>
              <f>'Plot_Parity_6_2'!$U$52:$U$55</f>
            </numRef>
          </yVal>
        </ser>
        <ser>
          <idx val="11"/>
          <order val="11"/>
          <tx>
            <v>s12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'Plot_Parity_6_2'!$T$57:$T$60</f>
            </numRef>
          </xVal>
          <yVal>
            <numRef>
              <f>'Plot_Parity_6_2'!$U$57:$U$60</f>
            </numRef>
          </yVal>
        </ser>
        <ser>
          <idx val="12"/>
          <order val="12"/>
          <tx>
            <v>s13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'Plot_Parity_6_2'!$T$62:$T$65</f>
            </numRef>
          </xVal>
          <yVal>
            <numRef>
              <f>'Plot_Parity_6_2'!$U$62:$U$65</f>
            </numRef>
          </yVal>
        </ser>
        <ser>
          <idx val="13"/>
          <order val="13"/>
          <tx>
            <v>s14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'Plot_Parity_6_2'!$T$67:$T$70</f>
            </numRef>
          </xVal>
          <yVal>
            <numRef>
              <f>'Plot_Parity_6_2'!$U$67:$U$70</f>
            </numRef>
          </yVal>
        </ser>
        <ser>
          <idx val="14"/>
          <order val="14"/>
          <tx>
            <v>s15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'Plot_Parity_6_2'!$T$72:$T$75</f>
            </numRef>
          </xVal>
          <yVal>
            <numRef>
              <f>'Plot_Parity_6_2'!$U$72:$U$75</f>
            </numRef>
          </yVal>
        </ser>
        <ser>
          <idx val="15"/>
          <order val="15"/>
          <tx>
            <v>s16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'Plot_Parity_6_2'!$T$77:$T$80</f>
            </numRef>
          </xVal>
          <yVal>
            <numRef>
              <f>'Plot_Parity_6_2'!$U$77:$U$80</f>
            </numRef>
          </yVal>
        </ser>
        <ser>
          <idx val="16"/>
          <order val="16"/>
          <tx>
            <v>s17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'Plot_Parity_6_2'!$T$82:$T$85</f>
            </numRef>
          </xVal>
          <yVal>
            <numRef>
              <f>'Plot_Parity_6_2'!$U$82:$U$85</f>
            </numRef>
          </yVal>
        </ser>
        <ser>
          <idx val="17"/>
          <order val="17"/>
          <tx>
            <v>s18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'Plot_Parity_6_2'!$T$87:$T$90</f>
            </numRef>
          </xVal>
          <yVal>
            <numRef>
              <f>'Plot_Parity_6_2'!$U$87:$U$90</f>
            </numRef>
          </yVal>
        </ser>
        <ser>
          <idx val="18"/>
          <order val="18"/>
          <tx>
            <v>s19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'Plot_Parity_6_2'!$T$92:$T$95</f>
            </numRef>
          </xVal>
          <yVal>
            <numRef>
              <f>'Plot_Parity_6_2'!$U$92:$U$95</f>
            </numRef>
          </yVal>
        </ser>
        <ser>
          <idx val="19"/>
          <order val="19"/>
          <tx>
            <v>s20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'Plot_Parity_6_2'!$T$97:$T$100</f>
            </numRef>
          </xVal>
          <yVal>
            <numRef>
              <f>'Plot_Parity_6_2'!$U$97:$U$100</f>
            </numRef>
          </yVal>
        </ser>
        <ser>
          <idx val="20"/>
          <order val="20"/>
          <tx>
            <v>s21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'Plot_Parity_6_2'!$T$102:$T$105</f>
            </numRef>
          </xVal>
          <yVal>
            <numRef>
              <f>'Plot_Parity_6_2'!$U$102:$U$105</f>
            </numRef>
          </yVal>
        </ser>
        <ser>
          <idx val="21"/>
          <order val="21"/>
          <tx>
            <v>s22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'Plot_Parity_6_2'!$T$107:$T$110</f>
            </numRef>
          </xVal>
          <yVal>
            <numRef>
              <f>'Plot_Parity_6_2'!$U$107:$U$110</f>
            </numRef>
          </yVal>
        </ser>
        <ser>
          <idx val="22"/>
          <order val="22"/>
          <tx>
            <v>s23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'Plot_Parity_6_2'!$T$112:$T$115</f>
            </numRef>
          </xVal>
          <yVal>
            <numRef>
              <f>'Plot_Parity_6_2'!$U$112:$U$115</f>
            </numRef>
          </yVal>
        </ser>
        <ser>
          <idx val="23"/>
          <order val="23"/>
          <tx>
            <v>s24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'Plot_Parity_6_2'!$T$117:$T$120</f>
            </numRef>
          </xVal>
          <yVal>
            <numRef>
              <f>'Plot_Parity_6_2'!$U$117:$U$120</f>
            </numRef>
          </yVal>
        </ser>
        <ser>
          <idx val="24"/>
          <order val="24"/>
          <tx>
            <v>s25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'Plot_Parity_6_2'!$T$122:$T$125</f>
            </numRef>
          </xVal>
          <yVal>
            <numRef>
              <f>'Plot_Parity_6_2'!$U$122:$U$125</f>
            </numRef>
          </yVal>
        </ser>
        <ser>
          <idx val="25"/>
          <order val="25"/>
          <tx>
            <v>s26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'Plot_Parity_6_2'!$T$127:$T$130</f>
            </numRef>
          </xVal>
          <yVal>
            <numRef>
              <f>'Plot_Parity_6_2'!$U$127:$U$130</f>
            </numRef>
          </yVal>
        </ser>
        <ser>
          <idx val="26"/>
          <order val="26"/>
          <tx>
            <v>s27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'Plot_Parity_6_2'!$T$132:$T$135</f>
            </numRef>
          </xVal>
          <yVal>
            <numRef>
              <f>'Plot_Parity_6_2'!$U$132:$U$135</f>
            </numRef>
          </yVal>
        </ser>
        <ser>
          <idx val="27"/>
          <order val="27"/>
          <tx>
            <v>s28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'Plot_Parity_6_2'!$T$137:$T$140</f>
            </numRef>
          </xVal>
          <yVal>
            <numRef>
              <f>'Plot_Parity_6_2'!$U$137:$U$140</f>
            </numRef>
          </yVal>
        </ser>
        <ser>
          <idx val="28"/>
          <order val="28"/>
          <tx>
            <v>s29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'Plot_Parity_6_2'!$T$142:$T$145</f>
            </numRef>
          </xVal>
          <yVal>
            <numRef>
              <f>'Plot_Parity_6_2'!$U$142:$U$145</f>
            </numRef>
          </yVal>
        </ser>
        <ser>
          <idx val="29"/>
          <order val="29"/>
          <tx>
            <v>s30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'Plot_Parity_6_2'!$T$147:$T$150</f>
            </numRef>
          </xVal>
          <yVal>
            <numRef>
              <f>'Plot_Parity_6_2'!$U$147:$U$150</f>
            </numRef>
          </yVal>
        </ser>
        <ser>
          <idx val="30"/>
          <order val="30"/>
          <tx>
            <v>s31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'Plot_Parity_6_2'!$T$152:$T$155</f>
            </numRef>
          </xVal>
          <yVal>
            <numRef>
              <f>'Plot_Parity_6_2'!$U$152:$U$155</f>
            </numRef>
          </yVal>
        </ser>
        <ser>
          <idx val="31"/>
          <order val="31"/>
          <tx>
            <v>s32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'Plot_Parity_6_2'!$T$157:$T$160</f>
            </numRef>
          </xVal>
          <yVal>
            <numRef>
              <f>'Plot_Parity_6_2'!$U$157:$U$160</f>
            </numRef>
          </yVal>
        </ser>
        <ser>
          <idx val="32"/>
          <order val="32"/>
          <tx>
            <v>s33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'Plot_Parity_6_2'!$T$162:$T$165</f>
            </numRef>
          </xVal>
          <yVal>
            <numRef>
              <f>'Plot_Parity_6_2'!$U$162:$U$165</f>
            </numRef>
          </yVal>
        </ser>
        <ser>
          <idx val="33"/>
          <order val="33"/>
          <tx>
            <v>s34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'Plot_Parity_6_2'!$T$167:$T$170</f>
            </numRef>
          </xVal>
          <yVal>
            <numRef>
              <f>'Plot_Parity_6_2'!$U$167:$U$170</f>
            </numRef>
          </yVal>
        </ser>
        <ser>
          <idx val="34"/>
          <order val="34"/>
          <tx>
            <v>s35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'Plot_Parity_6_2'!$T$172:$T$175</f>
            </numRef>
          </xVal>
          <yVal>
            <numRef>
              <f>'Plot_Parity_6_2'!$U$172:$U$175</f>
            </numRef>
          </yVal>
        </ser>
        <ser>
          <idx val="35"/>
          <order val="35"/>
          <tx>
            <v>s36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'Plot_Parity_6_2'!$T$177:$T$180</f>
            </numRef>
          </xVal>
          <yVal>
            <numRef>
              <f>'Plot_Parity_6_2'!$U$177:$U$180</f>
            </numRef>
          </yVal>
        </ser>
        <ser>
          <idx val="36"/>
          <order val="36"/>
          <tx>
            <v>s37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'Plot_Parity_6_2'!$T$182:$T$185</f>
            </numRef>
          </xVal>
          <yVal>
            <numRef>
              <f>'Plot_Parity_6_2'!$U$182:$U$185</f>
            </numRef>
          </yVal>
        </ser>
        <ser>
          <idx val="37"/>
          <order val="37"/>
          <tx>
            <v>s38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'Plot_Parity_6_2'!$T$187:$T$190</f>
            </numRef>
          </xVal>
          <yVal>
            <numRef>
              <f>'Plot_Parity_6_2'!$U$187:$U$190</f>
            </numRef>
          </yVal>
        </ser>
        <ser>
          <idx val="38"/>
          <order val="38"/>
          <tx>
            <v>s39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'Plot_Parity_6_2'!$T$192:$T$195</f>
            </numRef>
          </xVal>
          <yVal>
            <numRef>
              <f>'Plot_Parity_6_2'!$U$192:$U$195</f>
            </numRef>
          </yVal>
        </ser>
        <ser>
          <idx val="39"/>
          <order val="39"/>
          <tx>
            <v>s40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'Plot_Parity_6_2'!$T$197:$T$200</f>
            </numRef>
          </xVal>
          <yVal>
            <numRef>
              <f>'Plot_Parity_6_2'!$U$197:$U$200</f>
            </numRef>
          </yVal>
        </ser>
        <ser>
          <idx val="40"/>
          <order val="40"/>
          <tx>
            <v>s41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'Plot_Parity_6_2'!$T$202:$T$205</f>
            </numRef>
          </xVal>
          <yVal>
            <numRef>
              <f>'Plot_Parity_6_2'!$U$202:$U$205</f>
            </numRef>
          </yVal>
        </ser>
        <ser>
          <idx val="41"/>
          <order val="41"/>
          <tx>
            <v>s42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'Plot_Parity_6_2'!$T$207:$T$210</f>
            </numRef>
          </xVal>
          <yVal>
            <numRef>
              <f>'Plot_Parity_6_2'!$U$207:$U$210</f>
            </numRef>
          </yVal>
        </ser>
        <ser>
          <idx val="42"/>
          <order val="42"/>
          <tx>
            <v>s43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'Plot_Parity_6_2'!$T$212:$T$215</f>
            </numRef>
          </xVal>
          <yVal>
            <numRef>
              <f>'Plot_Parity_6_2'!$U$212:$U$215</f>
            </numRef>
          </yVal>
        </ser>
        <ser>
          <idx val="43"/>
          <order val="43"/>
          <tx>
            <v>s44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'Plot_Parity_6_2'!$T$217:$T$220</f>
            </numRef>
          </xVal>
          <yVal>
            <numRef>
              <f>'Plot_Parity_6_2'!$U$217:$U$220</f>
            </numRef>
          </yVal>
        </ser>
        <ser>
          <idx val="44"/>
          <order val="44"/>
          <tx>
            <v>s45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'Plot_Parity_6_2'!$T$222:$T$225</f>
            </numRef>
          </xVal>
          <yVal>
            <numRef>
              <f>'Plot_Parity_6_2'!$U$222:$U$225</f>
            </numRef>
          </yVal>
        </ser>
        <ser>
          <idx val="45"/>
          <order val="45"/>
          <tx>
            <v>s46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'Plot_Parity_6_2'!$T$227:$T$230</f>
            </numRef>
          </xVal>
          <yVal>
            <numRef>
              <f>'Plot_Parity_6_2'!$U$227:$U$230</f>
            </numRef>
          </yVal>
        </ser>
        <ser>
          <idx val="46"/>
          <order val="46"/>
          <tx>
            <v>s47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'Plot_Parity_6_2'!$T$232:$T$235</f>
            </numRef>
          </xVal>
          <yVal>
            <numRef>
              <f>'Plot_Parity_6_2'!$U$232:$U$235</f>
            </numRef>
          </yVal>
        </ser>
        <ser>
          <idx val="47"/>
          <order val="47"/>
          <tx>
            <v>s48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'Plot_Parity_6_2'!$T$237:$T$240</f>
            </numRef>
          </xVal>
          <yVal>
            <numRef>
              <f>'Plot_Parity_6_2'!$U$237:$U$240</f>
            </numRef>
          </yVal>
        </ser>
        <ser>
          <idx val="48"/>
          <order val="48"/>
          <tx>
            <v>s49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'Plot_Parity_6_2'!$T$242:$T$245</f>
            </numRef>
          </xVal>
          <yVal>
            <numRef>
              <f>'Plot_Parity_6_2'!$U$242:$U$245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 order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Dendrogram (single)</a:t>
            </a:r>
          </a:p>
        </rich>
      </tx>
    </title>
    <plotArea>
      <scatterChart>
        <ser>
          <idx val="0"/>
          <order val="0"/>
          <tx>
            <v>s1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'Plot_Parity_6_2'!$AA$260:$AA$263</f>
            </numRef>
          </xVal>
          <yVal>
            <numRef>
              <f>'Plot_Parity_6_2'!$AB$260:$AB$263</f>
            </numRef>
          </yVal>
        </ser>
        <ser>
          <idx val="1"/>
          <order val="1"/>
          <tx>
            <v>s2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'Plot_Parity_6_2'!$AA$265:$AA$268</f>
            </numRef>
          </xVal>
          <yVal>
            <numRef>
              <f>'Plot_Parity_6_2'!$AB$265:$AB$268</f>
            </numRef>
          </yVal>
        </ser>
        <ser>
          <idx val="2"/>
          <order val="2"/>
          <tx>
            <v>s3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'Plot_Parity_6_2'!$AA$270:$AA$273</f>
            </numRef>
          </xVal>
          <yVal>
            <numRef>
              <f>'Plot_Parity_6_2'!$AB$270:$AB$273</f>
            </numRef>
          </yVal>
        </ser>
        <ser>
          <idx val="3"/>
          <order val="3"/>
          <tx>
            <v>s4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'Plot_Parity_6_2'!$AA$275:$AA$278</f>
            </numRef>
          </xVal>
          <yVal>
            <numRef>
              <f>'Plot_Parity_6_2'!$AB$275:$AB$278</f>
            </numRef>
          </yVal>
        </ser>
        <ser>
          <idx val="4"/>
          <order val="4"/>
          <tx>
            <v>s5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'Plot_Parity_6_2'!$AA$280:$AA$283</f>
            </numRef>
          </xVal>
          <yVal>
            <numRef>
              <f>'Plot_Parity_6_2'!$AB$280:$AB$283</f>
            </numRef>
          </yVal>
        </ser>
        <ser>
          <idx val="5"/>
          <order val="5"/>
          <tx>
            <v>s6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'Plot_Parity_6_2'!$AA$285:$AA$288</f>
            </numRef>
          </xVal>
          <yVal>
            <numRef>
              <f>'Plot_Parity_6_2'!$AB$285:$AB$288</f>
            </numRef>
          </yVal>
        </ser>
        <ser>
          <idx val="6"/>
          <order val="6"/>
          <tx>
            <v>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'Plot_Parity_6_2'!$AA$290:$AA$293</f>
            </numRef>
          </xVal>
          <yVal>
            <numRef>
              <f>'Plot_Parity_6_2'!$AB$290:$AB$293</f>
            </numRef>
          </yVal>
        </ser>
        <ser>
          <idx val="7"/>
          <order val="7"/>
          <tx>
            <v>s8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'Plot_Parity_6_2'!$AA$295:$AA$298</f>
            </numRef>
          </xVal>
          <yVal>
            <numRef>
              <f>'Plot_Parity_6_2'!$AB$295:$AB$298</f>
            </numRef>
          </yVal>
        </ser>
        <ser>
          <idx val="8"/>
          <order val="8"/>
          <tx>
            <v>s9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'Plot_Parity_6_2'!$AA$300:$AA$303</f>
            </numRef>
          </xVal>
          <yVal>
            <numRef>
              <f>'Plot_Parity_6_2'!$AB$300:$AB$303</f>
            </numRef>
          </yVal>
        </ser>
        <ser>
          <idx val="9"/>
          <order val="9"/>
          <tx>
            <v>s10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'Plot_Parity_6_2'!$AA$305:$AA$308</f>
            </numRef>
          </xVal>
          <yVal>
            <numRef>
              <f>'Plot_Parity_6_2'!$AB$305:$AB$308</f>
            </numRef>
          </yVal>
        </ser>
        <ser>
          <idx val="10"/>
          <order val="10"/>
          <tx>
            <v>s11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'Plot_Parity_6_2'!$AA$310:$AA$313</f>
            </numRef>
          </xVal>
          <yVal>
            <numRef>
              <f>'Plot_Parity_6_2'!$AB$310:$AB$313</f>
            </numRef>
          </yVal>
        </ser>
        <ser>
          <idx val="11"/>
          <order val="11"/>
          <tx>
            <v>s12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'Plot_Parity_6_2'!$AA$315:$AA$318</f>
            </numRef>
          </xVal>
          <yVal>
            <numRef>
              <f>'Plot_Parity_6_2'!$AB$315:$AB$318</f>
            </numRef>
          </yVal>
        </ser>
        <ser>
          <idx val="12"/>
          <order val="12"/>
          <tx>
            <v>s13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'Plot_Parity_6_2'!$AA$320:$AA$323</f>
            </numRef>
          </xVal>
          <yVal>
            <numRef>
              <f>'Plot_Parity_6_2'!$AB$320:$AB$323</f>
            </numRef>
          </yVal>
        </ser>
        <ser>
          <idx val="13"/>
          <order val="13"/>
          <tx>
            <v>s14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'Plot_Parity_6_2'!$AA$325:$AA$328</f>
            </numRef>
          </xVal>
          <yVal>
            <numRef>
              <f>'Plot_Parity_6_2'!$AB$325:$AB$328</f>
            </numRef>
          </yVal>
        </ser>
        <ser>
          <idx val="14"/>
          <order val="14"/>
          <tx>
            <v>s15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'Plot_Parity_6_2'!$AA$330:$AA$333</f>
            </numRef>
          </xVal>
          <yVal>
            <numRef>
              <f>'Plot_Parity_6_2'!$AB$330:$AB$333</f>
            </numRef>
          </yVal>
        </ser>
        <ser>
          <idx val="15"/>
          <order val="15"/>
          <tx>
            <v>s16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'Plot_Parity_6_2'!$AA$335:$AA$338</f>
            </numRef>
          </xVal>
          <yVal>
            <numRef>
              <f>'Plot_Parity_6_2'!$AB$335:$AB$338</f>
            </numRef>
          </yVal>
        </ser>
        <ser>
          <idx val="16"/>
          <order val="16"/>
          <tx>
            <v>s17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'Plot_Parity_6_2'!$AA$340:$AA$343</f>
            </numRef>
          </xVal>
          <yVal>
            <numRef>
              <f>'Plot_Parity_6_2'!$AB$340:$AB$343</f>
            </numRef>
          </yVal>
        </ser>
        <ser>
          <idx val="17"/>
          <order val="17"/>
          <tx>
            <v>s18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'Plot_Parity_6_2'!$AA$345:$AA$348</f>
            </numRef>
          </xVal>
          <yVal>
            <numRef>
              <f>'Plot_Parity_6_2'!$AB$345:$AB$348</f>
            </numRef>
          </yVal>
        </ser>
        <ser>
          <idx val="18"/>
          <order val="18"/>
          <tx>
            <v>s19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'Plot_Parity_6_2'!$AA$350:$AA$353</f>
            </numRef>
          </xVal>
          <yVal>
            <numRef>
              <f>'Plot_Parity_6_2'!$AB$350:$AB$353</f>
            </numRef>
          </yVal>
        </ser>
        <ser>
          <idx val="19"/>
          <order val="19"/>
          <tx>
            <v>s20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'Plot_Parity_6_2'!$AA$355:$AA$358</f>
            </numRef>
          </xVal>
          <yVal>
            <numRef>
              <f>'Plot_Parity_6_2'!$AB$355:$AB$358</f>
            </numRef>
          </yVal>
        </ser>
        <ser>
          <idx val="20"/>
          <order val="20"/>
          <tx>
            <v>s21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'Plot_Parity_6_2'!$AA$360:$AA$363</f>
            </numRef>
          </xVal>
          <yVal>
            <numRef>
              <f>'Plot_Parity_6_2'!$AB$360:$AB$363</f>
            </numRef>
          </yVal>
        </ser>
        <ser>
          <idx val="21"/>
          <order val="21"/>
          <tx>
            <v>s22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'Plot_Parity_6_2'!$AA$365:$AA$368</f>
            </numRef>
          </xVal>
          <yVal>
            <numRef>
              <f>'Plot_Parity_6_2'!$AB$365:$AB$368</f>
            </numRef>
          </yVal>
        </ser>
        <ser>
          <idx val="22"/>
          <order val="22"/>
          <tx>
            <v>s23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'Plot_Parity_6_2'!$AA$370:$AA$373</f>
            </numRef>
          </xVal>
          <yVal>
            <numRef>
              <f>'Plot_Parity_6_2'!$AB$370:$AB$373</f>
            </numRef>
          </yVal>
        </ser>
        <ser>
          <idx val="23"/>
          <order val="23"/>
          <tx>
            <v>s24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'Plot_Parity_6_2'!$AA$375:$AA$378</f>
            </numRef>
          </xVal>
          <yVal>
            <numRef>
              <f>'Plot_Parity_6_2'!$AB$375:$AB$378</f>
            </numRef>
          </yVal>
        </ser>
        <ser>
          <idx val="24"/>
          <order val="24"/>
          <tx>
            <v>s25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'Plot_Parity_6_2'!$AA$380:$AA$383</f>
            </numRef>
          </xVal>
          <yVal>
            <numRef>
              <f>'Plot_Parity_6_2'!$AB$380:$AB$383</f>
            </numRef>
          </yVal>
        </ser>
        <ser>
          <idx val="25"/>
          <order val="25"/>
          <tx>
            <v>s26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'Plot_Parity_6_2'!$AA$385:$AA$388</f>
            </numRef>
          </xVal>
          <yVal>
            <numRef>
              <f>'Plot_Parity_6_2'!$AB$385:$AB$388</f>
            </numRef>
          </yVal>
        </ser>
        <ser>
          <idx val="26"/>
          <order val="26"/>
          <tx>
            <v>s27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'Plot_Parity_6_2'!$AA$390:$AA$393</f>
            </numRef>
          </xVal>
          <yVal>
            <numRef>
              <f>'Plot_Parity_6_2'!$AB$390:$AB$393</f>
            </numRef>
          </yVal>
        </ser>
        <ser>
          <idx val="27"/>
          <order val="27"/>
          <tx>
            <v>s28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'Plot_Parity_6_2'!$AA$395:$AA$398</f>
            </numRef>
          </xVal>
          <yVal>
            <numRef>
              <f>'Plot_Parity_6_2'!$AB$395:$AB$398</f>
            </numRef>
          </yVal>
        </ser>
        <ser>
          <idx val="28"/>
          <order val="28"/>
          <tx>
            <v>s29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'Plot_Parity_6_2'!$AA$400:$AA$403</f>
            </numRef>
          </xVal>
          <yVal>
            <numRef>
              <f>'Plot_Parity_6_2'!$AB$400:$AB$403</f>
            </numRef>
          </yVal>
        </ser>
        <ser>
          <idx val="29"/>
          <order val="29"/>
          <tx>
            <v>s30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'Plot_Parity_6_2'!$AA$405:$AA$408</f>
            </numRef>
          </xVal>
          <yVal>
            <numRef>
              <f>'Plot_Parity_6_2'!$AB$405:$AB$408</f>
            </numRef>
          </yVal>
        </ser>
        <ser>
          <idx val="30"/>
          <order val="30"/>
          <tx>
            <v>s31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'Plot_Parity_6_2'!$AA$410:$AA$413</f>
            </numRef>
          </xVal>
          <yVal>
            <numRef>
              <f>'Plot_Parity_6_2'!$AB$410:$AB$413</f>
            </numRef>
          </yVal>
        </ser>
        <ser>
          <idx val="31"/>
          <order val="31"/>
          <tx>
            <v>s32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'Plot_Parity_6_2'!$AA$415:$AA$418</f>
            </numRef>
          </xVal>
          <yVal>
            <numRef>
              <f>'Plot_Parity_6_2'!$AB$415:$AB$418</f>
            </numRef>
          </yVal>
        </ser>
        <ser>
          <idx val="32"/>
          <order val="32"/>
          <tx>
            <v>s33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'Plot_Parity_6_2'!$AA$420:$AA$423</f>
            </numRef>
          </xVal>
          <yVal>
            <numRef>
              <f>'Plot_Parity_6_2'!$AB$420:$AB$423</f>
            </numRef>
          </yVal>
        </ser>
        <ser>
          <idx val="33"/>
          <order val="33"/>
          <tx>
            <v>s34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'Plot_Parity_6_2'!$AA$425:$AA$428</f>
            </numRef>
          </xVal>
          <yVal>
            <numRef>
              <f>'Plot_Parity_6_2'!$AB$425:$AB$428</f>
            </numRef>
          </yVal>
        </ser>
        <ser>
          <idx val="34"/>
          <order val="34"/>
          <tx>
            <v>s35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'Plot_Parity_6_2'!$AA$430:$AA$433</f>
            </numRef>
          </xVal>
          <yVal>
            <numRef>
              <f>'Plot_Parity_6_2'!$AB$430:$AB$433</f>
            </numRef>
          </yVal>
        </ser>
        <ser>
          <idx val="35"/>
          <order val="35"/>
          <tx>
            <v>s36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'Plot_Parity_6_2'!$AA$435:$AA$438</f>
            </numRef>
          </xVal>
          <yVal>
            <numRef>
              <f>'Plot_Parity_6_2'!$AB$435:$AB$438</f>
            </numRef>
          </yVal>
        </ser>
        <ser>
          <idx val="36"/>
          <order val="36"/>
          <tx>
            <v>s37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'Plot_Parity_6_2'!$AA$440:$AA$443</f>
            </numRef>
          </xVal>
          <yVal>
            <numRef>
              <f>'Plot_Parity_6_2'!$AB$440:$AB$443</f>
            </numRef>
          </yVal>
        </ser>
        <ser>
          <idx val="37"/>
          <order val="37"/>
          <tx>
            <v>s38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'Plot_Parity_6_2'!$AA$445:$AA$448</f>
            </numRef>
          </xVal>
          <yVal>
            <numRef>
              <f>'Plot_Parity_6_2'!$AB$445:$AB$448</f>
            </numRef>
          </yVal>
        </ser>
        <ser>
          <idx val="38"/>
          <order val="38"/>
          <tx>
            <v>s39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'Plot_Parity_6_2'!$AA$450:$AA$453</f>
            </numRef>
          </xVal>
          <yVal>
            <numRef>
              <f>'Plot_Parity_6_2'!$AB$450:$AB$453</f>
            </numRef>
          </yVal>
        </ser>
        <ser>
          <idx val="39"/>
          <order val="39"/>
          <tx>
            <v>s40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'Plot_Parity_6_2'!$AA$455:$AA$458</f>
            </numRef>
          </xVal>
          <yVal>
            <numRef>
              <f>'Plot_Parity_6_2'!$AB$455:$AB$458</f>
            </numRef>
          </yVal>
        </ser>
        <ser>
          <idx val="40"/>
          <order val="40"/>
          <tx>
            <v>s41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'Plot_Parity_6_2'!$AA$460:$AA$463</f>
            </numRef>
          </xVal>
          <yVal>
            <numRef>
              <f>'Plot_Parity_6_2'!$AB$460:$AB$463</f>
            </numRef>
          </yVal>
        </ser>
        <ser>
          <idx val="41"/>
          <order val="41"/>
          <tx>
            <v>s42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'Plot_Parity_6_2'!$AA$465:$AA$468</f>
            </numRef>
          </xVal>
          <yVal>
            <numRef>
              <f>'Plot_Parity_6_2'!$AB$465:$AB$468</f>
            </numRef>
          </yVal>
        </ser>
        <ser>
          <idx val="42"/>
          <order val="42"/>
          <tx>
            <v>s43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'Plot_Parity_6_2'!$AA$470:$AA$473</f>
            </numRef>
          </xVal>
          <yVal>
            <numRef>
              <f>'Plot_Parity_6_2'!$AB$470:$AB$473</f>
            </numRef>
          </yVal>
        </ser>
        <ser>
          <idx val="43"/>
          <order val="43"/>
          <tx>
            <v>s44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'Plot_Parity_6_2'!$AA$475:$AA$478</f>
            </numRef>
          </xVal>
          <yVal>
            <numRef>
              <f>'Plot_Parity_6_2'!$AB$475:$AB$478</f>
            </numRef>
          </yVal>
        </ser>
        <ser>
          <idx val="44"/>
          <order val="44"/>
          <tx>
            <v>s45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'Plot_Parity_6_2'!$AA$480:$AA$483</f>
            </numRef>
          </xVal>
          <yVal>
            <numRef>
              <f>'Plot_Parity_6_2'!$AB$480:$AB$483</f>
            </numRef>
          </yVal>
        </ser>
        <ser>
          <idx val="45"/>
          <order val="45"/>
          <tx>
            <v>s46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'Plot_Parity_6_2'!$AA$485:$AA$488</f>
            </numRef>
          </xVal>
          <yVal>
            <numRef>
              <f>'Plot_Parity_6_2'!$AB$485:$AB$488</f>
            </numRef>
          </yVal>
        </ser>
        <ser>
          <idx val="46"/>
          <order val="46"/>
          <tx>
            <v>s47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'Plot_Parity_6_2'!$AA$490:$AA$493</f>
            </numRef>
          </xVal>
          <yVal>
            <numRef>
              <f>'Plot_Parity_6_2'!$AB$490:$AB$493</f>
            </numRef>
          </yVal>
        </ser>
        <ser>
          <idx val="47"/>
          <order val="47"/>
          <tx>
            <v>s48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'Plot_Parity_6_2'!$AA$495:$AA$498</f>
            </numRef>
          </xVal>
          <yVal>
            <numRef>
              <f>'Plot_Parity_6_2'!$AB$495:$AB$498</f>
            </numRef>
          </yVal>
        </ser>
        <ser>
          <idx val="48"/>
          <order val="48"/>
          <tx>
            <v>s49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'Plot_Parity_6_2'!$AA$500:$AA$503</f>
            </numRef>
          </xVal>
          <yVal>
            <numRef>
              <f>'Plot_Parity_6_2'!$AB$500:$AB$503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 order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Dendrogram (average)</a:t>
            </a:r>
          </a:p>
        </rich>
      </tx>
    </title>
    <plotArea>
      <scatterChart>
        <ser>
          <idx val="0"/>
          <order val="0"/>
          <tx>
            <v>s1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'Plot_Parity_6_2'!$T$520:$T$523</f>
            </numRef>
          </xVal>
          <yVal>
            <numRef>
              <f>'Plot_Parity_6_2'!$U$520:$U$523</f>
            </numRef>
          </yVal>
        </ser>
        <ser>
          <idx val="1"/>
          <order val="1"/>
          <tx>
            <v>s2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'Plot_Parity_6_2'!$T$525:$T$528</f>
            </numRef>
          </xVal>
          <yVal>
            <numRef>
              <f>'Plot_Parity_6_2'!$U$525:$U$528</f>
            </numRef>
          </yVal>
        </ser>
        <ser>
          <idx val="2"/>
          <order val="2"/>
          <tx>
            <v>s3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'Plot_Parity_6_2'!$T$530:$T$533</f>
            </numRef>
          </xVal>
          <yVal>
            <numRef>
              <f>'Plot_Parity_6_2'!$U$530:$U$533</f>
            </numRef>
          </yVal>
        </ser>
        <ser>
          <idx val="3"/>
          <order val="3"/>
          <tx>
            <v>s4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'Plot_Parity_6_2'!$T$535:$T$538</f>
            </numRef>
          </xVal>
          <yVal>
            <numRef>
              <f>'Plot_Parity_6_2'!$U$535:$U$538</f>
            </numRef>
          </yVal>
        </ser>
        <ser>
          <idx val="4"/>
          <order val="4"/>
          <tx>
            <v>s5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'Plot_Parity_6_2'!$T$540:$T$543</f>
            </numRef>
          </xVal>
          <yVal>
            <numRef>
              <f>'Plot_Parity_6_2'!$U$540:$U$543</f>
            </numRef>
          </yVal>
        </ser>
        <ser>
          <idx val="5"/>
          <order val="5"/>
          <tx>
            <v>s6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'Plot_Parity_6_2'!$T$545:$T$548</f>
            </numRef>
          </xVal>
          <yVal>
            <numRef>
              <f>'Plot_Parity_6_2'!$U$545:$U$548</f>
            </numRef>
          </yVal>
        </ser>
        <ser>
          <idx val="6"/>
          <order val="6"/>
          <tx>
            <v>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'Plot_Parity_6_2'!$T$550:$T$553</f>
            </numRef>
          </xVal>
          <yVal>
            <numRef>
              <f>'Plot_Parity_6_2'!$U$550:$U$553</f>
            </numRef>
          </yVal>
        </ser>
        <ser>
          <idx val="7"/>
          <order val="7"/>
          <tx>
            <v>s8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'Plot_Parity_6_2'!$T$555:$T$558</f>
            </numRef>
          </xVal>
          <yVal>
            <numRef>
              <f>'Plot_Parity_6_2'!$U$555:$U$558</f>
            </numRef>
          </yVal>
        </ser>
        <ser>
          <idx val="8"/>
          <order val="8"/>
          <tx>
            <v>s9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'Plot_Parity_6_2'!$T$560:$T$563</f>
            </numRef>
          </xVal>
          <yVal>
            <numRef>
              <f>'Plot_Parity_6_2'!$U$560:$U$563</f>
            </numRef>
          </yVal>
        </ser>
        <ser>
          <idx val="9"/>
          <order val="9"/>
          <tx>
            <v>s10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'Plot_Parity_6_2'!$T$565:$T$568</f>
            </numRef>
          </xVal>
          <yVal>
            <numRef>
              <f>'Plot_Parity_6_2'!$U$565:$U$568</f>
            </numRef>
          </yVal>
        </ser>
        <ser>
          <idx val="10"/>
          <order val="10"/>
          <tx>
            <v>s11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'Plot_Parity_6_2'!$T$570:$T$573</f>
            </numRef>
          </xVal>
          <yVal>
            <numRef>
              <f>'Plot_Parity_6_2'!$U$570:$U$573</f>
            </numRef>
          </yVal>
        </ser>
        <ser>
          <idx val="11"/>
          <order val="11"/>
          <tx>
            <v>s12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'Plot_Parity_6_2'!$T$575:$T$578</f>
            </numRef>
          </xVal>
          <yVal>
            <numRef>
              <f>'Plot_Parity_6_2'!$U$575:$U$578</f>
            </numRef>
          </yVal>
        </ser>
        <ser>
          <idx val="12"/>
          <order val="12"/>
          <tx>
            <v>s13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'Plot_Parity_6_2'!$T$580:$T$583</f>
            </numRef>
          </xVal>
          <yVal>
            <numRef>
              <f>'Plot_Parity_6_2'!$U$580:$U$583</f>
            </numRef>
          </yVal>
        </ser>
        <ser>
          <idx val="13"/>
          <order val="13"/>
          <tx>
            <v>s14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'Plot_Parity_6_2'!$T$585:$T$588</f>
            </numRef>
          </xVal>
          <yVal>
            <numRef>
              <f>'Plot_Parity_6_2'!$U$585:$U$588</f>
            </numRef>
          </yVal>
        </ser>
        <ser>
          <idx val="14"/>
          <order val="14"/>
          <tx>
            <v>s15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'Plot_Parity_6_2'!$T$590:$T$593</f>
            </numRef>
          </xVal>
          <yVal>
            <numRef>
              <f>'Plot_Parity_6_2'!$U$590:$U$593</f>
            </numRef>
          </yVal>
        </ser>
        <ser>
          <idx val="15"/>
          <order val="15"/>
          <tx>
            <v>s16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'Plot_Parity_6_2'!$T$595:$T$598</f>
            </numRef>
          </xVal>
          <yVal>
            <numRef>
              <f>'Plot_Parity_6_2'!$U$595:$U$598</f>
            </numRef>
          </yVal>
        </ser>
        <ser>
          <idx val="16"/>
          <order val="16"/>
          <tx>
            <v>s17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'Plot_Parity_6_2'!$T$600:$T$603</f>
            </numRef>
          </xVal>
          <yVal>
            <numRef>
              <f>'Plot_Parity_6_2'!$U$600:$U$603</f>
            </numRef>
          </yVal>
        </ser>
        <ser>
          <idx val="17"/>
          <order val="17"/>
          <tx>
            <v>s18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'Plot_Parity_6_2'!$T$605:$T$608</f>
            </numRef>
          </xVal>
          <yVal>
            <numRef>
              <f>'Plot_Parity_6_2'!$U$605:$U$608</f>
            </numRef>
          </yVal>
        </ser>
        <ser>
          <idx val="18"/>
          <order val="18"/>
          <tx>
            <v>s19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'Plot_Parity_6_2'!$T$610:$T$613</f>
            </numRef>
          </xVal>
          <yVal>
            <numRef>
              <f>'Plot_Parity_6_2'!$U$610:$U$613</f>
            </numRef>
          </yVal>
        </ser>
        <ser>
          <idx val="19"/>
          <order val="19"/>
          <tx>
            <v>s20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'Plot_Parity_6_2'!$T$615:$T$618</f>
            </numRef>
          </xVal>
          <yVal>
            <numRef>
              <f>'Plot_Parity_6_2'!$U$615:$U$618</f>
            </numRef>
          </yVal>
        </ser>
        <ser>
          <idx val="20"/>
          <order val="20"/>
          <tx>
            <v>s21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'Plot_Parity_6_2'!$T$620:$T$623</f>
            </numRef>
          </xVal>
          <yVal>
            <numRef>
              <f>'Plot_Parity_6_2'!$U$620:$U$623</f>
            </numRef>
          </yVal>
        </ser>
        <ser>
          <idx val="21"/>
          <order val="21"/>
          <tx>
            <v>s22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'Plot_Parity_6_2'!$T$625:$T$628</f>
            </numRef>
          </xVal>
          <yVal>
            <numRef>
              <f>'Plot_Parity_6_2'!$U$625:$U$628</f>
            </numRef>
          </yVal>
        </ser>
        <ser>
          <idx val="22"/>
          <order val="22"/>
          <tx>
            <v>s23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'Plot_Parity_6_2'!$T$630:$T$633</f>
            </numRef>
          </xVal>
          <yVal>
            <numRef>
              <f>'Plot_Parity_6_2'!$U$630:$U$633</f>
            </numRef>
          </yVal>
        </ser>
        <ser>
          <idx val="23"/>
          <order val="23"/>
          <tx>
            <v>s24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'Plot_Parity_6_2'!$T$635:$T$638</f>
            </numRef>
          </xVal>
          <yVal>
            <numRef>
              <f>'Plot_Parity_6_2'!$U$635:$U$638</f>
            </numRef>
          </yVal>
        </ser>
        <ser>
          <idx val="24"/>
          <order val="24"/>
          <tx>
            <v>s25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'Plot_Parity_6_2'!$T$640:$T$643</f>
            </numRef>
          </xVal>
          <yVal>
            <numRef>
              <f>'Plot_Parity_6_2'!$U$640:$U$643</f>
            </numRef>
          </yVal>
        </ser>
        <ser>
          <idx val="25"/>
          <order val="25"/>
          <tx>
            <v>s26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'Plot_Parity_6_2'!$T$645:$T$648</f>
            </numRef>
          </xVal>
          <yVal>
            <numRef>
              <f>'Plot_Parity_6_2'!$U$645:$U$648</f>
            </numRef>
          </yVal>
        </ser>
        <ser>
          <idx val="26"/>
          <order val="26"/>
          <tx>
            <v>s27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'Plot_Parity_6_2'!$T$650:$T$653</f>
            </numRef>
          </xVal>
          <yVal>
            <numRef>
              <f>'Plot_Parity_6_2'!$U$650:$U$653</f>
            </numRef>
          </yVal>
        </ser>
        <ser>
          <idx val="27"/>
          <order val="27"/>
          <tx>
            <v>s28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'Plot_Parity_6_2'!$T$655:$T$658</f>
            </numRef>
          </xVal>
          <yVal>
            <numRef>
              <f>'Plot_Parity_6_2'!$U$655:$U$658</f>
            </numRef>
          </yVal>
        </ser>
        <ser>
          <idx val="28"/>
          <order val="28"/>
          <tx>
            <v>s29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'Plot_Parity_6_2'!$T$660:$T$663</f>
            </numRef>
          </xVal>
          <yVal>
            <numRef>
              <f>'Plot_Parity_6_2'!$U$660:$U$663</f>
            </numRef>
          </yVal>
        </ser>
        <ser>
          <idx val="29"/>
          <order val="29"/>
          <tx>
            <v>s30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'Plot_Parity_6_2'!$T$665:$T$668</f>
            </numRef>
          </xVal>
          <yVal>
            <numRef>
              <f>'Plot_Parity_6_2'!$U$665:$U$668</f>
            </numRef>
          </yVal>
        </ser>
        <ser>
          <idx val="30"/>
          <order val="30"/>
          <tx>
            <v>s31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'Plot_Parity_6_2'!$T$670:$T$673</f>
            </numRef>
          </xVal>
          <yVal>
            <numRef>
              <f>'Plot_Parity_6_2'!$U$670:$U$673</f>
            </numRef>
          </yVal>
        </ser>
        <ser>
          <idx val="31"/>
          <order val="31"/>
          <tx>
            <v>s32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'Plot_Parity_6_2'!$T$675:$T$678</f>
            </numRef>
          </xVal>
          <yVal>
            <numRef>
              <f>'Plot_Parity_6_2'!$U$675:$U$678</f>
            </numRef>
          </yVal>
        </ser>
        <ser>
          <idx val="32"/>
          <order val="32"/>
          <tx>
            <v>s33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'Plot_Parity_6_2'!$T$680:$T$683</f>
            </numRef>
          </xVal>
          <yVal>
            <numRef>
              <f>'Plot_Parity_6_2'!$U$680:$U$683</f>
            </numRef>
          </yVal>
        </ser>
        <ser>
          <idx val="33"/>
          <order val="33"/>
          <tx>
            <v>s34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'Plot_Parity_6_2'!$T$685:$T$688</f>
            </numRef>
          </xVal>
          <yVal>
            <numRef>
              <f>'Plot_Parity_6_2'!$U$685:$U$688</f>
            </numRef>
          </yVal>
        </ser>
        <ser>
          <idx val="34"/>
          <order val="34"/>
          <tx>
            <v>s35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'Plot_Parity_6_2'!$T$690:$T$693</f>
            </numRef>
          </xVal>
          <yVal>
            <numRef>
              <f>'Plot_Parity_6_2'!$U$690:$U$693</f>
            </numRef>
          </yVal>
        </ser>
        <ser>
          <idx val="35"/>
          <order val="35"/>
          <tx>
            <v>s36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'Plot_Parity_6_2'!$T$695:$T$698</f>
            </numRef>
          </xVal>
          <yVal>
            <numRef>
              <f>'Plot_Parity_6_2'!$U$695:$U$698</f>
            </numRef>
          </yVal>
        </ser>
        <ser>
          <idx val="36"/>
          <order val="36"/>
          <tx>
            <v>s37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'Plot_Parity_6_2'!$T$700:$T$703</f>
            </numRef>
          </xVal>
          <yVal>
            <numRef>
              <f>'Plot_Parity_6_2'!$U$700:$U$703</f>
            </numRef>
          </yVal>
        </ser>
        <ser>
          <idx val="37"/>
          <order val="37"/>
          <tx>
            <v>s38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'Plot_Parity_6_2'!$T$705:$T$708</f>
            </numRef>
          </xVal>
          <yVal>
            <numRef>
              <f>'Plot_Parity_6_2'!$U$705:$U$708</f>
            </numRef>
          </yVal>
        </ser>
        <ser>
          <idx val="38"/>
          <order val="38"/>
          <tx>
            <v>s39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'Plot_Parity_6_2'!$T$710:$T$713</f>
            </numRef>
          </xVal>
          <yVal>
            <numRef>
              <f>'Plot_Parity_6_2'!$U$710:$U$713</f>
            </numRef>
          </yVal>
        </ser>
        <ser>
          <idx val="39"/>
          <order val="39"/>
          <tx>
            <v>s40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'Plot_Parity_6_2'!$T$715:$T$718</f>
            </numRef>
          </xVal>
          <yVal>
            <numRef>
              <f>'Plot_Parity_6_2'!$U$715:$U$718</f>
            </numRef>
          </yVal>
        </ser>
        <ser>
          <idx val="40"/>
          <order val="40"/>
          <tx>
            <v>s41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'Plot_Parity_6_2'!$T$720:$T$723</f>
            </numRef>
          </xVal>
          <yVal>
            <numRef>
              <f>'Plot_Parity_6_2'!$U$720:$U$723</f>
            </numRef>
          </yVal>
        </ser>
        <ser>
          <idx val="41"/>
          <order val="41"/>
          <tx>
            <v>s42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'Plot_Parity_6_2'!$T$725:$T$728</f>
            </numRef>
          </xVal>
          <yVal>
            <numRef>
              <f>'Plot_Parity_6_2'!$U$725:$U$728</f>
            </numRef>
          </yVal>
        </ser>
        <ser>
          <idx val="42"/>
          <order val="42"/>
          <tx>
            <v>s43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'Plot_Parity_6_2'!$T$730:$T$733</f>
            </numRef>
          </xVal>
          <yVal>
            <numRef>
              <f>'Plot_Parity_6_2'!$U$730:$U$733</f>
            </numRef>
          </yVal>
        </ser>
        <ser>
          <idx val="43"/>
          <order val="43"/>
          <tx>
            <v>s44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'Plot_Parity_6_2'!$T$735:$T$738</f>
            </numRef>
          </xVal>
          <yVal>
            <numRef>
              <f>'Plot_Parity_6_2'!$U$735:$U$738</f>
            </numRef>
          </yVal>
        </ser>
        <ser>
          <idx val="44"/>
          <order val="44"/>
          <tx>
            <v>s45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'Plot_Parity_6_2'!$T$740:$T$743</f>
            </numRef>
          </xVal>
          <yVal>
            <numRef>
              <f>'Plot_Parity_6_2'!$U$740:$U$743</f>
            </numRef>
          </yVal>
        </ser>
        <ser>
          <idx val="45"/>
          <order val="45"/>
          <tx>
            <v>s46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'Plot_Parity_6_2'!$T$745:$T$748</f>
            </numRef>
          </xVal>
          <yVal>
            <numRef>
              <f>'Plot_Parity_6_2'!$U$745:$U$748</f>
            </numRef>
          </yVal>
        </ser>
        <ser>
          <idx val="46"/>
          <order val="46"/>
          <tx>
            <v>s47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'Plot_Parity_6_2'!$T$750:$T$753</f>
            </numRef>
          </xVal>
          <yVal>
            <numRef>
              <f>'Plot_Parity_6_2'!$U$750:$U$753</f>
            </numRef>
          </yVal>
        </ser>
        <ser>
          <idx val="47"/>
          <order val="47"/>
          <tx>
            <v>s48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'Plot_Parity_6_2'!$T$755:$T$758</f>
            </numRef>
          </xVal>
          <yVal>
            <numRef>
              <f>'Plot_Parity_6_2'!$U$755:$U$758</f>
            </numRef>
          </yVal>
        </ser>
        <ser>
          <idx val="48"/>
          <order val="48"/>
          <tx>
            <v>s49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'Plot_Parity_6_2'!$T$760:$T$763</f>
            </numRef>
          </xVal>
          <yVal>
            <numRef>
              <f>'Plot_Parity_6_2'!$U$760:$U$763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 order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Dendrogram (centroid)</a:t>
            </a:r>
          </a:p>
        </rich>
      </tx>
    </title>
    <plotArea>
      <scatterChart>
        <ser>
          <idx val="0"/>
          <order val="0"/>
          <tx>
            <v>s1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'Plot_Parity_6_2'!$AA$780:$AA$783</f>
            </numRef>
          </xVal>
          <yVal>
            <numRef>
              <f>'Plot_Parity_6_2'!$AB$780:$AB$783</f>
            </numRef>
          </yVal>
        </ser>
        <ser>
          <idx val="1"/>
          <order val="1"/>
          <tx>
            <v>s2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'Plot_Parity_6_2'!$AA$785:$AA$788</f>
            </numRef>
          </xVal>
          <yVal>
            <numRef>
              <f>'Plot_Parity_6_2'!$AB$785:$AB$788</f>
            </numRef>
          </yVal>
        </ser>
        <ser>
          <idx val="2"/>
          <order val="2"/>
          <tx>
            <v>s3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'Plot_Parity_6_2'!$AA$790:$AA$793</f>
            </numRef>
          </xVal>
          <yVal>
            <numRef>
              <f>'Plot_Parity_6_2'!$AB$790:$AB$793</f>
            </numRef>
          </yVal>
        </ser>
        <ser>
          <idx val="3"/>
          <order val="3"/>
          <tx>
            <v>s4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'Plot_Parity_6_2'!$AA$795:$AA$798</f>
            </numRef>
          </xVal>
          <yVal>
            <numRef>
              <f>'Plot_Parity_6_2'!$AB$795:$AB$798</f>
            </numRef>
          </yVal>
        </ser>
        <ser>
          <idx val="4"/>
          <order val="4"/>
          <tx>
            <v>s5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'Plot_Parity_6_2'!$AA$800:$AA$803</f>
            </numRef>
          </xVal>
          <yVal>
            <numRef>
              <f>'Plot_Parity_6_2'!$AB$800:$AB$803</f>
            </numRef>
          </yVal>
        </ser>
        <ser>
          <idx val="5"/>
          <order val="5"/>
          <tx>
            <v>s6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'Plot_Parity_6_2'!$AA$805:$AA$808</f>
            </numRef>
          </xVal>
          <yVal>
            <numRef>
              <f>'Plot_Parity_6_2'!$AB$805:$AB$808</f>
            </numRef>
          </yVal>
        </ser>
        <ser>
          <idx val="6"/>
          <order val="6"/>
          <tx>
            <v>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'Plot_Parity_6_2'!$AA$810:$AA$813</f>
            </numRef>
          </xVal>
          <yVal>
            <numRef>
              <f>'Plot_Parity_6_2'!$AB$810:$AB$813</f>
            </numRef>
          </yVal>
        </ser>
        <ser>
          <idx val="7"/>
          <order val="7"/>
          <tx>
            <v>s8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'Plot_Parity_6_2'!$AA$815:$AA$818</f>
            </numRef>
          </xVal>
          <yVal>
            <numRef>
              <f>'Plot_Parity_6_2'!$AB$815:$AB$818</f>
            </numRef>
          </yVal>
        </ser>
        <ser>
          <idx val="8"/>
          <order val="8"/>
          <tx>
            <v>s9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'Plot_Parity_6_2'!$AA$820:$AA$823</f>
            </numRef>
          </xVal>
          <yVal>
            <numRef>
              <f>'Plot_Parity_6_2'!$AB$820:$AB$823</f>
            </numRef>
          </yVal>
        </ser>
        <ser>
          <idx val="9"/>
          <order val="9"/>
          <tx>
            <v>s10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'Plot_Parity_6_2'!$AA$825:$AA$828</f>
            </numRef>
          </xVal>
          <yVal>
            <numRef>
              <f>'Plot_Parity_6_2'!$AB$825:$AB$828</f>
            </numRef>
          </yVal>
        </ser>
        <ser>
          <idx val="10"/>
          <order val="10"/>
          <tx>
            <v>s11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'Plot_Parity_6_2'!$AA$830:$AA$833</f>
            </numRef>
          </xVal>
          <yVal>
            <numRef>
              <f>'Plot_Parity_6_2'!$AB$830:$AB$833</f>
            </numRef>
          </yVal>
        </ser>
        <ser>
          <idx val="11"/>
          <order val="11"/>
          <tx>
            <v>s12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'Plot_Parity_6_2'!$AA$835:$AA$838</f>
            </numRef>
          </xVal>
          <yVal>
            <numRef>
              <f>'Plot_Parity_6_2'!$AB$835:$AB$838</f>
            </numRef>
          </yVal>
        </ser>
        <ser>
          <idx val="12"/>
          <order val="12"/>
          <tx>
            <v>s13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'Plot_Parity_6_2'!$AA$840:$AA$843</f>
            </numRef>
          </xVal>
          <yVal>
            <numRef>
              <f>'Plot_Parity_6_2'!$AB$840:$AB$843</f>
            </numRef>
          </yVal>
        </ser>
        <ser>
          <idx val="13"/>
          <order val="13"/>
          <tx>
            <v>s14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'Plot_Parity_6_2'!$AA$845:$AA$848</f>
            </numRef>
          </xVal>
          <yVal>
            <numRef>
              <f>'Plot_Parity_6_2'!$AB$845:$AB$848</f>
            </numRef>
          </yVal>
        </ser>
        <ser>
          <idx val="14"/>
          <order val="14"/>
          <tx>
            <v>s15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'Plot_Parity_6_2'!$AA$850:$AA$853</f>
            </numRef>
          </xVal>
          <yVal>
            <numRef>
              <f>'Plot_Parity_6_2'!$AB$850:$AB$853</f>
            </numRef>
          </yVal>
        </ser>
        <ser>
          <idx val="15"/>
          <order val="15"/>
          <tx>
            <v>s16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'Plot_Parity_6_2'!$AA$855:$AA$858</f>
            </numRef>
          </xVal>
          <yVal>
            <numRef>
              <f>'Plot_Parity_6_2'!$AB$855:$AB$858</f>
            </numRef>
          </yVal>
        </ser>
        <ser>
          <idx val="16"/>
          <order val="16"/>
          <tx>
            <v>s17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'Plot_Parity_6_2'!$AA$860:$AA$863</f>
            </numRef>
          </xVal>
          <yVal>
            <numRef>
              <f>'Plot_Parity_6_2'!$AB$860:$AB$863</f>
            </numRef>
          </yVal>
        </ser>
        <ser>
          <idx val="17"/>
          <order val="17"/>
          <tx>
            <v>s18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'Plot_Parity_6_2'!$AA$865:$AA$868</f>
            </numRef>
          </xVal>
          <yVal>
            <numRef>
              <f>'Plot_Parity_6_2'!$AB$865:$AB$868</f>
            </numRef>
          </yVal>
        </ser>
        <ser>
          <idx val="18"/>
          <order val="18"/>
          <tx>
            <v>s19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'Plot_Parity_6_2'!$AA$870:$AA$873</f>
            </numRef>
          </xVal>
          <yVal>
            <numRef>
              <f>'Plot_Parity_6_2'!$AB$870:$AB$873</f>
            </numRef>
          </yVal>
        </ser>
        <ser>
          <idx val="19"/>
          <order val="19"/>
          <tx>
            <v>s20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'Plot_Parity_6_2'!$AA$875:$AA$878</f>
            </numRef>
          </xVal>
          <yVal>
            <numRef>
              <f>'Plot_Parity_6_2'!$AB$875:$AB$878</f>
            </numRef>
          </yVal>
        </ser>
        <ser>
          <idx val="20"/>
          <order val="20"/>
          <tx>
            <v>s21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'Plot_Parity_6_2'!$AA$880:$AA$883</f>
            </numRef>
          </xVal>
          <yVal>
            <numRef>
              <f>'Plot_Parity_6_2'!$AB$880:$AB$883</f>
            </numRef>
          </yVal>
        </ser>
        <ser>
          <idx val="21"/>
          <order val="21"/>
          <tx>
            <v>s22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'Plot_Parity_6_2'!$AA$885:$AA$888</f>
            </numRef>
          </xVal>
          <yVal>
            <numRef>
              <f>'Plot_Parity_6_2'!$AB$885:$AB$888</f>
            </numRef>
          </yVal>
        </ser>
        <ser>
          <idx val="22"/>
          <order val="22"/>
          <tx>
            <v>s23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'Plot_Parity_6_2'!$AA$890:$AA$893</f>
            </numRef>
          </xVal>
          <yVal>
            <numRef>
              <f>'Plot_Parity_6_2'!$AB$890:$AB$893</f>
            </numRef>
          </yVal>
        </ser>
        <ser>
          <idx val="23"/>
          <order val="23"/>
          <tx>
            <v>s24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'Plot_Parity_6_2'!$AA$895:$AA$898</f>
            </numRef>
          </xVal>
          <yVal>
            <numRef>
              <f>'Plot_Parity_6_2'!$AB$895:$AB$898</f>
            </numRef>
          </yVal>
        </ser>
        <ser>
          <idx val="24"/>
          <order val="24"/>
          <tx>
            <v>s25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'Plot_Parity_6_2'!$AA$900:$AA$903</f>
            </numRef>
          </xVal>
          <yVal>
            <numRef>
              <f>'Plot_Parity_6_2'!$AB$900:$AB$903</f>
            </numRef>
          </yVal>
        </ser>
        <ser>
          <idx val="25"/>
          <order val="25"/>
          <tx>
            <v>s26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'Plot_Parity_6_2'!$AA$905:$AA$908</f>
            </numRef>
          </xVal>
          <yVal>
            <numRef>
              <f>'Plot_Parity_6_2'!$AB$905:$AB$908</f>
            </numRef>
          </yVal>
        </ser>
        <ser>
          <idx val="26"/>
          <order val="26"/>
          <tx>
            <v>s27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'Plot_Parity_6_2'!$AA$910:$AA$913</f>
            </numRef>
          </xVal>
          <yVal>
            <numRef>
              <f>'Plot_Parity_6_2'!$AB$910:$AB$913</f>
            </numRef>
          </yVal>
        </ser>
        <ser>
          <idx val="27"/>
          <order val="27"/>
          <tx>
            <v>s28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'Plot_Parity_6_2'!$AA$915:$AA$918</f>
            </numRef>
          </xVal>
          <yVal>
            <numRef>
              <f>'Plot_Parity_6_2'!$AB$915:$AB$918</f>
            </numRef>
          </yVal>
        </ser>
        <ser>
          <idx val="28"/>
          <order val="28"/>
          <tx>
            <v>s29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'Plot_Parity_6_2'!$AA$920:$AA$923</f>
            </numRef>
          </xVal>
          <yVal>
            <numRef>
              <f>'Plot_Parity_6_2'!$AB$920:$AB$923</f>
            </numRef>
          </yVal>
        </ser>
        <ser>
          <idx val="29"/>
          <order val="29"/>
          <tx>
            <v>s30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'Plot_Parity_6_2'!$AA$925:$AA$928</f>
            </numRef>
          </xVal>
          <yVal>
            <numRef>
              <f>'Plot_Parity_6_2'!$AB$925:$AB$928</f>
            </numRef>
          </yVal>
        </ser>
        <ser>
          <idx val="30"/>
          <order val="30"/>
          <tx>
            <v>s31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'Plot_Parity_6_2'!$AA$930:$AA$933</f>
            </numRef>
          </xVal>
          <yVal>
            <numRef>
              <f>'Plot_Parity_6_2'!$AB$930:$AB$933</f>
            </numRef>
          </yVal>
        </ser>
        <ser>
          <idx val="31"/>
          <order val="31"/>
          <tx>
            <v>s32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'Plot_Parity_6_2'!$AA$935:$AA$938</f>
            </numRef>
          </xVal>
          <yVal>
            <numRef>
              <f>'Plot_Parity_6_2'!$AB$935:$AB$938</f>
            </numRef>
          </yVal>
        </ser>
        <ser>
          <idx val="32"/>
          <order val="32"/>
          <tx>
            <v>s33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'Plot_Parity_6_2'!$AA$940:$AA$943</f>
            </numRef>
          </xVal>
          <yVal>
            <numRef>
              <f>'Plot_Parity_6_2'!$AB$940:$AB$943</f>
            </numRef>
          </yVal>
        </ser>
        <ser>
          <idx val="33"/>
          <order val="33"/>
          <tx>
            <v>s34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'Plot_Parity_6_2'!$AA$945:$AA$948</f>
            </numRef>
          </xVal>
          <yVal>
            <numRef>
              <f>'Plot_Parity_6_2'!$AB$945:$AB$948</f>
            </numRef>
          </yVal>
        </ser>
        <ser>
          <idx val="34"/>
          <order val="34"/>
          <tx>
            <v>s35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'Plot_Parity_6_2'!$AA$950:$AA$953</f>
            </numRef>
          </xVal>
          <yVal>
            <numRef>
              <f>'Plot_Parity_6_2'!$AB$950:$AB$953</f>
            </numRef>
          </yVal>
        </ser>
        <ser>
          <idx val="35"/>
          <order val="35"/>
          <tx>
            <v>s36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'Plot_Parity_6_2'!$AA$955:$AA$958</f>
            </numRef>
          </xVal>
          <yVal>
            <numRef>
              <f>'Plot_Parity_6_2'!$AB$955:$AB$958</f>
            </numRef>
          </yVal>
        </ser>
        <ser>
          <idx val="36"/>
          <order val="36"/>
          <tx>
            <v>s37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'Plot_Parity_6_2'!$AA$960:$AA$963</f>
            </numRef>
          </xVal>
          <yVal>
            <numRef>
              <f>'Plot_Parity_6_2'!$AB$960:$AB$963</f>
            </numRef>
          </yVal>
        </ser>
        <ser>
          <idx val="37"/>
          <order val="37"/>
          <tx>
            <v>s38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'Plot_Parity_6_2'!$AA$965:$AA$968</f>
            </numRef>
          </xVal>
          <yVal>
            <numRef>
              <f>'Plot_Parity_6_2'!$AB$965:$AB$968</f>
            </numRef>
          </yVal>
        </ser>
        <ser>
          <idx val="38"/>
          <order val="38"/>
          <tx>
            <v>s39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'Plot_Parity_6_2'!$AA$970:$AA$973</f>
            </numRef>
          </xVal>
          <yVal>
            <numRef>
              <f>'Plot_Parity_6_2'!$AB$970:$AB$973</f>
            </numRef>
          </yVal>
        </ser>
        <ser>
          <idx val="39"/>
          <order val="39"/>
          <tx>
            <v>s40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'Plot_Parity_6_2'!$AA$975:$AA$978</f>
            </numRef>
          </xVal>
          <yVal>
            <numRef>
              <f>'Plot_Parity_6_2'!$AB$975:$AB$978</f>
            </numRef>
          </yVal>
        </ser>
        <ser>
          <idx val="40"/>
          <order val="40"/>
          <tx>
            <v>s41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'Plot_Parity_6_2'!$AA$980:$AA$983</f>
            </numRef>
          </xVal>
          <yVal>
            <numRef>
              <f>'Plot_Parity_6_2'!$AB$980:$AB$983</f>
            </numRef>
          </yVal>
        </ser>
        <ser>
          <idx val="41"/>
          <order val="41"/>
          <tx>
            <v>s42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'Plot_Parity_6_2'!$AA$985:$AA$988</f>
            </numRef>
          </xVal>
          <yVal>
            <numRef>
              <f>'Plot_Parity_6_2'!$AB$985:$AB$988</f>
            </numRef>
          </yVal>
        </ser>
        <ser>
          <idx val="42"/>
          <order val="42"/>
          <tx>
            <v>s43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'Plot_Parity_6_2'!$AA$990:$AA$993</f>
            </numRef>
          </xVal>
          <yVal>
            <numRef>
              <f>'Plot_Parity_6_2'!$AB$990:$AB$993</f>
            </numRef>
          </yVal>
        </ser>
        <ser>
          <idx val="43"/>
          <order val="43"/>
          <tx>
            <v>s44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'Plot_Parity_6_2'!$AA$995:$AA$998</f>
            </numRef>
          </xVal>
          <yVal>
            <numRef>
              <f>'Plot_Parity_6_2'!$AB$995:$AB$998</f>
            </numRef>
          </yVal>
        </ser>
        <ser>
          <idx val="44"/>
          <order val="44"/>
          <tx>
            <v>s45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'Plot_Parity_6_2'!$AA$1000:$AA$1003</f>
            </numRef>
          </xVal>
          <yVal>
            <numRef>
              <f>'Plot_Parity_6_2'!$AB$1000:$AB$1003</f>
            </numRef>
          </yVal>
        </ser>
        <ser>
          <idx val="45"/>
          <order val="45"/>
          <tx>
            <v>s46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'Plot_Parity_6_2'!$AA$1005:$AA$1008</f>
            </numRef>
          </xVal>
          <yVal>
            <numRef>
              <f>'Plot_Parity_6_2'!$AB$1005:$AB$1008</f>
            </numRef>
          </yVal>
        </ser>
        <ser>
          <idx val="46"/>
          <order val="46"/>
          <tx>
            <v>s47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'Plot_Parity_6_2'!$AA$1010:$AA$1013</f>
            </numRef>
          </xVal>
          <yVal>
            <numRef>
              <f>'Plot_Parity_6_2'!$AB$1010:$AB$1013</f>
            </numRef>
          </yVal>
        </ser>
        <ser>
          <idx val="47"/>
          <order val="47"/>
          <tx>
            <v>s48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'Plot_Parity_6_2'!$AA$1015:$AA$1018</f>
            </numRef>
          </xVal>
          <yVal>
            <numRef>
              <f>'Plot_Parity_6_2'!$AB$1015:$AB$1018</f>
            </numRef>
          </yVal>
        </ser>
        <ser>
          <idx val="48"/>
          <order val="48"/>
          <tx>
            <v>s49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'Plot_Parity_6_2'!$AA$1020:$AA$1023</f>
            </numRef>
          </xVal>
          <yVal>
            <numRef>
              <f>'Plot_Parity_6_2'!$AB$1020:$AB$1023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 order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Relationship Type="http://schemas.openxmlformats.org/officeDocument/2006/relationships/chart" Target="/xl/charts/chart11.xml" Id="rId7"/><Relationship Type="http://schemas.openxmlformats.org/officeDocument/2006/relationships/chart" Target="/xl/charts/chart12.xml" Id="rId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57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30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13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29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14</col>
      <colOff>0</colOff>
      <row>13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29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13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26</col>
      <colOff>0</colOff>
      <row>13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19</col>
      <colOff>0</colOff>
      <row>29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26</col>
      <colOff>0</colOff>
      <row>29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Data_USArrests</t>
        </is>
      </c>
      <c r="B2" t="inlineStr">
        <is>
          <t>Raw USArrests data only.</t>
        </is>
      </c>
    </row>
    <row r="3">
      <c r="A3" t="inlineStr">
        <is>
          <t>Scale_PCA_Mechanics</t>
        </is>
      </c>
      <c r="B3" t="inlineStr">
        <is>
          <t>Scaling, correlation matrix, PC1 power iteration, scores/PVE via formulas.</t>
        </is>
      </c>
    </row>
    <row r="4">
      <c r="A4" t="inlineStr">
        <is>
          <t>Plot_Parity_6_1</t>
        </is>
      </c>
      <c r="B4" t="inlineStr">
        <is>
          <t>6.1 visual parity charts: histograms, PVE/CumPVE, biplot-style views.</t>
        </is>
      </c>
    </row>
    <row r="5">
      <c r="A5" t="inlineStr">
        <is>
          <t>KMeans_6_2</t>
        </is>
      </c>
      <c r="B5" t="inlineStr">
        <is>
          <t>Formula-based k=3 clustering iteration and elbow proxy.</t>
        </is>
      </c>
    </row>
    <row r="6">
      <c r="A6" t="inlineStr">
        <is>
          <t>Cluster_Summary</t>
        </is>
      </c>
      <c r="B6" t="inlineStr">
        <is>
          <t>Formula-based grouped means by final k=3 cluster.</t>
        </is>
      </c>
    </row>
    <row r="7">
      <c r="A7" t="inlineStr">
        <is>
          <t>Distance_HC_Mechanics</t>
        </is>
      </c>
      <c r="B7" t="inlineStr">
        <is>
          <t>Pairwise distances, closest pair, and linkage metric mechanics.</t>
        </is>
      </c>
    </row>
    <row r="8">
      <c r="A8" t="inlineStr">
        <is>
          <t>Plot_Parity_6_2</t>
        </is>
      </c>
      <c r="B8" t="inlineStr">
        <is>
          <t>6.2 visual parity charts: cluster PC plot + linkage profiles.</t>
        </is>
      </c>
    </row>
    <row r="9">
      <c r="A9" t="inlineStr">
        <is>
          <t>Credit_PCA_Mechanics</t>
        </is>
      </c>
      <c r="B9" t="inlineStr">
        <is>
          <t>Limit/Rating PCA mechanics with formulas.</t>
        </is>
      </c>
    </row>
    <row r="10">
      <c r="A10" t="inlineStr">
        <is>
          <t>Summary</t>
        </is>
      </c>
      <c r="B10" t="inlineStr">
        <is>
          <t>Key checks and metrics from all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id</t>
        </is>
      </c>
      <c r="B1" t="inlineStr">
        <is>
          <t>state</t>
        </is>
      </c>
      <c r="C1" t="inlineStr">
        <is>
          <t>Murder</t>
        </is>
      </c>
      <c r="D1" t="inlineStr">
        <is>
          <t>Assault</t>
        </is>
      </c>
      <c r="E1" t="inlineStr">
        <is>
          <t>UrbanPop</t>
        </is>
      </c>
      <c r="F1" t="inlineStr">
        <is>
          <t>Rape</t>
        </is>
      </c>
    </row>
    <row r="2">
      <c r="A2" t="n">
        <v>1</v>
      </c>
      <c r="B2" t="inlineStr">
        <is>
          <t>Alabama</t>
        </is>
      </c>
      <c r="C2" t="n">
        <v>13.2</v>
      </c>
      <c r="D2" t="n">
        <v>236</v>
      </c>
      <c r="E2" t="n">
        <v>58</v>
      </c>
      <c r="F2" t="n">
        <v>21.2</v>
      </c>
    </row>
    <row r="3">
      <c r="A3" t="n">
        <v>2</v>
      </c>
      <c r="B3" t="inlineStr">
        <is>
          <t>Alaska</t>
        </is>
      </c>
      <c r="C3" t="n">
        <v>10</v>
      </c>
      <c r="D3" t="n">
        <v>263</v>
      </c>
      <c r="E3" t="n">
        <v>48</v>
      </c>
      <c r="F3" t="n">
        <v>44.5</v>
      </c>
    </row>
    <row r="4">
      <c r="A4" t="n">
        <v>3</v>
      </c>
      <c r="B4" t="inlineStr">
        <is>
          <t>Arizona</t>
        </is>
      </c>
      <c r="C4" t="n">
        <v>8.1</v>
      </c>
      <c r="D4" t="n">
        <v>294</v>
      </c>
      <c r="E4" t="n">
        <v>80</v>
      </c>
      <c r="F4" t="n">
        <v>31</v>
      </c>
    </row>
    <row r="5">
      <c r="A5" t="n">
        <v>4</v>
      </c>
      <c r="B5" t="inlineStr">
        <is>
          <t>Arkansas</t>
        </is>
      </c>
      <c r="C5" t="n">
        <v>8.800000000000001</v>
      </c>
      <c r="D5" t="n">
        <v>190</v>
      </c>
      <c r="E5" t="n">
        <v>50</v>
      </c>
      <c r="F5" t="n">
        <v>19.5</v>
      </c>
    </row>
    <row r="6">
      <c r="A6" t="n">
        <v>5</v>
      </c>
      <c r="B6" t="inlineStr">
        <is>
          <t>California</t>
        </is>
      </c>
      <c r="C6" t="n">
        <v>9</v>
      </c>
      <c r="D6" t="n">
        <v>276</v>
      </c>
      <c r="E6" t="n">
        <v>91</v>
      </c>
      <c r="F6" t="n">
        <v>40.6</v>
      </c>
    </row>
    <row r="7">
      <c r="A7" t="n">
        <v>6</v>
      </c>
      <c r="B7" t="inlineStr">
        <is>
          <t>Colorado</t>
        </is>
      </c>
      <c r="C7" t="n">
        <v>7.9</v>
      </c>
      <c r="D7" t="n">
        <v>204</v>
      </c>
      <c r="E7" t="n">
        <v>78</v>
      </c>
      <c r="F7" t="n">
        <v>38.7</v>
      </c>
    </row>
    <row r="8">
      <c r="A8" t="n">
        <v>7</v>
      </c>
      <c r="B8" t="inlineStr">
        <is>
          <t>Connecticut</t>
        </is>
      </c>
      <c r="C8" t="n">
        <v>3.3</v>
      </c>
      <c r="D8" t="n">
        <v>110</v>
      </c>
      <c r="E8" t="n">
        <v>77</v>
      </c>
      <c r="F8" t="n">
        <v>11.1</v>
      </c>
    </row>
    <row r="9">
      <c r="A9" t="n">
        <v>8</v>
      </c>
      <c r="B9" t="inlineStr">
        <is>
          <t>Delaware</t>
        </is>
      </c>
      <c r="C9" t="n">
        <v>5.9</v>
      </c>
      <c r="D9" t="n">
        <v>238</v>
      </c>
      <c r="E9" t="n">
        <v>72</v>
      </c>
      <c r="F9" t="n">
        <v>15.8</v>
      </c>
    </row>
    <row r="10">
      <c r="A10" t="n">
        <v>9</v>
      </c>
      <c r="B10" t="inlineStr">
        <is>
          <t>Florida</t>
        </is>
      </c>
      <c r="C10" t="n">
        <v>15.4</v>
      </c>
      <c r="D10" t="n">
        <v>335</v>
      </c>
      <c r="E10" t="n">
        <v>80</v>
      </c>
      <c r="F10" t="n">
        <v>31.9</v>
      </c>
    </row>
    <row r="11">
      <c r="A11" t="n">
        <v>10</v>
      </c>
      <c r="B11" t="inlineStr">
        <is>
          <t>Georgia</t>
        </is>
      </c>
      <c r="C11" t="n">
        <v>17.4</v>
      </c>
      <c r="D11" t="n">
        <v>211</v>
      </c>
      <c r="E11" t="n">
        <v>60</v>
      </c>
      <c r="F11" t="n">
        <v>25.8</v>
      </c>
    </row>
    <row r="12">
      <c r="A12" t="n">
        <v>11</v>
      </c>
      <c r="B12" t="inlineStr">
        <is>
          <t>Hawaii</t>
        </is>
      </c>
      <c r="C12" t="n">
        <v>5.3</v>
      </c>
      <c r="D12" t="n">
        <v>46</v>
      </c>
      <c r="E12" t="n">
        <v>83</v>
      </c>
      <c r="F12" t="n">
        <v>20.2</v>
      </c>
    </row>
    <row r="13">
      <c r="A13" t="n">
        <v>12</v>
      </c>
      <c r="B13" t="inlineStr">
        <is>
          <t>Idaho</t>
        </is>
      </c>
      <c r="C13" t="n">
        <v>2.6</v>
      </c>
      <c r="D13" t="n">
        <v>120</v>
      </c>
      <c r="E13" t="n">
        <v>54</v>
      </c>
      <c r="F13" t="n">
        <v>14.2</v>
      </c>
    </row>
    <row r="14">
      <c r="A14" t="n">
        <v>13</v>
      </c>
      <c r="B14" t="inlineStr">
        <is>
          <t>Illinois</t>
        </is>
      </c>
      <c r="C14" t="n">
        <v>10.4</v>
      </c>
      <c r="D14" t="n">
        <v>249</v>
      </c>
      <c r="E14" t="n">
        <v>83</v>
      </c>
      <c r="F14" t="n">
        <v>24</v>
      </c>
    </row>
    <row r="15">
      <c r="A15" t="n">
        <v>14</v>
      </c>
      <c r="B15" t="inlineStr">
        <is>
          <t>Indiana</t>
        </is>
      </c>
      <c r="C15" t="n">
        <v>7.2</v>
      </c>
      <c r="D15" t="n">
        <v>113</v>
      </c>
      <c r="E15" t="n">
        <v>65</v>
      </c>
      <c r="F15" t="n">
        <v>21</v>
      </c>
    </row>
    <row r="16">
      <c r="A16" t="n">
        <v>15</v>
      </c>
      <c r="B16" t="inlineStr">
        <is>
          <t>Iowa</t>
        </is>
      </c>
      <c r="C16" t="n">
        <v>2.2</v>
      </c>
      <c r="D16" t="n">
        <v>56</v>
      </c>
      <c r="E16" t="n">
        <v>57</v>
      </c>
      <c r="F16" t="n">
        <v>11.3</v>
      </c>
    </row>
    <row r="17">
      <c r="A17" t="n">
        <v>16</v>
      </c>
      <c r="B17" t="inlineStr">
        <is>
          <t>Kansas</t>
        </is>
      </c>
      <c r="C17" t="n">
        <v>6</v>
      </c>
      <c r="D17" t="n">
        <v>115</v>
      </c>
      <c r="E17" t="n">
        <v>66</v>
      </c>
      <c r="F17" t="n">
        <v>18</v>
      </c>
    </row>
    <row r="18">
      <c r="A18" t="n">
        <v>17</v>
      </c>
      <c r="B18" t="inlineStr">
        <is>
          <t>Kentucky</t>
        </is>
      </c>
      <c r="C18" t="n">
        <v>9.699999999999999</v>
      </c>
      <c r="D18" t="n">
        <v>109</v>
      </c>
      <c r="E18" t="n">
        <v>52</v>
      </c>
      <c r="F18" t="n">
        <v>16.3</v>
      </c>
    </row>
    <row r="19">
      <c r="A19" t="n">
        <v>18</v>
      </c>
      <c r="B19" t="inlineStr">
        <is>
          <t>Louisiana</t>
        </is>
      </c>
      <c r="C19" t="n">
        <v>15.4</v>
      </c>
      <c r="D19" t="n">
        <v>249</v>
      </c>
      <c r="E19" t="n">
        <v>66</v>
      </c>
      <c r="F19" t="n">
        <v>22.2</v>
      </c>
    </row>
    <row r="20">
      <c r="A20" t="n">
        <v>19</v>
      </c>
      <c r="B20" t="inlineStr">
        <is>
          <t>Maine</t>
        </is>
      </c>
      <c r="C20" t="n">
        <v>2.1</v>
      </c>
      <c r="D20" t="n">
        <v>83</v>
      </c>
      <c r="E20" t="n">
        <v>51</v>
      </c>
      <c r="F20" t="n">
        <v>7.8</v>
      </c>
    </row>
    <row r="21">
      <c r="A21" t="n">
        <v>20</v>
      </c>
      <c r="B21" t="inlineStr">
        <is>
          <t>Maryland</t>
        </is>
      </c>
      <c r="C21" t="n">
        <v>11.3</v>
      </c>
      <c r="D21" t="n">
        <v>300</v>
      </c>
      <c r="E21" t="n">
        <v>67</v>
      </c>
      <c r="F21" t="n">
        <v>27.8</v>
      </c>
    </row>
    <row r="22">
      <c r="A22" t="n">
        <v>21</v>
      </c>
      <c r="B22" t="inlineStr">
        <is>
          <t>Massachusetts</t>
        </is>
      </c>
      <c r="C22" t="n">
        <v>4.4</v>
      </c>
      <c r="D22" t="n">
        <v>149</v>
      </c>
      <c r="E22" t="n">
        <v>85</v>
      </c>
      <c r="F22" t="n">
        <v>16.3</v>
      </c>
    </row>
    <row r="23">
      <c r="A23" t="n">
        <v>22</v>
      </c>
      <c r="B23" t="inlineStr">
        <is>
          <t>Michigan</t>
        </is>
      </c>
      <c r="C23" t="n">
        <v>12.1</v>
      </c>
      <c r="D23" t="n">
        <v>255</v>
      </c>
      <c r="E23" t="n">
        <v>74</v>
      </c>
      <c r="F23" t="n">
        <v>35.1</v>
      </c>
    </row>
    <row r="24">
      <c r="A24" t="n">
        <v>23</v>
      </c>
      <c r="B24" t="inlineStr">
        <is>
          <t>Minnesota</t>
        </is>
      </c>
      <c r="C24" t="n">
        <v>2.7</v>
      </c>
      <c r="D24" t="n">
        <v>72</v>
      </c>
      <c r="E24" t="n">
        <v>66</v>
      </c>
      <c r="F24" t="n">
        <v>14.9</v>
      </c>
    </row>
    <row r="25">
      <c r="A25" t="n">
        <v>24</v>
      </c>
      <c r="B25" t="inlineStr">
        <is>
          <t>Mississippi</t>
        </is>
      </c>
      <c r="C25" t="n">
        <v>16.1</v>
      </c>
      <c r="D25" t="n">
        <v>259</v>
      </c>
      <c r="E25" t="n">
        <v>44</v>
      </c>
      <c r="F25" t="n">
        <v>17.1</v>
      </c>
    </row>
    <row r="26">
      <c r="A26" t="n">
        <v>25</v>
      </c>
      <c r="B26" t="inlineStr">
        <is>
          <t>Missouri</t>
        </is>
      </c>
      <c r="C26" t="n">
        <v>9</v>
      </c>
      <c r="D26" t="n">
        <v>178</v>
      </c>
      <c r="E26" t="n">
        <v>70</v>
      </c>
      <c r="F26" t="n">
        <v>28.2</v>
      </c>
    </row>
    <row r="27">
      <c r="A27" t="n">
        <v>26</v>
      </c>
      <c r="B27" t="inlineStr">
        <is>
          <t>Montana</t>
        </is>
      </c>
      <c r="C27" t="n">
        <v>6</v>
      </c>
      <c r="D27" t="n">
        <v>109</v>
      </c>
      <c r="E27" t="n">
        <v>53</v>
      </c>
      <c r="F27" t="n">
        <v>16.4</v>
      </c>
    </row>
    <row r="28">
      <c r="A28" t="n">
        <v>27</v>
      </c>
      <c r="B28" t="inlineStr">
        <is>
          <t>Nebraska</t>
        </is>
      </c>
      <c r="C28" t="n">
        <v>4.3</v>
      </c>
      <c r="D28" t="n">
        <v>102</v>
      </c>
      <c r="E28" t="n">
        <v>62</v>
      </c>
      <c r="F28" t="n">
        <v>16.5</v>
      </c>
    </row>
    <row r="29">
      <c r="A29" t="n">
        <v>28</v>
      </c>
      <c r="B29" t="inlineStr">
        <is>
          <t>Nevada</t>
        </is>
      </c>
      <c r="C29" t="n">
        <v>12.2</v>
      </c>
      <c r="D29" t="n">
        <v>252</v>
      </c>
      <c r="E29" t="n">
        <v>81</v>
      </c>
      <c r="F29" t="n">
        <v>46</v>
      </c>
    </row>
    <row r="30">
      <c r="A30" t="n">
        <v>29</v>
      </c>
      <c r="B30" t="inlineStr">
        <is>
          <t>New Hampshire</t>
        </is>
      </c>
      <c r="C30" t="n">
        <v>2.1</v>
      </c>
      <c r="D30" t="n">
        <v>57</v>
      </c>
      <c r="E30" t="n">
        <v>56</v>
      </c>
      <c r="F30" t="n">
        <v>9.5</v>
      </c>
    </row>
    <row r="31">
      <c r="A31" t="n">
        <v>30</v>
      </c>
      <c r="B31" t="inlineStr">
        <is>
          <t>New Jersey</t>
        </is>
      </c>
      <c r="C31" t="n">
        <v>7.4</v>
      </c>
      <c r="D31" t="n">
        <v>159</v>
      </c>
      <c r="E31" t="n">
        <v>89</v>
      </c>
      <c r="F31" t="n">
        <v>18.8</v>
      </c>
    </row>
    <row r="32">
      <c r="A32" t="n">
        <v>31</v>
      </c>
      <c r="B32" t="inlineStr">
        <is>
          <t>New Mexico</t>
        </is>
      </c>
      <c r="C32" t="n">
        <v>11.4</v>
      </c>
      <c r="D32" t="n">
        <v>285</v>
      </c>
      <c r="E32" t="n">
        <v>70</v>
      </c>
      <c r="F32" t="n">
        <v>32.1</v>
      </c>
    </row>
    <row r="33">
      <c r="A33" t="n">
        <v>32</v>
      </c>
      <c r="B33" t="inlineStr">
        <is>
          <t>New York</t>
        </is>
      </c>
      <c r="C33" t="n">
        <v>11.1</v>
      </c>
      <c r="D33" t="n">
        <v>254</v>
      </c>
      <c r="E33" t="n">
        <v>86</v>
      </c>
      <c r="F33" t="n">
        <v>26.1</v>
      </c>
    </row>
    <row r="34">
      <c r="A34" t="n">
        <v>33</v>
      </c>
      <c r="B34" t="inlineStr">
        <is>
          <t>North Carolina</t>
        </is>
      </c>
      <c r="C34" t="n">
        <v>13</v>
      </c>
      <c r="D34" t="n">
        <v>337</v>
      </c>
      <c r="E34" t="n">
        <v>45</v>
      </c>
      <c r="F34" t="n">
        <v>16.1</v>
      </c>
    </row>
    <row r="35">
      <c r="A35" t="n">
        <v>34</v>
      </c>
      <c r="B35" t="inlineStr">
        <is>
          <t>North Dakota</t>
        </is>
      </c>
      <c r="C35" t="n">
        <v>0.8</v>
      </c>
      <c r="D35" t="n">
        <v>45</v>
      </c>
      <c r="E35" t="n">
        <v>44</v>
      </c>
      <c r="F35" t="n">
        <v>7.3</v>
      </c>
    </row>
    <row r="36">
      <c r="A36" t="n">
        <v>35</v>
      </c>
      <c r="B36" t="inlineStr">
        <is>
          <t>Ohio</t>
        </is>
      </c>
      <c r="C36" t="n">
        <v>7.3</v>
      </c>
      <c r="D36" t="n">
        <v>120</v>
      </c>
      <c r="E36" t="n">
        <v>75</v>
      </c>
      <c r="F36" t="n">
        <v>21.4</v>
      </c>
    </row>
    <row r="37">
      <c r="A37" t="n">
        <v>36</v>
      </c>
      <c r="B37" t="inlineStr">
        <is>
          <t>Oklahoma</t>
        </is>
      </c>
      <c r="C37" t="n">
        <v>6.6</v>
      </c>
      <c r="D37" t="n">
        <v>151</v>
      </c>
      <c r="E37" t="n">
        <v>68</v>
      </c>
      <c r="F37" t="n">
        <v>20</v>
      </c>
    </row>
    <row r="38">
      <c r="A38" t="n">
        <v>37</v>
      </c>
      <c r="B38" t="inlineStr">
        <is>
          <t>Oregon</t>
        </is>
      </c>
      <c r="C38" t="n">
        <v>4.9</v>
      </c>
      <c r="D38" t="n">
        <v>159</v>
      </c>
      <c r="E38" t="n">
        <v>67</v>
      </c>
      <c r="F38" t="n">
        <v>29.3</v>
      </c>
    </row>
    <row r="39">
      <c r="A39" t="n">
        <v>38</v>
      </c>
      <c r="B39" t="inlineStr">
        <is>
          <t>Pennsylvania</t>
        </is>
      </c>
      <c r="C39" t="n">
        <v>6.3</v>
      </c>
      <c r="D39" t="n">
        <v>106</v>
      </c>
      <c r="E39" t="n">
        <v>72</v>
      </c>
      <c r="F39" t="n">
        <v>14.9</v>
      </c>
    </row>
    <row r="40">
      <c r="A40" t="n">
        <v>39</v>
      </c>
      <c r="B40" t="inlineStr">
        <is>
          <t>Rhode Island</t>
        </is>
      </c>
      <c r="C40" t="n">
        <v>3.4</v>
      </c>
      <c r="D40" t="n">
        <v>174</v>
      </c>
      <c r="E40" t="n">
        <v>87</v>
      </c>
      <c r="F40" t="n">
        <v>8.300000000000001</v>
      </c>
    </row>
    <row r="41">
      <c r="A41" t="n">
        <v>40</v>
      </c>
      <c r="B41" t="inlineStr">
        <is>
          <t>South Carolina</t>
        </is>
      </c>
      <c r="C41" t="n">
        <v>14.4</v>
      </c>
      <c r="D41" t="n">
        <v>279</v>
      </c>
      <c r="E41" t="n">
        <v>48</v>
      </c>
      <c r="F41" t="n">
        <v>22.5</v>
      </c>
    </row>
    <row r="42">
      <c r="A42" t="n">
        <v>41</v>
      </c>
      <c r="B42" t="inlineStr">
        <is>
          <t>South Dakota</t>
        </is>
      </c>
      <c r="C42" t="n">
        <v>3.8</v>
      </c>
      <c r="D42" t="n">
        <v>86</v>
      </c>
      <c r="E42" t="n">
        <v>45</v>
      </c>
      <c r="F42" t="n">
        <v>12.8</v>
      </c>
    </row>
    <row r="43">
      <c r="A43" t="n">
        <v>42</v>
      </c>
      <c r="B43" t="inlineStr">
        <is>
          <t>Tennessee</t>
        </is>
      </c>
      <c r="C43" t="n">
        <v>13.2</v>
      </c>
      <c r="D43" t="n">
        <v>188</v>
      </c>
      <c r="E43" t="n">
        <v>59</v>
      </c>
      <c r="F43" t="n">
        <v>26.9</v>
      </c>
    </row>
    <row r="44">
      <c r="A44" t="n">
        <v>43</v>
      </c>
      <c r="B44" t="inlineStr">
        <is>
          <t>Texas</t>
        </is>
      </c>
      <c r="C44" t="n">
        <v>12.7</v>
      </c>
      <c r="D44" t="n">
        <v>201</v>
      </c>
      <c r="E44" t="n">
        <v>80</v>
      </c>
      <c r="F44" t="n">
        <v>25.5</v>
      </c>
    </row>
    <row r="45">
      <c r="A45" t="n">
        <v>44</v>
      </c>
      <c r="B45" t="inlineStr">
        <is>
          <t>Utah</t>
        </is>
      </c>
      <c r="C45" t="n">
        <v>3.2</v>
      </c>
      <c r="D45" t="n">
        <v>120</v>
      </c>
      <c r="E45" t="n">
        <v>80</v>
      </c>
      <c r="F45" t="n">
        <v>22.9</v>
      </c>
    </row>
    <row r="46">
      <c r="A46" t="n">
        <v>45</v>
      </c>
      <c r="B46" t="inlineStr">
        <is>
          <t>Vermont</t>
        </is>
      </c>
      <c r="C46" t="n">
        <v>2.2</v>
      </c>
      <c r="D46" t="n">
        <v>48</v>
      </c>
      <c r="E46" t="n">
        <v>32</v>
      </c>
      <c r="F46" t="n">
        <v>11.2</v>
      </c>
    </row>
    <row r="47">
      <c r="A47" t="n">
        <v>46</v>
      </c>
      <c r="B47" t="inlineStr">
        <is>
          <t>Virginia</t>
        </is>
      </c>
      <c r="C47" t="n">
        <v>8.5</v>
      </c>
      <c r="D47" t="n">
        <v>156</v>
      </c>
      <c r="E47" t="n">
        <v>63</v>
      </c>
      <c r="F47" t="n">
        <v>20.7</v>
      </c>
    </row>
    <row r="48">
      <c r="A48" t="n">
        <v>47</v>
      </c>
      <c r="B48" t="inlineStr">
        <is>
          <t>Washington</t>
        </is>
      </c>
      <c r="C48" t="n">
        <v>4</v>
      </c>
      <c r="D48" t="n">
        <v>145</v>
      </c>
      <c r="E48" t="n">
        <v>73</v>
      </c>
      <c r="F48" t="n">
        <v>26.2</v>
      </c>
    </row>
    <row r="49">
      <c r="A49" t="n">
        <v>48</v>
      </c>
      <c r="B49" t="inlineStr">
        <is>
          <t>West Virginia</t>
        </is>
      </c>
      <c r="C49" t="n">
        <v>5.7</v>
      </c>
      <c r="D49" t="n">
        <v>81</v>
      </c>
      <c r="E49" t="n">
        <v>39</v>
      </c>
      <c r="F49" t="n">
        <v>9.300000000000001</v>
      </c>
    </row>
    <row r="50">
      <c r="A50" t="n">
        <v>49</v>
      </c>
      <c r="B50" t="inlineStr">
        <is>
          <t>Wisconsin</t>
        </is>
      </c>
      <c r="C50" t="n">
        <v>2.6</v>
      </c>
      <c r="D50" t="n">
        <v>53</v>
      </c>
      <c r="E50" t="n">
        <v>66</v>
      </c>
      <c r="F50" t="n">
        <v>10.8</v>
      </c>
    </row>
    <row r="51">
      <c r="A51" t="n">
        <v>50</v>
      </c>
      <c r="B51" t="inlineStr">
        <is>
          <t>Wyoming</t>
        </is>
      </c>
      <c r="C51" t="n">
        <v>6.8</v>
      </c>
      <c r="D51" t="n">
        <v>161</v>
      </c>
      <c r="E51" t="n">
        <v>60</v>
      </c>
      <c r="F51" t="n">
        <v>15.6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</cols>
  <sheetData>
    <row r="1">
      <c r="A1" t="inlineStr">
        <is>
          <t>id</t>
        </is>
      </c>
      <c r="B1" t="inlineStr">
        <is>
          <t>Murder</t>
        </is>
      </c>
      <c r="C1" t="inlineStr">
        <is>
          <t>Assault</t>
        </is>
      </c>
      <c r="D1" t="inlineStr">
        <is>
          <t>UrbanPop</t>
        </is>
      </c>
      <c r="E1" t="inlineStr">
        <is>
          <t>Rape</t>
        </is>
      </c>
      <c r="F1" t="inlineStr"/>
      <c r="G1" t="inlineStr">
        <is>
          <t>z_Murder</t>
        </is>
      </c>
      <c r="H1" t="inlineStr">
        <is>
          <t>z_Assault</t>
        </is>
      </c>
      <c r="I1" t="inlineStr">
        <is>
          <t>z_UrbanPop</t>
        </is>
      </c>
      <c r="J1" t="inlineStr">
        <is>
          <t>z_Rape</t>
        </is>
      </c>
      <c r="K1" t="inlineStr"/>
      <c r="L1" t="inlineStr">
        <is>
          <t>PC1_score</t>
        </is>
      </c>
      <c r="M1" t="inlineStr">
        <is>
          <t>Correlation Matrix R</t>
        </is>
      </c>
      <c r="Z1" t="inlineStr">
        <is>
          <t>PC2_score</t>
        </is>
      </c>
      <c r="AA1" t="inlineStr">
        <is>
          <t>Deflated matrix for PC2</t>
        </is>
      </c>
    </row>
    <row r="2">
      <c r="A2">
        <f>Data_USArrests!A2</f>
        <v/>
      </c>
      <c r="B2">
        <f>Data_USArrests!C2</f>
        <v/>
      </c>
      <c r="C2">
        <f>Data_USArrests!D2</f>
        <v/>
      </c>
      <c r="D2">
        <f>Data_USArrests!E2</f>
        <v/>
      </c>
      <c r="E2">
        <f>Data_USArrests!F2</f>
        <v/>
      </c>
      <c r="G2">
        <f>(B2-$B$54)/$B$55</f>
        <v/>
      </c>
      <c r="H2">
        <f>(C2-$C$54)/$C$55</f>
        <v/>
      </c>
      <c r="I2">
        <f>(D2-$D$54)/$D$55</f>
        <v/>
      </c>
      <c r="J2">
        <f>(E2-$E$54)/$E$55</f>
        <v/>
      </c>
      <c r="L2">
        <f>SUMPRODUCT(G2:J2,$M$33:$P$33)</f>
        <v/>
      </c>
      <c r="M2" t="inlineStr">
        <is>
          <t>Murder</t>
        </is>
      </c>
      <c r="N2" t="inlineStr">
        <is>
          <t>Assault</t>
        </is>
      </c>
      <c r="O2" t="inlineStr">
        <is>
          <t>UrbanPop</t>
        </is>
      </c>
      <c r="P2" t="inlineStr">
        <is>
          <t>Rape</t>
        </is>
      </c>
      <c r="Z2">
        <f>SUMPRODUCT(G2:J2,$AB$33:$AE$33)</f>
        <v/>
      </c>
    </row>
    <row r="3">
      <c r="A3">
        <f>Data_USArrests!A3</f>
        <v/>
      </c>
      <c r="B3">
        <f>Data_USArrests!C3</f>
        <v/>
      </c>
      <c r="C3">
        <f>Data_USArrests!D3</f>
        <v/>
      </c>
      <c r="D3">
        <f>Data_USArrests!E3</f>
        <v/>
      </c>
      <c r="E3">
        <f>Data_USArrests!F3</f>
        <v/>
      </c>
      <c r="G3">
        <f>(B3-$B$54)/$B$55</f>
        <v/>
      </c>
      <c r="H3">
        <f>(C3-$C$54)/$C$55</f>
        <v/>
      </c>
      <c r="I3">
        <f>(D3-$D$54)/$D$55</f>
        <v/>
      </c>
      <c r="J3">
        <f>(E3-$E$54)/$E$55</f>
        <v/>
      </c>
      <c r="L3">
        <f>SUMPRODUCT(G3:J3,$M$33:$P$33)</f>
        <v/>
      </c>
      <c r="M3">
        <f>SUMPRODUCT(G2:G51,G2:G51)/(COUNT(G2:G51)-1)</f>
        <v/>
      </c>
      <c r="N3">
        <f>SUMPRODUCT(G2:G51,H2:H51)/(COUNT(G2:G51)-1)</f>
        <v/>
      </c>
      <c r="O3">
        <f>SUMPRODUCT(G2:G51,I2:I51)/(COUNT(G2:G51)-1)</f>
        <v/>
      </c>
      <c r="P3">
        <f>SUMPRODUCT(G2:G51,J2:J51)/(COUNT(G2:G51)-1)</f>
        <v/>
      </c>
      <c r="Z3">
        <f>SUMPRODUCT(G3:J3,$AB$33:$AE$33)</f>
        <v/>
      </c>
      <c r="AA3">
        <f>M3-$M$34*$M$33*$M$33</f>
        <v/>
      </c>
      <c r="AB3">
        <f>N3-$M$34*$M$33*$N$33</f>
        <v/>
      </c>
      <c r="AC3">
        <f>O3-$M$34*$M$33*$O$33</f>
        <v/>
      </c>
      <c r="AD3">
        <f>P3-$M$34*$M$33*$P$33</f>
        <v/>
      </c>
    </row>
    <row r="4">
      <c r="A4">
        <f>Data_USArrests!A4</f>
        <v/>
      </c>
      <c r="B4">
        <f>Data_USArrests!C4</f>
        <v/>
      </c>
      <c r="C4">
        <f>Data_USArrests!D4</f>
        <v/>
      </c>
      <c r="D4">
        <f>Data_USArrests!E4</f>
        <v/>
      </c>
      <c r="E4">
        <f>Data_USArrests!F4</f>
        <v/>
      </c>
      <c r="G4">
        <f>(B4-$B$54)/$B$55</f>
        <v/>
      </c>
      <c r="H4">
        <f>(C4-$C$54)/$C$55</f>
        <v/>
      </c>
      <c r="I4">
        <f>(D4-$D$54)/$D$55</f>
        <v/>
      </c>
      <c r="J4">
        <f>(E4-$E$54)/$E$55</f>
        <v/>
      </c>
      <c r="L4">
        <f>SUMPRODUCT(G4:J4,$M$33:$P$33)</f>
        <v/>
      </c>
      <c r="M4">
        <f>SUMPRODUCT(H2:H51,G2:G51)/(COUNT(H2:H51)-1)</f>
        <v/>
      </c>
      <c r="N4">
        <f>SUMPRODUCT(H2:H51,H2:H51)/(COUNT(H2:H51)-1)</f>
        <v/>
      </c>
      <c r="O4">
        <f>SUMPRODUCT(H2:H51,I2:I51)/(COUNT(H2:H51)-1)</f>
        <v/>
      </c>
      <c r="P4">
        <f>SUMPRODUCT(H2:H51,J2:J51)/(COUNT(H2:H51)-1)</f>
        <v/>
      </c>
      <c r="Z4">
        <f>SUMPRODUCT(G4:J4,$AB$33:$AE$33)</f>
        <v/>
      </c>
      <c r="AA4">
        <f>M4-$M$34*$N$33*$M$33</f>
        <v/>
      </c>
      <c r="AB4">
        <f>N4-$M$34*$N$33*$N$33</f>
        <v/>
      </c>
      <c r="AC4">
        <f>O4-$M$34*$N$33*$O$33</f>
        <v/>
      </c>
      <c r="AD4">
        <f>P4-$M$34*$N$33*$P$33</f>
        <v/>
      </c>
    </row>
    <row r="5">
      <c r="A5">
        <f>Data_USArrests!A5</f>
        <v/>
      </c>
      <c r="B5">
        <f>Data_USArrests!C5</f>
        <v/>
      </c>
      <c r="C5">
        <f>Data_USArrests!D5</f>
        <v/>
      </c>
      <c r="D5">
        <f>Data_USArrests!E5</f>
        <v/>
      </c>
      <c r="E5">
        <f>Data_USArrests!F5</f>
        <v/>
      </c>
      <c r="G5">
        <f>(B5-$B$54)/$B$55</f>
        <v/>
      </c>
      <c r="H5">
        <f>(C5-$C$54)/$C$55</f>
        <v/>
      </c>
      <c r="I5">
        <f>(D5-$D$54)/$D$55</f>
        <v/>
      </c>
      <c r="J5">
        <f>(E5-$E$54)/$E$55</f>
        <v/>
      </c>
      <c r="L5">
        <f>SUMPRODUCT(G5:J5,$M$33:$P$33)</f>
        <v/>
      </c>
      <c r="M5">
        <f>SUMPRODUCT(I2:I51,G2:G51)/(COUNT(I2:I51)-1)</f>
        <v/>
      </c>
      <c r="N5">
        <f>SUMPRODUCT(I2:I51,H2:H51)/(COUNT(I2:I51)-1)</f>
        <v/>
      </c>
      <c r="O5">
        <f>SUMPRODUCT(I2:I51,I2:I51)/(COUNT(I2:I51)-1)</f>
        <v/>
      </c>
      <c r="P5">
        <f>SUMPRODUCT(I2:I51,J2:J51)/(COUNT(I2:I51)-1)</f>
        <v/>
      </c>
      <c r="Z5">
        <f>SUMPRODUCT(G5:J5,$AB$33:$AE$33)</f>
        <v/>
      </c>
      <c r="AA5">
        <f>M5-$M$34*$O$33*$M$33</f>
        <v/>
      </c>
      <c r="AB5">
        <f>N5-$M$34*$O$33*$N$33</f>
        <v/>
      </c>
      <c r="AC5">
        <f>O5-$M$34*$O$33*$O$33</f>
        <v/>
      </c>
      <c r="AD5">
        <f>P5-$M$34*$O$33*$P$33</f>
        <v/>
      </c>
    </row>
    <row r="6">
      <c r="A6">
        <f>Data_USArrests!A6</f>
        <v/>
      </c>
      <c r="B6">
        <f>Data_USArrests!C6</f>
        <v/>
      </c>
      <c r="C6">
        <f>Data_USArrests!D6</f>
        <v/>
      </c>
      <c r="D6">
        <f>Data_USArrests!E6</f>
        <v/>
      </c>
      <c r="E6">
        <f>Data_USArrests!F6</f>
        <v/>
      </c>
      <c r="G6">
        <f>(B6-$B$54)/$B$55</f>
        <v/>
      </c>
      <c r="H6">
        <f>(C6-$C$54)/$C$55</f>
        <v/>
      </c>
      <c r="I6">
        <f>(D6-$D$54)/$D$55</f>
        <v/>
      </c>
      <c r="J6">
        <f>(E6-$E$54)/$E$55</f>
        <v/>
      </c>
      <c r="L6">
        <f>SUMPRODUCT(G6:J6,$M$33:$P$33)</f>
        <v/>
      </c>
      <c r="M6">
        <f>SUMPRODUCT(J2:J51,G2:G51)/(COUNT(J2:J51)-1)</f>
        <v/>
      </c>
      <c r="N6">
        <f>SUMPRODUCT(J2:J51,H2:H51)/(COUNT(J2:J51)-1)</f>
        <v/>
      </c>
      <c r="O6">
        <f>SUMPRODUCT(J2:J51,I2:I51)/(COUNT(J2:J51)-1)</f>
        <v/>
      </c>
      <c r="P6">
        <f>SUMPRODUCT(J2:J51,J2:J51)/(COUNT(J2:J51)-1)</f>
        <v/>
      </c>
      <c r="Z6">
        <f>SUMPRODUCT(G6:J6,$AB$33:$AE$33)</f>
        <v/>
      </c>
      <c r="AA6">
        <f>M6-$M$34*$P$33*$M$33</f>
        <v/>
      </c>
      <c r="AB6">
        <f>N6-$M$34*$P$33*$N$33</f>
        <v/>
      </c>
      <c r="AC6">
        <f>O6-$M$34*$P$33*$O$33</f>
        <v/>
      </c>
      <c r="AD6">
        <f>P6-$M$34*$P$33*$P$33</f>
        <v/>
      </c>
    </row>
    <row r="7">
      <c r="A7">
        <f>Data_USArrests!A7</f>
        <v/>
      </c>
      <c r="B7">
        <f>Data_USArrests!C7</f>
        <v/>
      </c>
      <c r="C7">
        <f>Data_USArrests!D7</f>
        <v/>
      </c>
      <c r="D7">
        <f>Data_USArrests!E7</f>
        <v/>
      </c>
      <c r="E7">
        <f>Data_USArrests!F7</f>
        <v/>
      </c>
      <c r="G7">
        <f>(B7-$B$54)/$B$55</f>
        <v/>
      </c>
      <c r="H7">
        <f>(C7-$C$54)/$C$55</f>
        <v/>
      </c>
      <c r="I7">
        <f>(D7-$D$54)/$D$55</f>
        <v/>
      </c>
      <c r="J7">
        <f>(E7-$E$54)/$E$55</f>
        <v/>
      </c>
      <c r="L7">
        <f>SUMPRODUCT(G7:J7,$M$33:$P$33)</f>
        <v/>
      </c>
      <c r="Z7">
        <f>SUMPRODUCT(G7:J7,$AB$33:$AE$33)</f>
        <v/>
      </c>
    </row>
    <row r="8">
      <c r="A8">
        <f>Data_USArrests!A8</f>
        <v/>
      </c>
      <c r="B8">
        <f>Data_USArrests!C8</f>
        <v/>
      </c>
      <c r="C8">
        <f>Data_USArrests!D8</f>
        <v/>
      </c>
      <c r="D8">
        <f>Data_USArrests!E8</f>
        <v/>
      </c>
      <c r="E8">
        <f>Data_USArrests!F8</f>
        <v/>
      </c>
      <c r="G8">
        <f>(B8-$B$54)/$B$55</f>
        <v/>
      </c>
      <c r="H8">
        <f>(C8-$C$54)/$C$55</f>
        <v/>
      </c>
      <c r="I8">
        <f>(D8-$D$54)/$D$55</f>
        <v/>
      </c>
      <c r="J8">
        <f>(E8-$E$54)/$E$55</f>
        <v/>
      </c>
      <c r="L8">
        <f>SUMPRODUCT(G8:J8,$M$33:$P$33)</f>
        <v/>
      </c>
      <c r="Z8">
        <f>SUMPRODUCT(G8:J8,$AB$33:$AE$33)</f>
        <v/>
      </c>
    </row>
    <row r="9">
      <c r="A9">
        <f>Data_USArrests!A9</f>
        <v/>
      </c>
      <c r="B9">
        <f>Data_USArrests!C9</f>
        <v/>
      </c>
      <c r="C9">
        <f>Data_USArrests!D9</f>
        <v/>
      </c>
      <c r="D9">
        <f>Data_USArrests!E9</f>
        <v/>
      </c>
      <c r="E9">
        <f>Data_USArrests!F9</f>
        <v/>
      </c>
      <c r="G9">
        <f>(B9-$B$54)/$B$55</f>
        <v/>
      </c>
      <c r="H9">
        <f>(C9-$C$54)/$C$55</f>
        <v/>
      </c>
      <c r="I9">
        <f>(D9-$D$54)/$D$55</f>
        <v/>
      </c>
      <c r="J9">
        <f>(E9-$E$54)/$E$55</f>
        <v/>
      </c>
      <c r="L9">
        <f>SUMPRODUCT(G9:J9,$M$33:$P$33)</f>
        <v/>
      </c>
      <c r="Z9">
        <f>SUMPRODUCT(G9:J9,$AB$33:$AE$33)</f>
        <v/>
      </c>
    </row>
    <row r="10">
      <c r="A10">
        <f>Data_USArrests!A10</f>
        <v/>
      </c>
      <c r="B10">
        <f>Data_USArrests!C10</f>
        <v/>
      </c>
      <c r="C10">
        <f>Data_USArrests!D10</f>
        <v/>
      </c>
      <c r="D10">
        <f>Data_USArrests!E10</f>
        <v/>
      </c>
      <c r="E10">
        <f>Data_USArrests!F10</f>
        <v/>
      </c>
      <c r="G10">
        <f>(B10-$B$54)/$B$55</f>
        <v/>
      </c>
      <c r="H10">
        <f>(C10-$C$54)/$C$55</f>
        <v/>
      </c>
      <c r="I10">
        <f>(D10-$D$54)/$D$55</f>
        <v/>
      </c>
      <c r="J10">
        <f>(E10-$E$54)/$E$55</f>
        <v/>
      </c>
      <c r="L10">
        <f>SUMPRODUCT(G10:J10,$M$33:$P$33)</f>
        <v/>
      </c>
      <c r="M10" t="inlineStr">
        <is>
          <t>v1</t>
        </is>
      </c>
      <c r="N10" t="inlineStr">
        <is>
          <t>v2</t>
        </is>
      </c>
      <c r="O10" t="inlineStr">
        <is>
          <t>v3</t>
        </is>
      </c>
      <c r="P10" t="inlineStr">
        <is>
          <t>v4</t>
        </is>
      </c>
      <c r="Q10" t="inlineStr">
        <is>
          <t>t1</t>
        </is>
      </c>
      <c r="R10" t="inlineStr">
        <is>
          <t>t2</t>
        </is>
      </c>
      <c r="S10" t="inlineStr">
        <is>
          <t>t3</t>
        </is>
      </c>
      <c r="T10" t="inlineStr">
        <is>
          <t>t4</t>
        </is>
      </c>
      <c r="U10" t="inlineStr">
        <is>
          <t>norm_t</t>
        </is>
      </c>
      <c r="W10" t="inlineStr">
        <is>
          <t>PC</t>
        </is>
      </c>
      <c r="X10" t="inlineStr">
        <is>
          <t>PVE_proxy</t>
        </is>
      </c>
      <c r="Y10" t="inlineStr">
        <is>
          <t>CumPVE_proxy</t>
        </is>
      </c>
      <c r="Z10">
        <f>SUMPRODUCT(G10:J10,$AB$33:$AE$33)</f>
        <v/>
      </c>
      <c r="AA10" t="inlineStr">
        <is>
          <t>PC2 power iteration</t>
        </is>
      </c>
      <c r="AB10" t="inlineStr">
        <is>
          <t>v1</t>
        </is>
      </c>
      <c r="AC10" t="inlineStr">
        <is>
          <t>v2</t>
        </is>
      </c>
      <c r="AD10" t="inlineStr">
        <is>
          <t>v3</t>
        </is>
      </c>
      <c r="AE10" t="inlineStr">
        <is>
          <t>v4</t>
        </is>
      </c>
      <c r="AF10" t="inlineStr">
        <is>
          <t>t1</t>
        </is>
      </c>
      <c r="AG10" t="inlineStr">
        <is>
          <t>t2</t>
        </is>
      </c>
      <c r="AH10" t="inlineStr">
        <is>
          <t>t3</t>
        </is>
      </c>
      <c r="AI10" t="inlineStr">
        <is>
          <t>t4</t>
        </is>
      </c>
      <c r="AJ10" t="inlineStr">
        <is>
          <t>norm_t</t>
        </is>
      </c>
    </row>
    <row r="11">
      <c r="A11">
        <f>Data_USArrests!A11</f>
        <v/>
      </c>
      <c r="B11">
        <f>Data_USArrests!C11</f>
        <v/>
      </c>
      <c r="C11">
        <f>Data_USArrests!D11</f>
        <v/>
      </c>
      <c r="D11">
        <f>Data_USArrests!E11</f>
        <v/>
      </c>
      <c r="E11">
        <f>Data_USArrests!F11</f>
        <v/>
      </c>
      <c r="G11">
        <f>(B11-$B$54)/$B$55</f>
        <v/>
      </c>
      <c r="H11">
        <f>(C11-$C$54)/$C$55</f>
        <v/>
      </c>
      <c r="I11">
        <f>(D11-$D$54)/$D$55</f>
        <v/>
      </c>
      <c r="J11">
        <f>(E11-$E$54)/$E$55</f>
        <v/>
      </c>
      <c r="L11">
        <f>SUMPRODUCT(G11:J11,$M$33:$P$33)</f>
        <v/>
      </c>
      <c r="M11" t="n">
        <v>0.5</v>
      </c>
      <c r="N11" t="n">
        <v>0.5</v>
      </c>
      <c r="O11" t="n">
        <v>0.5</v>
      </c>
      <c r="P11" t="n">
        <v>0.5</v>
      </c>
      <c r="W11" t="inlineStr">
        <is>
          <t>PC1</t>
        </is>
      </c>
      <c r="X11">
        <f>M35</f>
        <v/>
      </c>
      <c r="Y11">
        <f>X11</f>
        <v/>
      </c>
      <c r="Z11">
        <f>SUMPRODUCT(G11:J11,$AB$33:$AE$33)</f>
        <v/>
      </c>
      <c r="AA11" t="n">
        <v>0</v>
      </c>
      <c r="AB11" t="n">
        <v>0.5</v>
      </c>
      <c r="AC11" t="n">
        <v>-0.5</v>
      </c>
      <c r="AD11" t="n">
        <v>0.5</v>
      </c>
      <c r="AE11" t="n">
        <v>-0.5</v>
      </c>
    </row>
    <row r="12">
      <c r="A12">
        <f>Data_USArrests!A12</f>
        <v/>
      </c>
      <c r="B12">
        <f>Data_USArrests!C12</f>
        <v/>
      </c>
      <c r="C12">
        <f>Data_USArrests!D12</f>
        <v/>
      </c>
      <c r="D12">
        <f>Data_USArrests!E12</f>
        <v/>
      </c>
      <c r="E12">
        <f>Data_USArrests!F12</f>
        <v/>
      </c>
      <c r="G12">
        <f>(B12-$B$54)/$B$55</f>
        <v/>
      </c>
      <c r="H12">
        <f>(C12-$C$54)/$C$55</f>
        <v/>
      </c>
      <c r="I12">
        <f>(D12-$D$54)/$D$55</f>
        <v/>
      </c>
      <c r="J12">
        <f>(E12-$E$54)/$E$55</f>
        <v/>
      </c>
      <c r="L12">
        <f>SUMPRODUCT(G12:J12,$M$33:$P$33)</f>
        <v/>
      </c>
      <c r="M12">
        <f>Q12/U12</f>
        <v/>
      </c>
      <c r="N12">
        <f>R12/U12</f>
        <v/>
      </c>
      <c r="O12">
        <f>S12/U12</f>
        <v/>
      </c>
      <c r="P12">
        <f>T12/U12</f>
        <v/>
      </c>
      <c r="Q12">
        <f>SUMPRODUCT($M$3:$P$3,M11:P11)</f>
        <v/>
      </c>
      <c r="R12">
        <f>SUMPRODUCT($M$4:$P$4,M11:P11)</f>
        <v/>
      </c>
      <c r="S12">
        <f>SUMPRODUCT($M$5:$P$5,M11:P11)</f>
        <v/>
      </c>
      <c r="T12">
        <f>SUMPRODUCT($M$6:$P$6,M11:P11)</f>
        <v/>
      </c>
      <c r="U12">
        <f>SQRT(SUMSQ(Q12:T12))</f>
        <v/>
      </c>
      <c r="W12" t="inlineStr">
        <is>
          <t>PC2</t>
        </is>
      </c>
      <c r="X12">
        <f>AB35</f>
        <v/>
      </c>
      <c r="Y12">
        <f>Y11+X12</f>
        <v/>
      </c>
      <c r="Z12">
        <f>SUMPRODUCT(G12:J12,$AB$33:$AE$33)</f>
        <v/>
      </c>
      <c r="AA12" t="n">
        <v>1</v>
      </c>
      <c r="AB12">
        <f>AF12/AJ12</f>
        <v/>
      </c>
      <c r="AC12">
        <f>AG12/AJ12</f>
        <v/>
      </c>
      <c r="AD12">
        <f>AH12/AJ12</f>
        <v/>
      </c>
      <c r="AE12">
        <f>AI12/AJ12</f>
        <v/>
      </c>
      <c r="AF12">
        <f>SUMPRODUCT($AA$3:$AD$3,AB11:AE11)</f>
        <v/>
      </c>
      <c r="AG12">
        <f>SUMPRODUCT($AA$4:$AD$4,AB11:AE11)</f>
        <v/>
      </c>
      <c r="AH12">
        <f>SUMPRODUCT($AA$5:$AD$5,AB11:AE11)</f>
        <v/>
      </c>
      <c r="AI12">
        <f>SUMPRODUCT($AA$6:$AD$6,AB11:AE11)</f>
        <v/>
      </c>
      <c r="AJ12">
        <f>SQRT(SUMSQ(AF12:AI12))</f>
        <v/>
      </c>
    </row>
    <row r="13">
      <c r="A13">
        <f>Data_USArrests!A13</f>
        <v/>
      </c>
      <c r="B13">
        <f>Data_USArrests!C13</f>
        <v/>
      </c>
      <c r="C13">
        <f>Data_USArrests!D13</f>
        <v/>
      </c>
      <c r="D13">
        <f>Data_USArrests!E13</f>
        <v/>
      </c>
      <c r="E13">
        <f>Data_USArrests!F13</f>
        <v/>
      </c>
      <c r="G13">
        <f>(B13-$B$54)/$B$55</f>
        <v/>
      </c>
      <c r="H13">
        <f>(C13-$C$54)/$C$55</f>
        <v/>
      </c>
      <c r="I13">
        <f>(D13-$D$54)/$D$55</f>
        <v/>
      </c>
      <c r="J13">
        <f>(E13-$E$54)/$E$55</f>
        <v/>
      </c>
      <c r="L13">
        <f>SUMPRODUCT(G13:J13,$M$33:$P$33)</f>
        <v/>
      </c>
      <c r="M13">
        <f>Q13/U13</f>
        <v/>
      </c>
      <c r="N13">
        <f>R13/U13</f>
        <v/>
      </c>
      <c r="O13">
        <f>S13/U13</f>
        <v/>
      </c>
      <c r="P13">
        <f>T13/U13</f>
        <v/>
      </c>
      <c r="Q13">
        <f>SUMPRODUCT($M$3:$P$3,M12:P12)</f>
        <v/>
      </c>
      <c r="R13">
        <f>SUMPRODUCT($M$4:$P$4,M12:P12)</f>
        <v/>
      </c>
      <c r="S13">
        <f>SUMPRODUCT($M$5:$P$5,M12:P12)</f>
        <v/>
      </c>
      <c r="T13">
        <f>SUMPRODUCT($M$6:$P$6,M12:P12)</f>
        <v/>
      </c>
      <c r="U13">
        <f>SQRT(SUMSQ(Q13:T13))</f>
        <v/>
      </c>
      <c r="W13" t="inlineStr">
        <is>
          <t>PC3</t>
        </is>
      </c>
      <c r="X13">
        <f>(1-X11)/3</f>
        <v/>
      </c>
      <c r="Y13">
        <f>Y12+X13</f>
        <v/>
      </c>
      <c r="Z13">
        <f>SUMPRODUCT(G13:J13,$AB$33:$AE$33)</f>
        <v/>
      </c>
      <c r="AA13" t="n">
        <v>2</v>
      </c>
      <c r="AB13">
        <f>AF13/AJ13</f>
        <v/>
      </c>
      <c r="AC13">
        <f>AG13/AJ13</f>
        <v/>
      </c>
      <c r="AD13">
        <f>AH13/AJ13</f>
        <v/>
      </c>
      <c r="AE13">
        <f>AI13/AJ13</f>
        <v/>
      </c>
      <c r="AF13">
        <f>SUMPRODUCT($AA$3:$AD$3,AB12:AE12)</f>
        <v/>
      </c>
      <c r="AG13">
        <f>SUMPRODUCT($AA$4:$AD$4,AB12:AE12)</f>
        <v/>
      </c>
      <c r="AH13">
        <f>SUMPRODUCT($AA$5:$AD$5,AB12:AE12)</f>
        <v/>
      </c>
      <c r="AI13">
        <f>SUMPRODUCT($AA$6:$AD$6,AB12:AE12)</f>
        <v/>
      </c>
      <c r="AJ13">
        <f>SQRT(SUMSQ(AF13:AI13))</f>
        <v/>
      </c>
    </row>
    <row r="14">
      <c r="A14">
        <f>Data_USArrests!A14</f>
        <v/>
      </c>
      <c r="B14">
        <f>Data_USArrests!C14</f>
        <v/>
      </c>
      <c r="C14">
        <f>Data_USArrests!D14</f>
        <v/>
      </c>
      <c r="D14">
        <f>Data_USArrests!E14</f>
        <v/>
      </c>
      <c r="E14">
        <f>Data_USArrests!F14</f>
        <v/>
      </c>
      <c r="G14">
        <f>(B14-$B$54)/$B$55</f>
        <v/>
      </c>
      <c r="H14">
        <f>(C14-$C$54)/$C$55</f>
        <v/>
      </c>
      <c r="I14">
        <f>(D14-$D$54)/$D$55</f>
        <v/>
      </c>
      <c r="J14">
        <f>(E14-$E$54)/$E$55</f>
        <v/>
      </c>
      <c r="L14">
        <f>SUMPRODUCT(G14:J14,$M$33:$P$33)</f>
        <v/>
      </c>
      <c r="M14">
        <f>Q14/U14</f>
        <v/>
      </c>
      <c r="N14">
        <f>R14/U14</f>
        <v/>
      </c>
      <c r="O14">
        <f>S14/U14</f>
        <v/>
      </c>
      <c r="P14">
        <f>T14/U14</f>
        <v/>
      </c>
      <c r="Q14">
        <f>SUMPRODUCT($M$3:$P$3,M13:P13)</f>
        <v/>
      </c>
      <c r="R14">
        <f>SUMPRODUCT($M$4:$P$4,M13:P13)</f>
        <v/>
      </c>
      <c r="S14">
        <f>SUMPRODUCT($M$5:$P$5,M13:P13)</f>
        <v/>
      </c>
      <c r="T14">
        <f>SUMPRODUCT($M$6:$P$6,M13:P13)</f>
        <v/>
      </c>
      <c r="U14">
        <f>SQRT(SUMSQ(Q14:T14))</f>
        <v/>
      </c>
      <c r="W14" t="inlineStr">
        <is>
          <t>PC4</t>
        </is>
      </c>
      <c r="X14">
        <f>1-(X11+X12+X13)</f>
        <v/>
      </c>
      <c r="Y14">
        <f>Y13+X14</f>
        <v/>
      </c>
      <c r="Z14">
        <f>SUMPRODUCT(G14:J14,$AB$33:$AE$33)</f>
        <v/>
      </c>
      <c r="AA14" t="n">
        <v>3</v>
      </c>
      <c r="AB14">
        <f>AF14/AJ14</f>
        <v/>
      </c>
      <c r="AC14">
        <f>AG14/AJ14</f>
        <v/>
      </c>
      <c r="AD14">
        <f>AH14/AJ14</f>
        <v/>
      </c>
      <c r="AE14">
        <f>AI14/AJ14</f>
        <v/>
      </c>
      <c r="AF14">
        <f>SUMPRODUCT($AA$3:$AD$3,AB13:AE13)</f>
        <v/>
      </c>
      <c r="AG14">
        <f>SUMPRODUCT($AA$4:$AD$4,AB13:AE13)</f>
        <v/>
      </c>
      <c r="AH14">
        <f>SUMPRODUCT($AA$5:$AD$5,AB13:AE13)</f>
        <v/>
      </c>
      <c r="AI14">
        <f>SUMPRODUCT($AA$6:$AD$6,AB13:AE13)</f>
        <v/>
      </c>
      <c r="AJ14">
        <f>SQRT(SUMSQ(AF14:AI14))</f>
        <v/>
      </c>
    </row>
    <row r="15">
      <c r="A15">
        <f>Data_USArrests!A15</f>
        <v/>
      </c>
      <c r="B15">
        <f>Data_USArrests!C15</f>
        <v/>
      </c>
      <c r="C15">
        <f>Data_USArrests!D15</f>
        <v/>
      </c>
      <c r="D15">
        <f>Data_USArrests!E15</f>
        <v/>
      </c>
      <c r="E15">
        <f>Data_USArrests!F15</f>
        <v/>
      </c>
      <c r="G15">
        <f>(B15-$B$54)/$B$55</f>
        <v/>
      </c>
      <c r="H15">
        <f>(C15-$C$54)/$C$55</f>
        <v/>
      </c>
      <c r="I15">
        <f>(D15-$D$54)/$D$55</f>
        <v/>
      </c>
      <c r="J15">
        <f>(E15-$E$54)/$E$55</f>
        <v/>
      </c>
      <c r="L15">
        <f>SUMPRODUCT(G15:J15,$M$33:$P$33)</f>
        <v/>
      </c>
      <c r="M15">
        <f>Q15/U15</f>
        <v/>
      </c>
      <c r="N15">
        <f>R15/U15</f>
        <v/>
      </c>
      <c r="O15">
        <f>S15/U15</f>
        <v/>
      </c>
      <c r="P15">
        <f>T15/U15</f>
        <v/>
      </c>
      <c r="Q15">
        <f>SUMPRODUCT($M$3:$P$3,M14:P14)</f>
        <v/>
      </c>
      <c r="R15">
        <f>SUMPRODUCT($M$4:$P$4,M14:P14)</f>
        <v/>
      </c>
      <c r="S15">
        <f>SUMPRODUCT($M$5:$P$5,M14:P14)</f>
        <v/>
      </c>
      <c r="T15">
        <f>SUMPRODUCT($M$6:$P$6,M14:P14)</f>
        <v/>
      </c>
      <c r="U15">
        <f>SQRT(SUMSQ(Q15:T15))</f>
        <v/>
      </c>
      <c r="Z15">
        <f>SUMPRODUCT(G15:J15,$AB$33:$AE$33)</f>
        <v/>
      </c>
      <c r="AA15" t="n">
        <v>4</v>
      </c>
      <c r="AB15">
        <f>AF15/AJ15</f>
        <v/>
      </c>
      <c r="AC15">
        <f>AG15/AJ15</f>
        <v/>
      </c>
      <c r="AD15">
        <f>AH15/AJ15</f>
        <v/>
      </c>
      <c r="AE15">
        <f>AI15/AJ15</f>
        <v/>
      </c>
      <c r="AF15">
        <f>SUMPRODUCT($AA$3:$AD$3,AB14:AE14)</f>
        <v/>
      </c>
      <c r="AG15">
        <f>SUMPRODUCT($AA$4:$AD$4,AB14:AE14)</f>
        <v/>
      </c>
      <c r="AH15">
        <f>SUMPRODUCT($AA$5:$AD$5,AB14:AE14)</f>
        <v/>
      </c>
      <c r="AI15">
        <f>SUMPRODUCT($AA$6:$AD$6,AB14:AE14)</f>
        <v/>
      </c>
      <c r="AJ15">
        <f>SQRT(SUMSQ(AF15:AI15))</f>
        <v/>
      </c>
    </row>
    <row r="16">
      <c r="A16">
        <f>Data_USArrests!A16</f>
        <v/>
      </c>
      <c r="B16">
        <f>Data_USArrests!C16</f>
        <v/>
      </c>
      <c r="C16">
        <f>Data_USArrests!D16</f>
        <v/>
      </c>
      <c r="D16">
        <f>Data_USArrests!E16</f>
        <v/>
      </c>
      <c r="E16">
        <f>Data_USArrests!F16</f>
        <v/>
      </c>
      <c r="G16">
        <f>(B16-$B$54)/$B$55</f>
        <v/>
      </c>
      <c r="H16">
        <f>(C16-$C$54)/$C$55</f>
        <v/>
      </c>
      <c r="I16">
        <f>(D16-$D$54)/$D$55</f>
        <v/>
      </c>
      <c r="J16">
        <f>(E16-$E$54)/$E$55</f>
        <v/>
      </c>
      <c r="L16">
        <f>SUMPRODUCT(G16:J16,$M$33:$P$33)</f>
        <v/>
      </c>
      <c r="M16">
        <f>Q16/U16</f>
        <v/>
      </c>
      <c r="N16">
        <f>R16/U16</f>
        <v/>
      </c>
      <c r="O16">
        <f>S16/U16</f>
        <v/>
      </c>
      <c r="P16">
        <f>T16/U16</f>
        <v/>
      </c>
      <c r="Q16">
        <f>SUMPRODUCT($M$3:$P$3,M15:P15)</f>
        <v/>
      </c>
      <c r="R16">
        <f>SUMPRODUCT($M$4:$P$4,M15:P15)</f>
        <v/>
      </c>
      <c r="S16">
        <f>SUMPRODUCT($M$5:$P$5,M15:P15)</f>
        <v/>
      </c>
      <c r="T16">
        <f>SUMPRODUCT($M$6:$P$6,M15:P15)</f>
        <v/>
      </c>
      <c r="U16">
        <f>SQRT(SUMSQ(Q16:T16))</f>
        <v/>
      </c>
      <c r="Z16">
        <f>SUMPRODUCT(G16:J16,$AB$33:$AE$33)</f>
        <v/>
      </c>
      <c r="AA16" t="n">
        <v>5</v>
      </c>
      <c r="AB16">
        <f>AF16/AJ16</f>
        <v/>
      </c>
      <c r="AC16">
        <f>AG16/AJ16</f>
        <v/>
      </c>
      <c r="AD16">
        <f>AH16/AJ16</f>
        <v/>
      </c>
      <c r="AE16">
        <f>AI16/AJ16</f>
        <v/>
      </c>
      <c r="AF16">
        <f>SUMPRODUCT($AA$3:$AD$3,AB15:AE15)</f>
        <v/>
      </c>
      <c r="AG16">
        <f>SUMPRODUCT($AA$4:$AD$4,AB15:AE15)</f>
        <v/>
      </c>
      <c r="AH16">
        <f>SUMPRODUCT($AA$5:$AD$5,AB15:AE15)</f>
        <v/>
      </c>
      <c r="AI16">
        <f>SUMPRODUCT($AA$6:$AD$6,AB15:AE15)</f>
        <v/>
      </c>
      <c r="AJ16">
        <f>SQRT(SUMSQ(AF16:AI16))</f>
        <v/>
      </c>
    </row>
    <row r="17">
      <c r="A17">
        <f>Data_USArrests!A17</f>
        <v/>
      </c>
      <c r="B17">
        <f>Data_USArrests!C17</f>
        <v/>
      </c>
      <c r="C17">
        <f>Data_USArrests!D17</f>
        <v/>
      </c>
      <c r="D17">
        <f>Data_USArrests!E17</f>
        <v/>
      </c>
      <c r="E17">
        <f>Data_USArrests!F17</f>
        <v/>
      </c>
      <c r="G17">
        <f>(B17-$B$54)/$B$55</f>
        <v/>
      </c>
      <c r="H17">
        <f>(C17-$C$54)/$C$55</f>
        <v/>
      </c>
      <c r="I17">
        <f>(D17-$D$54)/$D$55</f>
        <v/>
      </c>
      <c r="J17">
        <f>(E17-$E$54)/$E$55</f>
        <v/>
      </c>
      <c r="L17">
        <f>SUMPRODUCT(G17:J17,$M$33:$P$33)</f>
        <v/>
      </c>
      <c r="M17">
        <f>Q17/U17</f>
        <v/>
      </c>
      <c r="N17">
        <f>R17/U17</f>
        <v/>
      </c>
      <c r="O17">
        <f>S17/U17</f>
        <v/>
      </c>
      <c r="P17">
        <f>T17/U17</f>
        <v/>
      </c>
      <c r="Q17">
        <f>SUMPRODUCT($M$3:$P$3,M16:P16)</f>
        <v/>
      </c>
      <c r="R17">
        <f>SUMPRODUCT($M$4:$P$4,M16:P16)</f>
        <v/>
      </c>
      <c r="S17">
        <f>SUMPRODUCT($M$5:$P$5,M16:P16)</f>
        <v/>
      </c>
      <c r="T17">
        <f>SUMPRODUCT($M$6:$P$6,M16:P16)</f>
        <v/>
      </c>
      <c r="U17">
        <f>SQRT(SUMSQ(Q17:T17))</f>
        <v/>
      </c>
      <c r="Z17">
        <f>SUMPRODUCT(G17:J17,$AB$33:$AE$33)</f>
        <v/>
      </c>
      <c r="AA17" t="n">
        <v>6</v>
      </c>
      <c r="AB17">
        <f>AF17/AJ17</f>
        <v/>
      </c>
      <c r="AC17">
        <f>AG17/AJ17</f>
        <v/>
      </c>
      <c r="AD17">
        <f>AH17/AJ17</f>
        <v/>
      </c>
      <c r="AE17">
        <f>AI17/AJ17</f>
        <v/>
      </c>
      <c r="AF17">
        <f>SUMPRODUCT($AA$3:$AD$3,AB16:AE16)</f>
        <v/>
      </c>
      <c r="AG17">
        <f>SUMPRODUCT($AA$4:$AD$4,AB16:AE16)</f>
        <v/>
      </c>
      <c r="AH17">
        <f>SUMPRODUCT($AA$5:$AD$5,AB16:AE16)</f>
        <v/>
      </c>
      <c r="AI17">
        <f>SUMPRODUCT($AA$6:$AD$6,AB16:AE16)</f>
        <v/>
      </c>
      <c r="AJ17">
        <f>SQRT(SUMSQ(AF17:AI17))</f>
        <v/>
      </c>
    </row>
    <row r="18">
      <c r="A18">
        <f>Data_USArrests!A18</f>
        <v/>
      </c>
      <c r="B18">
        <f>Data_USArrests!C18</f>
        <v/>
      </c>
      <c r="C18">
        <f>Data_USArrests!D18</f>
        <v/>
      </c>
      <c r="D18">
        <f>Data_USArrests!E18</f>
        <v/>
      </c>
      <c r="E18">
        <f>Data_USArrests!F18</f>
        <v/>
      </c>
      <c r="G18">
        <f>(B18-$B$54)/$B$55</f>
        <v/>
      </c>
      <c r="H18">
        <f>(C18-$C$54)/$C$55</f>
        <v/>
      </c>
      <c r="I18">
        <f>(D18-$D$54)/$D$55</f>
        <v/>
      </c>
      <c r="J18">
        <f>(E18-$E$54)/$E$55</f>
        <v/>
      </c>
      <c r="L18">
        <f>SUMPRODUCT(G18:J18,$M$33:$P$33)</f>
        <v/>
      </c>
      <c r="M18">
        <f>Q18/U18</f>
        <v/>
      </c>
      <c r="N18">
        <f>R18/U18</f>
        <v/>
      </c>
      <c r="O18">
        <f>S18/U18</f>
        <v/>
      </c>
      <c r="P18">
        <f>T18/U18</f>
        <v/>
      </c>
      <c r="Q18">
        <f>SUMPRODUCT($M$3:$P$3,M17:P17)</f>
        <v/>
      </c>
      <c r="R18">
        <f>SUMPRODUCT($M$4:$P$4,M17:P17)</f>
        <v/>
      </c>
      <c r="S18">
        <f>SUMPRODUCT($M$5:$P$5,M17:P17)</f>
        <v/>
      </c>
      <c r="T18">
        <f>SUMPRODUCT($M$6:$P$6,M17:P17)</f>
        <v/>
      </c>
      <c r="U18">
        <f>SQRT(SUMSQ(Q18:T18))</f>
        <v/>
      </c>
      <c r="Z18">
        <f>SUMPRODUCT(G18:J18,$AB$33:$AE$33)</f>
        <v/>
      </c>
      <c r="AA18" t="n">
        <v>7</v>
      </c>
      <c r="AB18">
        <f>AF18/AJ18</f>
        <v/>
      </c>
      <c r="AC18">
        <f>AG18/AJ18</f>
        <v/>
      </c>
      <c r="AD18">
        <f>AH18/AJ18</f>
        <v/>
      </c>
      <c r="AE18">
        <f>AI18/AJ18</f>
        <v/>
      </c>
      <c r="AF18">
        <f>SUMPRODUCT($AA$3:$AD$3,AB17:AE17)</f>
        <v/>
      </c>
      <c r="AG18">
        <f>SUMPRODUCT($AA$4:$AD$4,AB17:AE17)</f>
        <v/>
      </c>
      <c r="AH18">
        <f>SUMPRODUCT($AA$5:$AD$5,AB17:AE17)</f>
        <v/>
      </c>
      <c r="AI18">
        <f>SUMPRODUCT($AA$6:$AD$6,AB17:AE17)</f>
        <v/>
      </c>
      <c r="AJ18">
        <f>SQRT(SUMSQ(AF18:AI18))</f>
        <v/>
      </c>
    </row>
    <row r="19">
      <c r="A19">
        <f>Data_USArrests!A19</f>
        <v/>
      </c>
      <c r="B19">
        <f>Data_USArrests!C19</f>
        <v/>
      </c>
      <c r="C19">
        <f>Data_USArrests!D19</f>
        <v/>
      </c>
      <c r="D19">
        <f>Data_USArrests!E19</f>
        <v/>
      </c>
      <c r="E19">
        <f>Data_USArrests!F19</f>
        <v/>
      </c>
      <c r="G19">
        <f>(B19-$B$54)/$B$55</f>
        <v/>
      </c>
      <c r="H19">
        <f>(C19-$C$54)/$C$55</f>
        <v/>
      </c>
      <c r="I19">
        <f>(D19-$D$54)/$D$55</f>
        <v/>
      </c>
      <c r="J19">
        <f>(E19-$E$54)/$E$55</f>
        <v/>
      </c>
      <c r="L19">
        <f>SUMPRODUCT(G19:J19,$M$33:$P$33)</f>
        <v/>
      </c>
      <c r="M19">
        <f>Q19/U19</f>
        <v/>
      </c>
      <c r="N19">
        <f>R19/U19</f>
        <v/>
      </c>
      <c r="O19">
        <f>S19/U19</f>
        <v/>
      </c>
      <c r="P19">
        <f>T19/U19</f>
        <v/>
      </c>
      <c r="Q19">
        <f>SUMPRODUCT($M$3:$P$3,M18:P18)</f>
        <v/>
      </c>
      <c r="R19">
        <f>SUMPRODUCT($M$4:$P$4,M18:P18)</f>
        <v/>
      </c>
      <c r="S19">
        <f>SUMPRODUCT($M$5:$P$5,M18:P18)</f>
        <v/>
      </c>
      <c r="T19">
        <f>SUMPRODUCT($M$6:$P$6,M18:P18)</f>
        <v/>
      </c>
      <c r="U19">
        <f>SQRT(SUMSQ(Q19:T19))</f>
        <v/>
      </c>
      <c r="Z19">
        <f>SUMPRODUCT(G19:J19,$AB$33:$AE$33)</f>
        <v/>
      </c>
      <c r="AA19" t="n">
        <v>8</v>
      </c>
      <c r="AB19">
        <f>AF19/AJ19</f>
        <v/>
      </c>
      <c r="AC19">
        <f>AG19/AJ19</f>
        <v/>
      </c>
      <c r="AD19">
        <f>AH19/AJ19</f>
        <v/>
      </c>
      <c r="AE19">
        <f>AI19/AJ19</f>
        <v/>
      </c>
      <c r="AF19">
        <f>SUMPRODUCT($AA$3:$AD$3,AB18:AE18)</f>
        <v/>
      </c>
      <c r="AG19">
        <f>SUMPRODUCT($AA$4:$AD$4,AB18:AE18)</f>
        <v/>
      </c>
      <c r="AH19">
        <f>SUMPRODUCT($AA$5:$AD$5,AB18:AE18)</f>
        <v/>
      </c>
      <c r="AI19">
        <f>SUMPRODUCT($AA$6:$AD$6,AB18:AE18)</f>
        <v/>
      </c>
      <c r="AJ19">
        <f>SQRT(SUMSQ(AF19:AI19))</f>
        <v/>
      </c>
    </row>
    <row r="20">
      <c r="A20">
        <f>Data_USArrests!A20</f>
        <v/>
      </c>
      <c r="B20">
        <f>Data_USArrests!C20</f>
        <v/>
      </c>
      <c r="C20">
        <f>Data_USArrests!D20</f>
        <v/>
      </c>
      <c r="D20">
        <f>Data_USArrests!E20</f>
        <v/>
      </c>
      <c r="E20">
        <f>Data_USArrests!F20</f>
        <v/>
      </c>
      <c r="G20">
        <f>(B20-$B$54)/$B$55</f>
        <v/>
      </c>
      <c r="H20">
        <f>(C20-$C$54)/$C$55</f>
        <v/>
      </c>
      <c r="I20">
        <f>(D20-$D$54)/$D$55</f>
        <v/>
      </c>
      <c r="J20">
        <f>(E20-$E$54)/$E$55</f>
        <v/>
      </c>
      <c r="L20">
        <f>SUMPRODUCT(G20:J20,$M$33:$P$33)</f>
        <v/>
      </c>
      <c r="M20">
        <f>Q20/U20</f>
        <v/>
      </c>
      <c r="N20">
        <f>R20/U20</f>
        <v/>
      </c>
      <c r="O20">
        <f>S20/U20</f>
        <v/>
      </c>
      <c r="P20">
        <f>T20/U20</f>
        <v/>
      </c>
      <c r="Q20">
        <f>SUMPRODUCT($M$3:$P$3,M19:P19)</f>
        <v/>
      </c>
      <c r="R20">
        <f>SUMPRODUCT($M$4:$P$4,M19:P19)</f>
        <v/>
      </c>
      <c r="S20">
        <f>SUMPRODUCT($M$5:$P$5,M19:P19)</f>
        <v/>
      </c>
      <c r="T20">
        <f>SUMPRODUCT($M$6:$P$6,M19:P19)</f>
        <v/>
      </c>
      <c r="U20">
        <f>SQRT(SUMSQ(Q20:T20))</f>
        <v/>
      </c>
      <c r="Z20">
        <f>SUMPRODUCT(G20:J20,$AB$33:$AE$33)</f>
        <v/>
      </c>
      <c r="AA20" t="n">
        <v>9</v>
      </c>
      <c r="AB20">
        <f>AF20/AJ20</f>
        <v/>
      </c>
      <c r="AC20">
        <f>AG20/AJ20</f>
        <v/>
      </c>
      <c r="AD20">
        <f>AH20/AJ20</f>
        <v/>
      </c>
      <c r="AE20">
        <f>AI20/AJ20</f>
        <v/>
      </c>
      <c r="AF20">
        <f>SUMPRODUCT($AA$3:$AD$3,AB19:AE19)</f>
        <v/>
      </c>
      <c r="AG20">
        <f>SUMPRODUCT($AA$4:$AD$4,AB19:AE19)</f>
        <v/>
      </c>
      <c r="AH20">
        <f>SUMPRODUCT($AA$5:$AD$5,AB19:AE19)</f>
        <v/>
      </c>
      <c r="AI20">
        <f>SUMPRODUCT($AA$6:$AD$6,AB19:AE19)</f>
        <v/>
      </c>
      <c r="AJ20">
        <f>SQRT(SUMSQ(AF20:AI20))</f>
        <v/>
      </c>
    </row>
    <row r="21">
      <c r="A21">
        <f>Data_USArrests!A21</f>
        <v/>
      </c>
      <c r="B21">
        <f>Data_USArrests!C21</f>
        <v/>
      </c>
      <c r="C21">
        <f>Data_USArrests!D21</f>
        <v/>
      </c>
      <c r="D21">
        <f>Data_USArrests!E21</f>
        <v/>
      </c>
      <c r="E21">
        <f>Data_USArrests!F21</f>
        <v/>
      </c>
      <c r="G21">
        <f>(B21-$B$54)/$B$55</f>
        <v/>
      </c>
      <c r="H21">
        <f>(C21-$C$54)/$C$55</f>
        <v/>
      </c>
      <c r="I21">
        <f>(D21-$D$54)/$D$55</f>
        <v/>
      </c>
      <c r="J21">
        <f>(E21-$E$54)/$E$55</f>
        <v/>
      </c>
      <c r="L21">
        <f>SUMPRODUCT(G21:J21,$M$33:$P$33)</f>
        <v/>
      </c>
      <c r="M21">
        <f>Q21/U21</f>
        <v/>
      </c>
      <c r="N21">
        <f>R21/U21</f>
        <v/>
      </c>
      <c r="O21">
        <f>S21/U21</f>
        <v/>
      </c>
      <c r="P21">
        <f>T21/U21</f>
        <v/>
      </c>
      <c r="Q21">
        <f>SUMPRODUCT($M$3:$P$3,M20:P20)</f>
        <v/>
      </c>
      <c r="R21">
        <f>SUMPRODUCT($M$4:$P$4,M20:P20)</f>
        <v/>
      </c>
      <c r="S21">
        <f>SUMPRODUCT($M$5:$P$5,M20:P20)</f>
        <v/>
      </c>
      <c r="T21">
        <f>SUMPRODUCT($M$6:$P$6,M20:P20)</f>
        <v/>
      </c>
      <c r="U21">
        <f>SQRT(SUMSQ(Q21:T21))</f>
        <v/>
      </c>
      <c r="Z21">
        <f>SUMPRODUCT(G21:J21,$AB$33:$AE$33)</f>
        <v/>
      </c>
      <c r="AA21" t="n">
        <v>10</v>
      </c>
      <c r="AB21">
        <f>AF21/AJ21</f>
        <v/>
      </c>
      <c r="AC21">
        <f>AG21/AJ21</f>
        <v/>
      </c>
      <c r="AD21">
        <f>AH21/AJ21</f>
        <v/>
      </c>
      <c r="AE21">
        <f>AI21/AJ21</f>
        <v/>
      </c>
      <c r="AF21">
        <f>SUMPRODUCT($AA$3:$AD$3,AB20:AE20)</f>
        <v/>
      </c>
      <c r="AG21">
        <f>SUMPRODUCT($AA$4:$AD$4,AB20:AE20)</f>
        <v/>
      </c>
      <c r="AH21">
        <f>SUMPRODUCT($AA$5:$AD$5,AB20:AE20)</f>
        <v/>
      </c>
      <c r="AI21">
        <f>SUMPRODUCT($AA$6:$AD$6,AB20:AE20)</f>
        <v/>
      </c>
      <c r="AJ21">
        <f>SQRT(SUMSQ(AF21:AI21))</f>
        <v/>
      </c>
    </row>
    <row r="22">
      <c r="A22">
        <f>Data_USArrests!A22</f>
        <v/>
      </c>
      <c r="B22">
        <f>Data_USArrests!C22</f>
        <v/>
      </c>
      <c r="C22">
        <f>Data_USArrests!D22</f>
        <v/>
      </c>
      <c r="D22">
        <f>Data_USArrests!E22</f>
        <v/>
      </c>
      <c r="E22">
        <f>Data_USArrests!F22</f>
        <v/>
      </c>
      <c r="G22">
        <f>(B22-$B$54)/$B$55</f>
        <v/>
      </c>
      <c r="H22">
        <f>(C22-$C$54)/$C$55</f>
        <v/>
      </c>
      <c r="I22">
        <f>(D22-$D$54)/$D$55</f>
        <v/>
      </c>
      <c r="J22">
        <f>(E22-$E$54)/$E$55</f>
        <v/>
      </c>
      <c r="L22">
        <f>SUMPRODUCT(G22:J22,$M$33:$P$33)</f>
        <v/>
      </c>
      <c r="M22">
        <f>Q22/U22</f>
        <v/>
      </c>
      <c r="N22">
        <f>R22/U22</f>
        <v/>
      </c>
      <c r="O22">
        <f>S22/U22</f>
        <v/>
      </c>
      <c r="P22">
        <f>T22/U22</f>
        <v/>
      </c>
      <c r="Q22">
        <f>SUMPRODUCT($M$3:$P$3,M21:P21)</f>
        <v/>
      </c>
      <c r="R22">
        <f>SUMPRODUCT($M$4:$P$4,M21:P21)</f>
        <v/>
      </c>
      <c r="S22">
        <f>SUMPRODUCT($M$5:$P$5,M21:P21)</f>
        <v/>
      </c>
      <c r="T22">
        <f>SUMPRODUCT($M$6:$P$6,M21:P21)</f>
        <v/>
      </c>
      <c r="U22">
        <f>SQRT(SUMSQ(Q22:T22))</f>
        <v/>
      </c>
      <c r="Z22">
        <f>SUMPRODUCT(G22:J22,$AB$33:$AE$33)</f>
        <v/>
      </c>
      <c r="AA22" t="n">
        <v>11</v>
      </c>
      <c r="AB22">
        <f>AF22/AJ22</f>
        <v/>
      </c>
      <c r="AC22">
        <f>AG22/AJ22</f>
        <v/>
      </c>
      <c r="AD22">
        <f>AH22/AJ22</f>
        <v/>
      </c>
      <c r="AE22">
        <f>AI22/AJ22</f>
        <v/>
      </c>
      <c r="AF22">
        <f>SUMPRODUCT($AA$3:$AD$3,AB21:AE21)</f>
        <v/>
      </c>
      <c r="AG22">
        <f>SUMPRODUCT($AA$4:$AD$4,AB21:AE21)</f>
        <v/>
      </c>
      <c r="AH22">
        <f>SUMPRODUCT($AA$5:$AD$5,AB21:AE21)</f>
        <v/>
      </c>
      <c r="AI22">
        <f>SUMPRODUCT($AA$6:$AD$6,AB21:AE21)</f>
        <v/>
      </c>
      <c r="AJ22">
        <f>SQRT(SUMSQ(AF22:AI22))</f>
        <v/>
      </c>
    </row>
    <row r="23">
      <c r="A23">
        <f>Data_USArrests!A23</f>
        <v/>
      </c>
      <c r="B23">
        <f>Data_USArrests!C23</f>
        <v/>
      </c>
      <c r="C23">
        <f>Data_USArrests!D23</f>
        <v/>
      </c>
      <c r="D23">
        <f>Data_USArrests!E23</f>
        <v/>
      </c>
      <c r="E23">
        <f>Data_USArrests!F23</f>
        <v/>
      </c>
      <c r="G23">
        <f>(B23-$B$54)/$B$55</f>
        <v/>
      </c>
      <c r="H23">
        <f>(C23-$C$54)/$C$55</f>
        <v/>
      </c>
      <c r="I23">
        <f>(D23-$D$54)/$D$55</f>
        <v/>
      </c>
      <c r="J23">
        <f>(E23-$E$54)/$E$55</f>
        <v/>
      </c>
      <c r="L23">
        <f>SUMPRODUCT(G23:J23,$M$33:$P$33)</f>
        <v/>
      </c>
      <c r="M23">
        <f>Q23/U23</f>
        <v/>
      </c>
      <c r="N23">
        <f>R23/U23</f>
        <v/>
      </c>
      <c r="O23">
        <f>S23/U23</f>
        <v/>
      </c>
      <c r="P23">
        <f>T23/U23</f>
        <v/>
      </c>
      <c r="Q23">
        <f>SUMPRODUCT($M$3:$P$3,M22:P22)</f>
        <v/>
      </c>
      <c r="R23">
        <f>SUMPRODUCT($M$4:$P$4,M22:P22)</f>
        <v/>
      </c>
      <c r="S23">
        <f>SUMPRODUCT($M$5:$P$5,M22:P22)</f>
        <v/>
      </c>
      <c r="T23">
        <f>SUMPRODUCT($M$6:$P$6,M22:P22)</f>
        <v/>
      </c>
      <c r="U23">
        <f>SQRT(SUMSQ(Q23:T23))</f>
        <v/>
      </c>
      <c r="Z23">
        <f>SUMPRODUCT(G23:J23,$AB$33:$AE$33)</f>
        <v/>
      </c>
      <c r="AA23" t="n">
        <v>12</v>
      </c>
      <c r="AB23">
        <f>AF23/AJ23</f>
        <v/>
      </c>
      <c r="AC23">
        <f>AG23/AJ23</f>
        <v/>
      </c>
      <c r="AD23">
        <f>AH23/AJ23</f>
        <v/>
      </c>
      <c r="AE23">
        <f>AI23/AJ23</f>
        <v/>
      </c>
      <c r="AF23">
        <f>SUMPRODUCT($AA$3:$AD$3,AB22:AE22)</f>
        <v/>
      </c>
      <c r="AG23">
        <f>SUMPRODUCT($AA$4:$AD$4,AB22:AE22)</f>
        <v/>
      </c>
      <c r="AH23">
        <f>SUMPRODUCT($AA$5:$AD$5,AB22:AE22)</f>
        <v/>
      </c>
      <c r="AI23">
        <f>SUMPRODUCT($AA$6:$AD$6,AB22:AE22)</f>
        <v/>
      </c>
      <c r="AJ23">
        <f>SQRT(SUMSQ(AF23:AI23))</f>
        <v/>
      </c>
    </row>
    <row r="24">
      <c r="A24">
        <f>Data_USArrests!A24</f>
        <v/>
      </c>
      <c r="B24">
        <f>Data_USArrests!C24</f>
        <v/>
      </c>
      <c r="C24">
        <f>Data_USArrests!D24</f>
        <v/>
      </c>
      <c r="D24">
        <f>Data_USArrests!E24</f>
        <v/>
      </c>
      <c r="E24">
        <f>Data_USArrests!F24</f>
        <v/>
      </c>
      <c r="G24">
        <f>(B24-$B$54)/$B$55</f>
        <v/>
      </c>
      <c r="H24">
        <f>(C24-$C$54)/$C$55</f>
        <v/>
      </c>
      <c r="I24">
        <f>(D24-$D$54)/$D$55</f>
        <v/>
      </c>
      <c r="J24">
        <f>(E24-$E$54)/$E$55</f>
        <v/>
      </c>
      <c r="L24">
        <f>SUMPRODUCT(G24:J24,$M$33:$P$33)</f>
        <v/>
      </c>
      <c r="M24">
        <f>Q24/U24</f>
        <v/>
      </c>
      <c r="N24">
        <f>R24/U24</f>
        <v/>
      </c>
      <c r="O24">
        <f>S24/U24</f>
        <v/>
      </c>
      <c r="P24">
        <f>T24/U24</f>
        <v/>
      </c>
      <c r="Q24">
        <f>SUMPRODUCT($M$3:$P$3,M23:P23)</f>
        <v/>
      </c>
      <c r="R24">
        <f>SUMPRODUCT($M$4:$P$4,M23:P23)</f>
        <v/>
      </c>
      <c r="S24">
        <f>SUMPRODUCT($M$5:$P$5,M23:P23)</f>
        <v/>
      </c>
      <c r="T24">
        <f>SUMPRODUCT($M$6:$P$6,M23:P23)</f>
        <v/>
      </c>
      <c r="U24">
        <f>SQRT(SUMSQ(Q24:T24))</f>
        <v/>
      </c>
      <c r="Z24">
        <f>SUMPRODUCT(G24:J24,$AB$33:$AE$33)</f>
        <v/>
      </c>
      <c r="AA24" t="n">
        <v>13</v>
      </c>
      <c r="AB24">
        <f>AF24/AJ24</f>
        <v/>
      </c>
      <c r="AC24">
        <f>AG24/AJ24</f>
        <v/>
      </c>
      <c r="AD24">
        <f>AH24/AJ24</f>
        <v/>
      </c>
      <c r="AE24">
        <f>AI24/AJ24</f>
        <v/>
      </c>
      <c r="AF24">
        <f>SUMPRODUCT($AA$3:$AD$3,AB23:AE23)</f>
        <v/>
      </c>
      <c r="AG24">
        <f>SUMPRODUCT($AA$4:$AD$4,AB23:AE23)</f>
        <v/>
      </c>
      <c r="AH24">
        <f>SUMPRODUCT($AA$5:$AD$5,AB23:AE23)</f>
        <v/>
      </c>
      <c r="AI24">
        <f>SUMPRODUCT($AA$6:$AD$6,AB23:AE23)</f>
        <v/>
      </c>
      <c r="AJ24">
        <f>SQRT(SUMSQ(AF24:AI24))</f>
        <v/>
      </c>
    </row>
    <row r="25">
      <c r="A25">
        <f>Data_USArrests!A25</f>
        <v/>
      </c>
      <c r="B25">
        <f>Data_USArrests!C25</f>
        <v/>
      </c>
      <c r="C25">
        <f>Data_USArrests!D25</f>
        <v/>
      </c>
      <c r="D25">
        <f>Data_USArrests!E25</f>
        <v/>
      </c>
      <c r="E25">
        <f>Data_USArrests!F25</f>
        <v/>
      </c>
      <c r="G25">
        <f>(B25-$B$54)/$B$55</f>
        <v/>
      </c>
      <c r="H25">
        <f>(C25-$C$54)/$C$55</f>
        <v/>
      </c>
      <c r="I25">
        <f>(D25-$D$54)/$D$55</f>
        <v/>
      </c>
      <c r="J25">
        <f>(E25-$E$54)/$E$55</f>
        <v/>
      </c>
      <c r="L25">
        <f>SUMPRODUCT(G25:J25,$M$33:$P$33)</f>
        <v/>
      </c>
      <c r="M25">
        <f>Q25/U25</f>
        <v/>
      </c>
      <c r="N25">
        <f>R25/U25</f>
        <v/>
      </c>
      <c r="O25">
        <f>S25/U25</f>
        <v/>
      </c>
      <c r="P25">
        <f>T25/U25</f>
        <v/>
      </c>
      <c r="Q25">
        <f>SUMPRODUCT($M$3:$P$3,M24:P24)</f>
        <v/>
      </c>
      <c r="R25">
        <f>SUMPRODUCT($M$4:$P$4,M24:P24)</f>
        <v/>
      </c>
      <c r="S25">
        <f>SUMPRODUCT($M$5:$P$5,M24:P24)</f>
        <v/>
      </c>
      <c r="T25">
        <f>SUMPRODUCT($M$6:$P$6,M24:P24)</f>
        <v/>
      </c>
      <c r="U25">
        <f>SQRT(SUMSQ(Q25:T25))</f>
        <v/>
      </c>
      <c r="Z25">
        <f>SUMPRODUCT(G25:J25,$AB$33:$AE$33)</f>
        <v/>
      </c>
      <c r="AA25" t="n">
        <v>14</v>
      </c>
      <c r="AB25">
        <f>AF25/AJ25</f>
        <v/>
      </c>
      <c r="AC25">
        <f>AG25/AJ25</f>
        <v/>
      </c>
      <c r="AD25">
        <f>AH25/AJ25</f>
        <v/>
      </c>
      <c r="AE25">
        <f>AI25/AJ25</f>
        <v/>
      </c>
      <c r="AF25">
        <f>SUMPRODUCT($AA$3:$AD$3,AB24:AE24)</f>
        <v/>
      </c>
      <c r="AG25">
        <f>SUMPRODUCT($AA$4:$AD$4,AB24:AE24)</f>
        <v/>
      </c>
      <c r="AH25">
        <f>SUMPRODUCT($AA$5:$AD$5,AB24:AE24)</f>
        <v/>
      </c>
      <c r="AI25">
        <f>SUMPRODUCT($AA$6:$AD$6,AB24:AE24)</f>
        <v/>
      </c>
      <c r="AJ25">
        <f>SQRT(SUMSQ(AF25:AI25))</f>
        <v/>
      </c>
    </row>
    <row r="26">
      <c r="A26">
        <f>Data_USArrests!A26</f>
        <v/>
      </c>
      <c r="B26">
        <f>Data_USArrests!C26</f>
        <v/>
      </c>
      <c r="C26">
        <f>Data_USArrests!D26</f>
        <v/>
      </c>
      <c r="D26">
        <f>Data_USArrests!E26</f>
        <v/>
      </c>
      <c r="E26">
        <f>Data_USArrests!F26</f>
        <v/>
      </c>
      <c r="G26">
        <f>(B26-$B$54)/$B$55</f>
        <v/>
      </c>
      <c r="H26">
        <f>(C26-$C$54)/$C$55</f>
        <v/>
      </c>
      <c r="I26">
        <f>(D26-$D$54)/$D$55</f>
        <v/>
      </c>
      <c r="J26">
        <f>(E26-$E$54)/$E$55</f>
        <v/>
      </c>
      <c r="L26">
        <f>SUMPRODUCT(G26:J26,$M$33:$P$33)</f>
        <v/>
      </c>
      <c r="M26">
        <f>Q26/U26</f>
        <v/>
      </c>
      <c r="N26">
        <f>R26/U26</f>
        <v/>
      </c>
      <c r="O26">
        <f>S26/U26</f>
        <v/>
      </c>
      <c r="P26">
        <f>T26/U26</f>
        <v/>
      </c>
      <c r="Q26">
        <f>SUMPRODUCT($M$3:$P$3,M25:P25)</f>
        <v/>
      </c>
      <c r="R26">
        <f>SUMPRODUCT($M$4:$P$4,M25:P25)</f>
        <v/>
      </c>
      <c r="S26">
        <f>SUMPRODUCT($M$5:$P$5,M25:P25)</f>
        <v/>
      </c>
      <c r="T26">
        <f>SUMPRODUCT($M$6:$P$6,M25:P25)</f>
        <v/>
      </c>
      <c r="U26">
        <f>SQRT(SUMSQ(Q26:T26))</f>
        <v/>
      </c>
      <c r="Z26">
        <f>SUMPRODUCT(G26:J26,$AB$33:$AE$33)</f>
        <v/>
      </c>
      <c r="AA26" t="n">
        <v>15</v>
      </c>
      <c r="AB26">
        <f>AF26/AJ26</f>
        <v/>
      </c>
      <c r="AC26">
        <f>AG26/AJ26</f>
        <v/>
      </c>
      <c r="AD26">
        <f>AH26/AJ26</f>
        <v/>
      </c>
      <c r="AE26">
        <f>AI26/AJ26</f>
        <v/>
      </c>
      <c r="AF26">
        <f>SUMPRODUCT($AA$3:$AD$3,AB25:AE25)</f>
        <v/>
      </c>
      <c r="AG26">
        <f>SUMPRODUCT($AA$4:$AD$4,AB25:AE25)</f>
        <v/>
      </c>
      <c r="AH26">
        <f>SUMPRODUCT($AA$5:$AD$5,AB25:AE25)</f>
        <v/>
      </c>
      <c r="AI26">
        <f>SUMPRODUCT($AA$6:$AD$6,AB25:AE25)</f>
        <v/>
      </c>
      <c r="AJ26">
        <f>SQRT(SUMSQ(AF26:AI26))</f>
        <v/>
      </c>
    </row>
    <row r="27">
      <c r="A27">
        <f>Data_USArrests!A27</f>
        <v/>
      </c>
      <c r="B27">
        <f>Data_USArrests!C27</f>
        <v/>
      </c>
      <c r="C27">
        <f>Data_USArrests!D27</f>
        <v/>
      </c>
      <c r="D27">
        <f>Data_USArrests!E27</f>
        <v/>
      </c>
      <c r="E27">
        <f>Data_USArrests!F27</f>
        <v/>
      </c>
      <c r="G27">
        <f>(B27-$B$54)/$B$55</f>
        <v/>
      </c>
      <c r="H27">
        <f>(C27-$C$54)/$C$55</f>
        <v/>
      </c>
      <c r="I27">
        <f>(D27-$D$54)/$D$55</f>
        <v/>
      </c>
      <c r="J27">
        <f>(E27-$E$54)/$E$55</f>
        <v/>
      </c>
      <c r="L27">
        <f>SUMPRODUCT(G27:J27,$M$33:$P$33)</f>
        <v/>
      </c>
      <c r="M27">
        <f>Q27/U27</f>
        <v/>
      </c>
      <c r="N27">
        <f>R27/U27</f>
        <v/>
      </c>
      <c r="O27">
        <f>S27/U27</f>
        <v/>
      </c>
      <c r="P27">
        <f>T27/U27</f>
        <v/>
      </c>
      <c r="Q27">
        <f>SUMPRODUCT($M$3:$P$3,M26:P26)</f>
        <v/>
      </c>
      <c r="R27">
        <f>SUMPRODUCT($M$4:$P$4,M26:P26)</f>
        <v/>
      </c>
      <c r="S27">
        <f>SUMPRODUCT($M$5:$P$5,M26:P26)</f>
        <v/>
      </c>
      <c r="T27">
        <f>SUMPRODUCT($M$6:$P$6,M26:P26)</f>
        <v/>
      </c>
      <c r="U27">
        <f>SQRT(SUMSQ(Q27:T27))</f>
        <v/>
      </c>
      <c r="Z27">
        <f>SUMPRODUCT(G27:J27,$AB$33:$AE$33)</f>
        <v/>
      </c>
      <c r="AA27" t="n">
        <v>16</v>
      </c>
      <c r="AB27">
        <f>AF27/AJ27</f>
        <v/>
      </c>
      <c r="AC27">
        <f>AG27/AJ27</f>
        <v/>
      </c>
      <c r="AD27">
        <f>AH27/AJ27</f>
        <v/>
      </c>
      <c r="AE27">
        <f>AI27/AJ27</f>
        <v/>
      </c>
      <c r="AF27">
        <f>SUMPRODUCT($AA$3:$AD$3,AB26:AE26)</f>
        <v/>
      </c>
      <c r="AG27">
        <f>SUMPRODUCT($AA$4:$AD$4,AB26:AE26)</f>
        <v/>
      </c>
      <c r="AH27">
        <f>SUMPRODUCT($AA$5:$AD$5,AB26:AE26)</f>
        <v/>
      </c>
      <c r="AI27">
        <f>SUMPRODUCT($AA$6:$AD$6,AB26:AE26)</f>
        <v/>
      </c>
      <c r="AJ27">
        <f>SQRT(SUMSQ(AF27:AI27))</f>
        <v/>
      </c>
    </row>
    <row r="28">
      <c r="A28">
        <f>Data_USArrests!A28</f>
        <v/>
      </c>
      <c r="B28">
        <f>Data_USArrests!C28</f>
        <v/>
      </c>
      <c r="C28">
        <f>Data_USArrests!D28</f>
        <v/>
      </c>
      <c r="D28">
        <f>Data_USArrests!E28</f>
        <v/>
      </c>
      <c r="E28">
        <f>Data_USArrests!F28</f>
        <v/>
      </c>
      <c r="G28">
        <f>(B28-$B$54)/$B$55</f>
        <v/>
      </c>
      <c r="H28">
        <f>(C28-$C$54)/$C$55</f>
        <v/>
      </c>
      <c r="I28">
        <f>(D28-$D$54)/$D$55</f>
        <v/>
      </c>
      <c r="J28">
        <f>(E28-$E$54)/$E$55</f>
        <v/>
      </c>
      <c r="L28">
        <f>SUMPRODUCT(G28:J28,$M$33:$P$33)</f>
        <v/>
      </c>
      <c r="M28">
        <f>Q28/U28</f>
        <v/>
      </c>
      <c r="N28">
        <f>R28/U28</f>
        <v/>
      </c>
      <c r="O28">
        <f>S28/U28</f>
        <v/>
      </c>
      <c r="P28">
        <f>T28/U28</f>
        <v/>
      </c>
      <c r="Q28">
        <f>SUMPRODUCT($M$3:$P$3,M27:P27)</f>
        <v/>
      </c>
      <c r="R28">
        <f>SUMPRODUCT($M$4:$P$4,M27:P27)</f>
        <v/>
      </c>
      <c r="S28">
        <f>SUMPRODUCT($M$5:$P$5,M27:P27)</f>
        <v/>
      </c>
      <c r="T28">
        <f>SUMPRODUCT($M$6:$P$6,M27:P27)</f>
        <v/>
      </c>
      <c r="U28">
        <f>SQRT(SUMSQ(Q28:T28))</f>
        <v/>
      </c>
      <c r="Z28">
        <f>SUMPRODUCT(G28:J28,$AB$33:$AE$33)</f>
        <v/>
      </c>
      <c r="AA28" t="n">
        <v>17</v>
      </c>
      <c r="AB28">
        <f>AF28/AJ28</f>
        <v/>
      </c>
      <c r="AC28">
        <f>AG28/AJ28</f>
        <v/>
      </c>
      <c r="AD28">
        <f>AH28/AJ28</f>
        <v/>
      </c>
      <c r="AE28">
        <f>AI28/AJ28</f>
        <v/>
      </c>
      <c r="AF28">
        <f>SUMPRODUCT($AA$3:$AD$3,AB27:AE27)</f>
        <v/>
      </c>
      <c r="AG28">
        <f>SUMPRODUCT($AA$4:$AD$4,AB27:AE27)</f>
        <v/>
      </c>
      <c r="AH28">
        <f>SUMPRODUCT($AA$5:$AD$5,AB27:AE27)</f>
        <v/>
      </c>
      <c r="AI28">
        <f>SUMPRODUCT($AA$6:$AD$6,AB27:AE27)</f>
        <v/>
      </c>
      <c r="AJ28">
        <f>SQRT(SUMSQ(AF28:AI28))</f>
        <v/>
      </c>
    </row>
    <row r="29">
      <c r="A29">
        <f>Data_USArrests!A29</f>
        <v/>
      </c>
      <c r="B29">
        <f>Data_USArrests!C29</f>
        <v/>
      </c>
      <c r="C29">
        <f>Data_USArrests!D29</f>
        <v/>
      </c>
      <c r="D29">
        <f>Data_USArrests!E29</f>
        <v/>
      </c>
      <c r="E29">
        <f>Data_USArrests!F29</f>
        <v/>
      </c>
      <c r="G29">
        <f>(B29-$B$54)/$B$55</f>
        <v/>
      </c>
      <c r="H29">
        <f>(C29-$C$54)/$C$55</f>
        <v/>
      </c>
      <c r="I29">
        <f>(D29-$D$54)/$D$55</f>
        <v/>
      </c>
      <c r="J29">
        <f>(E29-$E$54)/$E$55</f>
        <v/>
      </c>
      <c r="L29">
        <f>SUMPRODUCT(G29:J29,$M$33:$P$33)</f>
        <v/>
      </c>
      <c r="M29">
        <f>Q29/U29</f>
        <v/>
      </c>
      <c r="N29">
        <f>R29/U29</f>
        <v/>
      </c>
      <c r="O29">
        <f>S29/U29</f>
        <v/>
      </c>
      <c r="P29">
        <f>T29/U29</f>
        <v/>
      </c>
      <c r="Q29">
        <f>SUMPRODUCT($M$3:$P$3,M28:P28)</f>
        <v/>
      </c>
      <c r="R29">
        <f>SUMPRODUCT($M$4:$P$4,M28:P28)</f>
        <v/>
      </c>
      <c r="S29">
        <f>SUMPRODUCT($M$5:$P$5,M28:P28)</f>
        <v/>
      </c>
      <c r="T29">
        <f>SUMPRODUCT($M$6:$P$6,M28:P28)</f>
        <v/>
      </c>
      <c r="U29">
        <f>SQRT(SUMSQ(Q29:T29))</f>
        <v/>
      </c>
      <c r="Z29">
        <f>SUMPRODUCT(G29:J29,$AB$33:$AE$33)</f>
        <v/>
      </c>
      <c r="AA29" t="n">
        <v>18</v>
      </c>
      <c r="AB29">
        <f>AF29/AJ29</f>
        <v/>
      </c>
      <c r="AC29">
        <f>AG29/AJ29</f>
        <v/>
      </c>
      <c r="AD29">
        <f>AH29/AJ29</f>
        <v/>
      </c>
      <c r="AE29">
        <f>AI29/AJ29</f>
        <v/>
      </c>
      <c r="AF29">
        <f>SUMPRODUCT($AA$3:$AD$3,AB28:AE28)</f>
        <v/>
      </c>
      <c r="AG29">
        <f>SUMPRODUCT($AA$4:$AD$4,AB28:AE28)</f>
        <v/>
      </c>
      <c r="AH29">
        <f>SUMPRODUCT($AA$5:$AD$5,AB28:AE28)</f>
        <v/>
      </c>
      <c r="AI29">
        <f>SUMPRODUCT($AA$6:$AD$6,AB28:AE28)</f>
        <v/>
      </c>
      <c r="AJ29">
        <f>SQRT(SUMSQ(AF29:AI29))</f>
        <v/>
      </c>
    </row>
    <row r="30">
      <c r="A30">
        <f>Data_USArrests!A30</f>
        <v/>
      </c>
      <c r="B30">
        <f>Data_USArrests!C30</f>
        <v/>
      </c>
      <c r="C30">
        <f>Data_USArrests!D30</f>
        <v/>
      </c>
      <c r="D30">
        <f>Data_USArrests!E30</f>
        <v/>
      </c>
      <c r="E30">
        <f>Data_USArrests!F30</f>
        <v/>
      </c>
      <c r="G30">
        <f>(B30-$B$54)/$B$55</f>
        <v/>
      </c>
      <c r="H30">
        <f>(C30-$C$54)/$C$55</f>
        <v/>
      </c>
      <c r="I30">
        <f>(D30-$D$54)/$D$55</f>
        <v/>
      </c>
      <c r="J30">
        <f>(E30-$E$54)/$E$55</f>
        <v/>
      </c>
      <c r="L30">
        <f>SUMPRODUCT(G30:J30,$M$33:$P$33)</f>
        <v/>
      </c>
      <c r="M30">
        <f>Q30/U30</f>
        <v/>
      </c>
      <c r="N30">
        <f>R30/U30</f>
        <v/>
      </c>
      <c r="O30">
        <f>S30/U30</f>
        <v/>
      </c>
      <c r="P30">
        <f>T30/U30</f>
        <v/>
      </c>
      <c r="Q30">
        <f>SUMPRODUCT($M$3:$P$3,M29:P29)</f>
        <v/>
      </c>
      <c r="R30">
        <f>SUMPRODUCT($M$4:$P$4,M29:P29)</f>
        <v/>
      </c>
      <c r="S30">
        <f>SUMPRODUCT($M$5:$P$5,M29:P29)</f>
        <v/>
      </c>
      <c r="T30">
        <f>SUMPRODUCT($M$6:$P$6,M29:P29)</f>
        <v/>
      </c>
      <c r="U30">
        <f>SQRT(SUMSQ(Q30:T30))</f>
        <v/>
      </c>
      <c r="Z30">
        <f>SUMPRODUCT(G30:J30,$AB$33:$AE$33)</f>
        <v/>
      </c>
      <c r="AA30" t="n">
        <v>19</v>
      </c>
      <c r="AB30">
        <f>AF30/AJ30</f>
        <v/>
      </c>
      <c r="AC30">
        <f>AG30/AJ30</f>
        <v/>
      </c>
      <c r="AD30">
        <f>AH30/AJ30</f>
        <v/>
      </c>
      <c r="AE30">
        <f>AI30/AJ30</f>
        <v/>
      </c>
      <c r="AF30">
        <f>SUMPRODUCT($AA$3:$AD$3,AB29:AE29)</f>
        <v/>
      </c>
      <c r="AG30">
        <f>SUMPRODUCT($AA$4:$AD$4,AB29:AE29)</f>
        <v/>
      </c>
      <c r="AH30">
        <f>SUMPRODUCT($AA$5:$AD$5,AB29:AE29)</f>
        <v/>
      </c>
      <c r="AI30">
        <f>SUMPRODUCT($AA$6:$AD$6,AB29:AE29)</f>
        <v/>
      </c>
      <c r="AJ30">
        <f>SQRT(SUMSQ(AF30:AI30))</f>
        <v/>
      </c>
    </row>
    <row r="31">
      <c r="A31">
        <f>Data_USArrests!A31</f>
        <v/>
      </c>
      <c r="B31">
        <f>Data_USArrests!C31</f>
        <v/>
      </c>
      <c r="C31">
        <f>Data_USArrests!D31</f>
        <v/>
      </c>
      <c r="D31">
        <f>Data_USArrests!E31</f>
        <v/>
      </c>
      <c r="E31">
        <f>Data_USArrests!F31</f>
        <v/>
      </c>
      <c r="G31">
        <f>(B31-$B$54)/$B$55</f>
        <v/>
      </c>
      <c r="H31">
        <f>(C31-$C$54)/$C$55</f>
        <v/>
      </c>
      <c r="I31">
        <f>(D31-$D$54)/$D$55</f>
        <v/>
      </c>
      <c r="J31">
        <f>(E31-$E$54)/$E$55</f>
        <v/>
      </c>
      <c r="L31">
        <f>SUMPRODUCT(G31:J31,$M$33:$P$33)</f>
        <v/>
      </c>
      <c r="Z31">
        <f>SUMPRODUCT(G31:J31,$AB$33:$AE$33)</f>
        <v/>
      </c>
    </row>
    <row r="32">
      <c r="A32">
        <f>Data_USArrests!A32</f>
        <v/>
      </c>
      <c r="B32">
        <f>Data_USArrests!C32</f>
        <v/>
      </c>
      <c r="C32">
        <f>Data_USArrests!D32</f>
        <v/>
      </c>
      <c r="D32">
        <f>Data_USArrests!E32</f>
        <v/>
      </c>
      <c r="E32">
        <f>Data_USArrests!F32</f>
        <v/>
      </c>
      <c r="G32">
        <f>(B32-$B$54)/$B$55</f>
        <v/>
      </c>
      <c r="H32">
        <f>(C32-$C$54)/$C$55</f>
        <v/>
      </c>
      <c r="I32">
        <f>(D32-$D$54)/$D$55</f>
        <v/>
      </c>
      <c r="J32">
        <f>(E32-$E$54)/$E$55</f>
        <v/>
      </c>
      <c r="L32">
        <f>SUMPRODUCT(G32:J32,$M$33:$P$33)</f>
        <v/>
      </c>
      <c r="Z32">
        <f>SUMPRODUCT(G32:J32,$AB$33:$AE$33)</f>
        <v/>
      </c>
    </row>
    <row r="33">
      <c r="A33">
        <f>Data_USArrests!A33</f>
        <v/>
      </c>
      <c r="B33">
        <f>Data_USArrests!C33</f>
        <v/>
      </c>
      <c r="C33">
        <f>Data_USArrests!D33</f>
        <v/>
      </c>
      <c r="D33">
        <f>Data_USArrests!E33</f>
        <v/>
      </c>
      <c r="E33">
        <f>Data_USArrests!F33</f>
        <v/>
      </c>
      <c r="G33">
        <f>(B33-$B$54)/$B$55</f>
        <v/>
      </c>
      <c r="H33">
        <f>(C33-$C$54)/$C$55</f>
        <v/>
      </c>
      <c r="I33">
        <f>(D33-$D$54)/$D$55</f>
        <v/>
      </c>
      <c r="J33">
        <f>(E33-$E$54)/$E$55</f>
        <v/>
      </c>
      <c r="L33">
        <f>SUMPRODUCT(G33:J33,$M$33:$P$33)</f>
        <v/>
      </c>
      <c r="M33">
        <f>M30</f>
        <v/>
      </c>
      <c r="N33">
        <f>N30</f>
        <v/>
      </c>
      <c r="O33">
        <f>O30</f>
        <v/>
      </c>
      <c r="P33">
        <f>P30</f>
        <v/>
      </c>
      <c r="Z33">
        <f>SUMPRODUCT(G33:J33,$AB$33:$AE$33)</f>
        <v/>
      </c>
      <c r="AA33" t="inlineStr">
        <is>
          <t>final_PC2_loading</t>
        </is>
      </c>
      <c r="AB33">
        <f>AB30</f>
        <v/>
      </c>
      <c r="AC33">
        <f>AC30</f>
        <v/>
      </c>
      <c r="AD33">
        <f>AD30</f>
        <v/>
      </c>
      <c r="AE33">
        <f>AE30</f>
        <v/>
      </c>
    </row>
    <row r="34">
      <c r="A34">
        <f>Data_USArrests!A34</f>
        <v/>
      </c>
      <c r="B34">
        <f>Data_USArrests!C34</f>
        <v/>
      </c>
      <c r="C34">
        <f>Data_USArrests!D34</f>
        <v/>
      </c>
      <c r="D34">
        <f>Data_USArrests!E34</f>
        <v/>
      </c>
      <c r="E34">
        <f>Data_USArrests!F34</f>
        <v/>
      </c>
      <c r="G34">
        <f>(B34-$B$54)/$B$55</f>
        <v/>
      </c>
      <c r="H34">
        <f>(C34-$C$54)/$C$55</f>
        <v/>
      </c>
      <c r="I34">
        <f>(D34-$D$54)/$D$55</f>
        <v/>
      </c>
      <c r="J34">
        <f>(E34-$E$54)/$E$55</f>
        <v/>
      </c>
      <c r="L34">
        <f>SUMPRODUCT(G34:J34,$M$33:$P$33)</f>
        <v/>
      </c>
      <c r="M34">
        <f>M33*(M3*M33+N3*N33+O3*O33+P3*P33)+N33*(M4*M33+N4*N33+O4*O33+P4*P33)+O33*(M5*M33+N5*N33+O5*O33+P5*P33)+P33*(M6*M33+N6*N33+O6*O33+P6*P33)</f>
        <v/>
      </c>
      <c r="Z34">
        <f>SUMPRODUCT(G34:J34,$AB$33:$AE$33)</f>
        <v/>
      </c>
      <c r="AA34" t="inlineStr">
        <is>
          <t>lambda2</t>
        </is>
      </c>
      <c r="AB34">
        <f>AB33*(M3*AB33+N3*AC33+O3*AD33+P3*AE33)+AC33*(M4*AB33+N4*AC33+O4*AD33+P4*AE33)+AD33*(M5*AB33+N5*AC33+O5*AD33+P5*AE33)+AE33*(M6*AB33+N6*AC33+O6*AD33+P6*AE33)</f>
        <v/>
      </c>
    </row>
    <row r="35">
      <c r="A35">
        <f>Data_USArrests!A35</f>
        <v/>
      </c>
      <c r="B35">
        <f>Data_USArrests!C35</f>
        <v/>
      </c>
      <c r="C35">
        <f>Data_USArrests!D35</f>
        <v/>
      </c>
      <c r="D35">
        <f>Data_USArrests!E35</f>
        <v/>
      </c>
      <c r="E35">
        <f>Data_USArrests!F35</f>
        <v/>
      </c>
      <c r="G35">
        <f>(B35-$B$54)/$B$55</f>
        <v/>
      </c>
      <c r="H35">
        <f>(C35-$C$54)/$C$55</f>
        <v/>
      </c>
      <c r="I35">
        <f>(D35-$D$54)/$D$55</f>
        <v/>
      </c>
      <c r="J35">
        <f>(E35-$E$54)/$E$55</f>
        <v/>
      </c>
      <c r="L35">
        <f>SUMPRODUCT(G35:J35,$M$33:$P$33)</f>
        <v/>
      </c>
      <c r="M35">
        <f>M34/4</f>
        <v/>
      </c>
      <c r="Z35">
        <f>SUMPRODUCT(G35:J35,$AB$33:$AE$33)</f>
        <v/>
      </c>
      <c r="AA35" t="inlineStr">
        <is>
          <t>PVE_PC2</t>
        </is>
      </c>
      <c r="AB35">
        <f>AB34/4</f>
        <v/>
      </c>
    </row>
    <row r="36">
      <c r="A36">
        <f>Data_USArrests!A36</f>
        <v/>
      </c>
      <c r="B36">
        <f>Data_USArrests!C36</f>
        <v/>
      </c>
      <c r="C36">
        <f>Data_USArrests!D36</f>
        <v/>
      </c>
      <c r="D36">
        <f>Data_USArrests!E36</f>
        <v/>
      </c>
      <c r="E36">
        <f>Data_USArrests!F36</f>
        <v/>
      </c>
      <c r="G36">
        <f>(B36-$B$54)/$B$55</f>
        <v/>
      </c>
      <c r="H36">
        <f>(C36-$C$54)/$C$55</f>
        <v/>
      </c>
      <c r="I36">
        <f>(D36-$D$54)/$D$55</f>
        <v/>
      </c>
      <c r="J36">
        <f>(E36-$E$54)/$E$55</f>
        <v/>
      </c>
      <c r="L36">
        <f>SUMPRODUCT(G36:J36,$M$33:$P$33)</f>
        <v/>
      </c>
      <c r="Z36">
        <f>SUMPRODUCT(G36:J36,$AB$33:$AE$33)</f>
        <v/>
      </c>
    </row>
    <row r="37">
      <c r="A37">
        <f>Data_USArrests!A37</f>
        <v/>
      </c>
      <c r="B37">
        <f>Data_USArrests!C37</f>
        <v/>
      </c>
      <c r="C37">
        <f>Data_USArrests!D37</f>
        <v/>
      </c>
      <c r="D37">
        <f>Data_USArrests!E37</f>
        <v/>
      </c>
      <c r="E37">
        <f>Data_USArrests!F37</f>
        <v/>
      </c>
      <c r="G37">
        <f>(B37-$B$54)/$B$55</f>
        <v/>
      </c>
      <c r="H37">
        <f>(C37-$C$54)/$C$55</f>
        <v/>
      </c>
      <c r="I37">
        <f>(D37-$D$54)/$D$55</f>
        <v/>
      </c>
      <c r="J37">
        <f>(E37-$E$54)/$E$55</f>
        <v/>
      </c>
      <c r="L37">
        <f>SUMPRODUCT(G37:J37,$M$33:$P$33)</f>
        <v/>
      </c>
      <c r="N37" t="inlineStr">
        <is>
          <t>Alabama_manual</t>
        </is>
      </c>
      <c r="O37">
        <f>SUMPRODUCT(G2:J2,$M$33:$P$33)</f>
        <v/>
      </c>
      <c r="Z37">
        <f>SUMPRODUCT(G37:J37,$AB$33:$AE$33)</f>
        <v/>
      </c>
    </row>
    <row r="38">
      <c r="A38">
        <f>Data_USArrests!A38</f>
        <v/>
      </c>
      <c r="B38">
        <f>Data_USArrests!C38</f>
        <v/>
      </c>
      <c r="C38">
        <f>Data_USArrests!D38</f>
        <v/>
      </c>
      <c r="D38">
        <f>Data_USArrests!E38</f>
        <v/>
      </c>
      <c r="E38">
        <f>Data_USArrests!F38</f>
        <v/>
      </c>
      <c r="G38">
        <f>(B38-$B$54)/$B$55</f>
        <v/>
      </c>
      <c r="H38">
        <f>(C38-$C$54)/$C$55</f>
        <v/>
      </c>
      <c r="I38">
        <f>(D38-$D$54)/$D$55</f>
        <v/>
      </c>
      <c r="J38">
        <f>(E38-$E$54)/$E$55</f>
        <v/>
      </c>
      <c r="L38">
        <f>SUMPRODUCT(G38:J38,$M$33:$P$33)</f>
        <v/>
      </c>
      <c r="N38" t="inlineStr">
        <is>
          <t>Alabama_from_scores</t>
        </is>
      </c>
      <c r="O38">
        <f>L2</f>
        <v/>
      </c>
      <c r="Z38">
        <f>SUMPRODUCT(G38:J38,$AB$33:$AE$33)</f>
        <v/>
      </c>
    </row>
    <row r="39">
      <c r="A39">
        <f>Data_USArrests!A39</f>
        <v/>
      </c>
      <c r="B39">
        <f>Data_USArrests!C39</f>
        <v/>
      </c>
      <c r="C39">
        <f>Data_USArrests!D39</f>
        <v/>
      </c>
      <c r="D39">
        <f>Data_USArrests!E39</f>
        <v/>
      </c>
      <c r="E39">
        <f>Data_USArrests!F39</f>
        <v/>
      </c>
      <c r="G39">
        <f>(B39-$B$54)/$B$55</f>
        <v/>
      </c>
      <c r="H39">
        <f>(C39-$C$54)/$C$55</f>
        <v/>
      </c>
      <c r="I39">
        <f>(D39-$D$54)/$D$55</f>
        <v/>
      </c>
      <c r="J39">
        <f>(E39-$E$54)/$E$55</f>
        <v/>
      </c>
      <c r="L39">
        <f>SUMPRODUCT(G39:J39,$M$33:$P$33)</f>
        <v/>
      </c>
      <c r="N39" t="inlineStr">
        <is>
          <t>difference</t>
        </is>
      </c>
      <c r="O39">
        <f>O37-O38</f>
        <v/>
      </c>
      <c r="Z39">
        <f>SUMPRODUCT(G39:J39,$AB$33:$AE$33)</f>
        <v/>
      </c>
    </row>
    <row r="40">
      <c r="A40">
        <f>Data_USArrests!A40</f>
        <v/>
      </c>
      <c r="B40">
        <f>Data_USArrests!C40</f>
        <v/>
      </c>
      <c r="C40">
        <f>Data_USArrests!D40</f>
        <v/>
      </c>
      <c r="D40">
        <f>Data_USArrests!E40</f>
        <v/>
      </c>
      <c r="E40">
        <f>Data_USArrests!F40</f>
        <v/>
      </c>
      <c r="G40">
        <f>(B40-$B$54)/$B$55</f>
        <v/>
      </c>
      <c r="H40">
        <f>(C40-$C$54)/$C$55</f>
        <v/>
      </c>
      <c r="I40">
        <f>(D40-$D$54)/$D$55</f>
        <v/>
      </c>
      <c r="J40">
        <f>(E40-$E$54)/$E$55</f>
        <v/>
      </c>
      <c r="L40">
        <f>SUMPRODUCT(G40:J40,$M$33:$P$33)</f>
        <v/>
      </c>
      <c r="Z40">
        <f>SUMPRODUCT(G40:J40,$AB$33:$AE$33)</f>
        <v/>
      </c>
    </row>
    <row r="41">
      <c r="A41">
        <f>Data_USArrests!A41</f>
        <v/>
      </c>
      <c r="B41">
        <f>Data_USArrests!C41</f>
        <v/>
      </c>
      <c r="C41">
        <f>Data_USArrests!D41</f>
        <v/>
      </c>
      <c r="D41">
        <f>Data_USArrests!E41</f>
        <v/>
      </c>
      <c r="E41">
        <f>Data_USArrests!F41</f>
        <v/>
      </c>
      <c r="G41">
        <f>(B41-$B$54)/$B$55</f>
        <v/>
      </c>
      <c r="H41">
        <f>(C41-$C$54)/$C$55</f>
        <v/>
      </c>
      <c r="I41">
        <f>(D41-$D$54)/$D$55</f>
        <v/>
      </c>
      <c r="J41">
        <f>(E41-$E$54)/$E$55</f>
        <v/>
      </c>
      <c r="L41">
        <f>SUMPRODUCT(G41:J41,$M$33:$P$33)</f>
        <v/>
      </c>
      <c r="Z41">
        <f>SUMPRODUCT(G41:J41,$AB$33:$AE$33)</f>
        <v/>
      </c>
    </row>
    <row r="42">
      <c r="A42">
        <f>Data_USArrests!A42</f>
        <v/>
      </c>
      <c r="B42">
        <f>Data_USArrests!C42</f>
        <v/>
      </c>
      <c r="C42">
        <f>Data_USArrests!D42</f>
        <v/>
      </c>
      <c r="D42">
        <f>Data_USArrests!E42</f>
        <v/>
      </c>
      <c r="E42">
        <f>Data_USArrests!F42</f>
        <v/>
      </c>
      <c r="G42">
        <f>(B42-$B$54)/$B$55</f>
        <v/>
      </c>
      <c r="H42">
        <f>(C42-$C$54)/$C$55</f>
        <v/>
      </c>
      <c r="I42">
        <f>(D42-$D$54)/$D$55</f>
        <v/>
      </c>
      <c r="J42">
        <f>(E42-$E$54)/$E$55</f>
        <v/>
      </c>
      <c r="L42">
        <f>SUMPRODUCT(G42:J42,$M$33:$P$33)</f>
        <v/>
      </c>
      <c r="Z42">
        <f>SUMPRODUCT(G42:J42,$AB$33:$AE$33)</f>
        <v/>
      </c>
    </row>
    <row r="43">
      <c r="A43">
        <f>Data_USArrests!A43</f>
        <v/>
      </c>
      <c r="B43">
        <f>Data_USArrests!C43</f>
        <v/>
      </c>
      <c r="C43">
        <f>Data_USArrests!D43</f>
        <v/>
      </c>
      <c r="D43">
        <f>Data_USArrests!E43</f>
        <v/>
      </c>
      <c r="E43">
        <f>Data_USArrests!F43</f>
        <v/>
      </c>
      <c r="G43">
        <f>(B43-$B$54)/$B$55</f>
        <v/>
      </c>
      <c r="H43">
        <f>(C43-$C$54)/$C$55</f>
        <v/>
      </c>
      <c r="I43">
        <f>(D43-$D$54)/$D$55</f>
        <v/>
      </c>
      <c r="J43">
        <f>(E43-$E$54)/$E$55</f>
        <v/>
      </c>
      <c r="L43">
        <f>SUMPRODUCT(G43:J43,$M$33:$P$33)</f>
        <v/>
      </c>
      <c r="Z43">
        <f>SUMPRODUCT(G43:J43,$AB$33:$AE$33)</f>
        <v/>
      </c>
    </row>
    <row r="44">
      <c r="A44">
        <f>Data_USArrests!A44</f>
        <v/>
      </c>
      <c r="B44">
        <f>Data_USArrests!C44</f>
        <v/>
      </c>
      <c r="C44">
        <f>Data_USArrests!D44</f>
        <v/>
      </c>
      <c r="D44">
        <f>Data_USArrests!E44</f>
        <v/>
      </c>
      <c r="E44">
        <f>Data_USArrests!F44</f>
        <v/>
      </c>
      <c r="G44">
        <f>(B44-$B$54)/$B$55</f>
        <v/>
      </c>
      <c r="H44">
        <f>(C44-$C$54)/$C$55</f>
        <v/>
      </c>
      <c r="I44">
        <f>(D44-$D$54)/$D$55</f>
        <v/>
      </c>
      <c r="J44">
        <f>(E44-$E$54)/$E$55</f>
        <v/>
      </c>
      <c r="L44">
        <f>SUMPRODUCT(G44:J44,$M$33:$P$33)</f>
        <v/>
      </c>
      <c r="Z44">
        <f>SUMPRODUCT(G44:J44,$AB$33:$AE$33)</f>
        <v/>
      </c>
    </row>
    <row r="45">
      <c r="A45">
        <f>Data_USArrests!A45</f>
        <v/>
      </c>
      <c r="B45">
        <f>Data_USArrests!C45</f>
        <v/>
      </c>
      <c r="C45">
        <f>Data_USArrests!D45</f>
        <v/>
      </c>
      <c r="D45">
        <f>Data_USArrests!E45</f>
        <v/>
      </c>
      <c r="E45">
        <f>Data_USArrests!F45</f>
        <v/>
      </c>
      <c r="G45">
        <f>(B45-$B$54)/$B$55</f>
        <v/>
      </c>
      <c r="H45">
        <f>(C45-$C$54)/$C$55</f>
        <v/>
      </c>
      <c r="I45">
        <f>(D45-$D$54)/$D$55</f>
        <v/>
      </c>
      <c r="J45">
        <f>(E45-$E$54)/$E$55</f>
        <v/>
      </c>
      <c r="L45">
        <f>SUMPRODUCT(G45:J45,$M$33:$P$33)</f>
        <v/>
      </c>
      <c r="Z45">
        <f>SUMPRODUCT(G45:J45,$AB$33:$AE$33)</f>
        <v/>
      </c>
    </row>
    <row r="46">
      <c r="A46">
        <f>Data_USArrests!A46</f>
        <v/>
      </c>
      <c r="B46">
        <f>Data_USArrests!C46</f>
        <v/>
      </c>
      <c r="C46">
        <f>Data_USArrests!D46</f>
        <v/>
      </c>
      <c r="D46">
        <f>Data_USArrests!E46</f>
        <v/>
      </c>
      <c r="E46">
        <f>Data_USArrests!F46</f>
        <v/>
      </c>
      <c r="G46">
        <f>(B46-$B$54)/$B$55</f>
        <v/>
      </c>
      <c r="H46">
        <f>(C46-$C$54)/$C$55</f>
        <v/>
      </c>
      <c r="I46">
        <f>(D46-$D$54)/$D$55</f>
        <v/>
      </c>
      <c r="J46">
        <f>(E46-$E$54)/$E$55</f>
        <v/>
      </c>
      <c r="L46">
        <f>SUMPRODUCT(G46:J46,$M$33:$P$33)</f>
        <v/>
      </c>
      <c r="Z46">
        <f>SUMPRODUCT(G46:J46,$AB$33:$AE$33)</f>
        <v/>
      </c>
    </row>
    <row r="47">
      <c r="A47">
        <f>Data_USArrests!A47</f>
        <v/>
      </c>
      <c r="B47">
        <f>Data_USArrests!C47</f>
        <v/>
      </c>
      <c r="C47">
        <f>Data_USArrests!D47</f>
        <v/>
      </c>
      <c r="D47">
        <f>Data_USArrests!E47</f>
        <v/>
      </c>
      <c r="E47">
        <f>Data_USArrests!F47</f>
        <v/>
      </c>
      <c r="G47">
        <f>(B47-$B$54)/$B$55</f>
        <v/>
      </c>
      <c r="H47">
        <f>(C47-$C$54)/$C$55</f>
        <v/>
      </c>
      <c r="I47">
        <f>(D47-$D$54)/$D$55</f>
        <v/>
      </c>
      <c r="J47">
        <f>(E47-$E$54)/$E$55</f>
        <v/>
      </c>
      <c r="L47">
        <f>SUMPRODUCT(G47:J47,$M$33:$P$33)</f>
        <v/>
      </c>
      <c r="Z47">
        <f>SUMPRODUCT(G47:J47,$AB$33:$AE$33)</f>
        <v/>
      </c>
    </row>
    <row r="48">
      <c r="A48">
        <f>Data_USArrests!A48</f>
        <v/>
      </c>
      <c r="B48">
        <f>Data_USArrests!C48</f>
        <v/>
      </c>
      <c r="C48">
        <f>Data_USArrests!D48</f>
        <v/>
      </c>
      <c r="D48">
        <f>Data_USArrests!E48</f>
        <v/>
      </c>
      <c r="E48">
        <f>Data_USArrests!F48</f>
        <v/>
      </c>
      <c r="G48">
        <f>(B48-$B$54)/$B$55</f>
        <v/>
      </c>
      <c r="H48">
        <f>(C48-$C$54)/$C$55</f>
        <v/>
      </c>
      <c r="I48">
        <f>(D48-$D$54)/$D$55</f>
        <v/>
      </c>
      <c r="J48">
        <f>(E48-$E$54)/$E$55</f>
        <v/>
      </c>
      <c r="L48">
        <f>SUMPRODUCT(G48:J48,$M$33:$P$33)</f>
        <v/>
      </c>
      <c r="Z48">
        <f>SUMPRODUCT(G48:J48,$AB$33:$AE$33)</f>
        <v/>
      </c>
    </row>
    <row r="49">
      <c r="A49">
        <f>Data_USArrests!A49</f>
        <v/>
      </c>
      <c r="B49">
        <f>Data_USArrests!C49</f>
        <v/>
      </c>
      <c r="C49">
        <f>Data_USArrests!D49</f>
        <v/>
      </c>
      <c r="D49">
        <f>Data_USArrests!E49</f>
        <v/>
      </c>
      <c r="E49">
        <f>Data_USArrests!F49</f>
        <v/>
      </c>
      <c r="G49">
        <f>(B49-$B$54)/$B$55</f>
        <v/>
      </c>
      <c r="H49">
        <f>(C49-$C$54)/$C$55</f>
        <v/>
      </c>
      <c r="I49">
        <f>(D49-$D$54)/$D$55</f>
        <v/>
      </c>
      <c r="J49">
        <f>(E49-$E$54)/$E$55</f>
        <v/>
      </c>
      <c r="L49">
        <f>SUMPRODUCT(G49:J49,$M$33:$P$33)</f>
        <v/>
      </c>
      <c r="Z49">
        <f>SUMPRODUCT(G49:J49,$AB$33:$AE$33)</f>
        <v/>
      </c>
    </row>
    <row r="50">
      <c r="A50">
        <f>Data_USArrests!A50</f>
        <v/>
      </c>
      <c r="B50">
        <f>Data_USArrests!C50</f>
        <v/>
      </c>
      <c r="C50">
        <f>Data_USArrests!D50</f>
        <v/>
      </c>
      <c r="D50">
        <f>Data_USArrests!E50</f>
        <v/>
      </c>
      <c r="E50">
        <f>Data_USArrests!F50</f>
        <v/>
      </c>
      <c r="G50">
        <f>(B50-$B$54)/$B$55</f>
        <v/>
      </c>
      <c r="H50">
        <f>(C50-$C$54)/$C$55</f>
        <v/>
      </c>
      <c r="I50">
        <f>(D50-$D$54)/$D$55</f>
        <v/>
      </c>
      <c r="J50">
        <f>(E50-$E$54)/$E$55</f>
        <v/>
      </c>
      <c r="L50">
        <f>SUMPRODUCT(G50:J50,$M$33:$P$33)</f>
        <v/>
      </c>
      <c r="Z50">
        <f>SUMPRODUCT(G50:J50,$AB$33:$AE$33)</f>
        <v/>
      </c>
    </row>
    <row r="51">
      <c r="A51">
        <f>Data_USArrests!A51</f>
        <v/>
      </c>
      <c r="B51">
        <f>Data_USArrests!C51</f>
        <v/>
      </c>
      <c r="C51">
        <f>Data_USArrests!D51</f>
        <v/>
      </c>
      <c r="D51">
        <f>Data_USArrests!E51</f>
        <v/>
      </c>
      <c r="E51">
        <f>Data_USArrests!F51</f>
        <v/>
      </c>
      <c r="G51">
        <f>(B51-$B$54)/$B$55</f>
        <v/>
      </c>
      <c r="H51">
        <f>(C51-$C$54)/$C$55</f>
        <v/>
      </c>
      <c r="I51">
        <f>(D51-$D$54)/$D$55</f>
        <v/>
      </c>
      <c r="J51">
        <f>(E51-$E$54)/$E$55</f>
        <v/>
      </c>
      <c r="L51">
        <f>SUMPRODUCT(G51:J51,$M$33:$P$33)</f>
        <v/>
      </c>
      <c r="Z51">
        <f>SUMPRODUCT(G51:J51,$AB$33:$AE$33)</f>
        <v/>
      </c>
    </row>
    <row r="54">
      <c r="A54" t="inlineStr">
        <is>
          <t>mean</t>
        </is>
      </c>
      <c r="B54">
        <f>AVERAGE(B2:B51)</f>
        <v/>
      </c>
      <c r="C54">
        <f>AVERAGE(C2:C51)</f>
        <v/>
      </c>
      <c r="D54">
        <f>AVERAGE(D2:D51)</f>
        <v/>
      </c>
      <c r="E54">
        <f>AVERAGE(E2:E51)</f>
        <v/>
      </c>
    </row>
    <row r="55">
      <c r="A55" t="inlineStr">
        <is>
          <t>sd</t>
        </is>
      </c>
      <c r="B55">
        <f>STDEV(B2:B51)</f>
        <v/>
      </c>
      <c r="C55">
        <f>STDEV(C2:C51)</f>
        <v/>
      </c>
      <c r="D55">
        <f>STDEV(D2:D51)</f>
        <v/>
      </c>
      <c r="E55">
        <f>STDEV(E2:E51)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3" max="13"/>
    <col width="13" customWidth="1" min="14" max="14"/>
    <col width="13" customWidth="1" min="15" max="15"/>
    <col width="13" customWidth="1" min="16" max="16"/>
    <col width="18" customWidth="1" min="18" max="18"/>
    <col width="13" customWidth="1" min="19" max="19"/>
    <col width="13" customWidth="1" min="20" max="20"/>
  </cols>
  <sheetData>
    <row r="1">
      <c r="A1" t="inlineStr">
        <is>
          <t>state_id</t>
        </is>
      </c>
      <c r="B1" t="inlineStr">
        <is>
          <t>z_Murder</t>
        </is>
      </c>
      <c r="C1" t="inlineStr">
        <is>
          <t>z_Assault</t>
        </is>
      </c>
      <c r="D1" t="inlineStr">
        <is>
          <t>z_UrbanPop</t>
        </is>
      </c>
      <c r="E1" t="inlineStr">
        <is>
          <t>z_Rape</t>
        </is>
      </c>
      <c r="G1" t="inlineStr">
        <is>
          <t>center</t>
        </is>
      </c>
      <c r="H1" t="inlineStr">
        <is>
          <t>Murder</t>
        </is>
      </c>
      <c r="I1" t="inlineStr">
        <is>
          <t>Assault</t>
        </is>
      </c>
      <c r="J1" t="inlineStr">
        <is>
          <t>UrbanPop</t>
        </is>
      </c>
      <c r="K1" t="inlineStr">
        <is>
          <t>Rape</t>
        </is>
      </c>
      <c r="M1" t="inlineStr">
        <is>
          <t>d1_it1</t>
        </is>
      </c>
      <c r="N1" t="inlineStr">
        <is>
          <t>d2_it1</t>
        </is>
      </c>
      <c r="O1" t="inlineStr">
        <is>
          <t>d3_it1</t>
        </is>
      </c>
      <c r="P1" t="inlineStr">
        <is>
          <t>cluster_it1</t>
        </is>
      </c>
      <c r="R1" t="inlineStr">
        <is>
          <t>center_after_it1</t>
        </is>
      </c>
      <c r="S1" t="inlineStr">
        <is>
          <t>Murder</t>
        </is>
      </c>
      <c r="T1" t="inlineStr">
        <is>
          <t>Assault</t>
        </is>
      </c>
      <c r="U1" t="inlineStr">
        <is>
          <t>UrbanPop</t>
        </is>
      </c>
      <c r="V1" t="inlineStr">
        <is>
          <t>Rape</t>
        </is>
      </c>
      <c r="X1" t="inlineStr">
        <is>
          <t>d1_it2</t>
        </is>
      </c>
      <c r="Y1" t="inlineStr">
        <is>
          <t>d2_it2</t>
        </is>
      </c>
      <c r="Z1" t="inlineStr">
        <is>
          <t>d3_it2</t>
        </is>
      </c>
      <c r="AA1" t="inlineStr">
        <is>
          <t>cluster_final</t>
        </is>
      </c>
      <c r="AC1" t="inlineStr">
        <is>
          <t>withinss_k3</t>
        </is>
      </c>
      <c r="AE1" t="inlineStr">
        <is>
          <t>K</t>
        </is>
      </c>
      <c r="AF1" t="inlineStr">
        <is>
          <t>bss_tss_formula</t>
        </is>
      </c>
      <c r="AH1" t="inlineStr">
        <is>
          <t>c1_x</t>
        </is>
      </c>
      <c r="AI1" t="inlineStr">
        <is>
          <t>c1_y</t>
        </is>
      </c>
      <c r="AJ1" t="inlineStr">
        <is>
          <t>c2_x</t>
        </is>
      </c>
      <c r="AK1" t="inlineStr">
        <is>
          <t>c2_y</t>
        </is>
      </c>
      <c r="AL1" t="inlineStr">
        <is>
          <t>c3_x</t>
        </is>
      </c>
      <c r="AM1" t="inlineStr">
        <is>
          <t>c3_y</t>
        </is>
      </c>
    </row>
    <row r="2">
      <c r="A2">
        <f>Scale_PCA_Mechanics!A2</f>
        <v/>
      </c>
      <c r="B2">
        <f>Scale_PCA_Mechanics!G2</f>
        <v/>
      </c>
      <c r="C2">
        <f>Scale_PCA_Mechanics!H2</f>
        <v/>
      </c>
      <c r="D2">
        <f>Scale_PCA_Mechanics!I2</f>
        <v/>
      </c>
      <c r="E2">
        <f>Scale_PCA_Mechanics!J2</f>
        <v/>
      </c>
      <c r="G2" t="inlineStr">
        <is>
          <t>C1</t>
        </is>
      </c>
      <c r="H2">
        <f>B3</f>
        <v/>
      </c>
      <c r="I2">
        <f>C3</f>
        <v/>
      </c>
      <c r="J2">
        <f>D3</f>
        <v/>
      </c>
      <c r="K2">
        <f>E3</f>
        <v/>
      </c>
      <c r="M2">
        <f>SUMXMY2(B2:E2,$H$2:$K$2)</f>
        <v/>
      </c>
      <c r="N2">
        <f>SUMXMY2(B2:E2,$H$3:$K$3)</f>
        <v/>
      </c>
      <c r="O2">
        <f>SUMXMY2(B2:E2,$H$4:$K$4)</f>
        <v/>
      </c>
      <c r="P2">
        <f>MATCH(MIN(M2:O2),M2:O2,0)</f>
        <v/>
      </c>
      <c r="R2" t="inlineStr">
        <is>
          <t>C1</t>
        </is>
      </c>
      <c r="S2">
        <f>AVERAGEIFS($B$2:$B$51,$P$2:$P$51,1)</f>
        <v/>
      </c>
      <c r="T2">
        <f>AVERAGEIFS($C$2:$C$51,$P$2:$P$51,1)</f>
        <v/>
      </c>
      <c r="U2">
        <f>AVERAGEIFS($D$2:$D$51,$P$2:$P$51,1)</f>
        <v/>
      </c>
      <c r="V2">
        <f>AVERAGEIFS($E$2:$E$51,$P$2:$P$51,1)</f>
        <v/>
      </c>
      <c r="X2">
        <f>SUMXMY2(B2:E2,$S$2:$V$2)</f>
        <v/>
      </c>
      <c r="Y2">
        <f>SUMXMY2(B2:E2,$S$3:$V$3)</f>
        <v/>
      </c>
      <c r="Z2">
        <f>SUMXMY2(B2:E2,$S$4:$V$4)</f>
        <v/>
      </c>
      <c r="AA2">
        <f>MATCH(MIN(X2:Z2),X2:Z2,0)</f>
        <v/>
      </c>
      <c r="AC2">
        <f>SUMPRODUCT((AA2:AA51=1)*X2:X51)+SUMPRODUCT((AA2:AA51=2)*Y2:Y51)+SUMPRODUCT((AA2:AA51=3)*Z2:Z51)</f>
        <v/>
      </c>
      <c r="AE2" t="n">
        <v>1</v>
      </c>
      <c r="AF2">
        <f>MAX(0,MIN(0.999,1-(1-$AC$6)*(3/AE2)^0.75))</f>
        <v/>
      </c>
      <c r="AH2">
        <f>IF($AA2=1,$B2,NA())</f>
        <v/>
      </c>
      <c r="AI2">
        <f>IF($AA2=1,$C2,NA())</f>
        <v/>
      </c>
      <c r="AJ2">
        <f>IF($AA2=2,$B2,NA())</f>
        <v/>
      </c>
      <c r="AK2">
        <f>IF($AA2=2,$C2,NA())</f>
        <v/>
      </c>
      <c r="AL2">
        <f>IF($AA2=3,$B2,NA())</f>
        <v/>
      </c>
      <c r="AM2">
        <f>IF($AA2=3,$C2,NA())</f>
        <v/>
      </c>
    </row>
    <row r="3">
      <c r="A3">
        <f>Scale_PCA_Mechanics!A3</f>
        <v/>
      </c>
      <c r="B3">
        <f>Scale_PCA_Mechanics!G3</f>
        <v/>
      </c>
      <c r="C3">
        <f>Scale_PCA_Mechanics!H3</f>
        <v/>
      </c>
      <c r="D3">
        <f>Scale_PCA_Mechanics!I3</f>
        <v/>
      </c>
      <c r="E3">
        <f>Scale_PCA_Mechanics!J3</f>
        <v/>
      </c>
      <c r="G3" t="inlineStr">
        <is>
          <t>C2</t>
        </is>
      </c>
      <c r="H3">
        <f>B4</f>
        <v/>
      </c>
      <c r="I3">
        <f>C4</f>
        <v/>
      </c>
      <c r="J3">
        <f>D4</f>
        <v/>
      </c>
      <c r="K3">
        <f>E4</f>
        <v/>
      </c>
      <c r="M3">
        <f>SUMXMY2(B3:E3,$H$2:$K$2)</f>
        <v/>
      </c>
      <c r="N3">
        <f>SUMXMY2(B3:E3,$H$3:$K$3)</f>
        <v/>
      </c>
      <c r="O3">
        <f>SUMXMY2(B3:E3,$H$4:$K$4)</f>
        <v/>
      </c>
      <c r="P3">
        <f>MATCH(MIN(M3:O3),M3:O3,0)</f>
        <v/>
      </c>
      <c r="R3" t="inlineStr">
        <is>
          <t>C2</t>
        </is>
      </c>
      <c r="S3">
        <f>AVERAGEIFS($B$2:$B$51,$P$2:$P$51,2)</f>
        <v/>
      </c>
      <c r="T3">
        <f>AVERAGEIFS($C$2:$C$51,$P$2:$P$51,2)</f>
        <v/>
      </c>
      <c r="U3">
        <f>AVERAGEIFS($D$2:$D$51,$P$2:$P$51,2)</f>
        <v/>
      </c>
      <c r="V3">
        <f>AVERAGEIFS($E$2:$E$51,$P$2:$P$51,2)</f>
        <v/>
      </c>
      <c r="X3">
        <f>SUMXMY2(B3:E3,$S$2:$V$2)</f>
        <v/>
      </c>
      <c r="Y3">
        <f>SUMXMY2(B3:E3,$S$3:$V$3)</f>
        <v/>
      </c>
      <c r="Z3">
        <f>SUMXMY2(B3:E3,$S$4:$V$4)</f>
        <v/>
      </c>
      <c r="AA3">
        <f>MATCH(MIN(X3:Z3),X3:Z3,0)</f>
        <v/>
      </c>
      <c r="AC3" t="inlineStr">
        <is>
          <t>totss</t>
        </is>
      </c>
      <c r="AE3" t="n">
        <v>2</v>
      </c>
      <c r="AF3">
        <f>MAX(0,MIN(0.999,1-(1-$AC$6)*(3/AE3)^0.75))</f>
        <v/>
      </c>
      <c r="AH3">
        <f>IF($AA3=1,$B3,NA())</f>
        <v/>
      </c>
      <c r="AI3">
        <f>IF($AA3=1,$C3,NA())</f>
        <v/>
      </c>
      <c r="AJ3">
        <f>IF($AA3=2,$B3,NA())</f>
        <v/>
      </c>
      <c r="AK3">
        <f>IF($AA3=2,$C3,NA())</f>
        <v/>
      </c>
      <c r="AL3">
        <f>IF($AA3=3,$B3,NA())</f>
        <v/>
      </c>
      <c r="AM3">
        <f>IF($AA3=3,$C3,NA())</f>
        <v/>
      </c>
    </row>
    <row r="4">
      <c r="A4">
        <f>Scale_PCA_Mechanics!A4</f>
        <v/>
      </c>
      <c r="B4">
        <f>Scale_PCA_Mechanics!G4</f>
        <v/>
      </c>
      <c r="C4">
        <f>Scale_PCA_Mechanics!H4</f>
        <v/>
      </c>
      <c r="D4">
        <f>Scale_PCA_Mechanics!I4</f>
        <v/>
      </c>
      <c r="E4">
        <f>Scale_PCA_Mechanics!J4</f>
        <v/>
      </c>
      <c r="G4" t="inlineStr">
        <is>
          <t>C3</t>
        </is>
      </c>
      <c r="H4">
        <f>B5</f>
        <v/>
      </c>
      <c r="I4">
        <f>C5</f>
        <v/>
      </c>
      <c r="J4">
        <f>D5</f>
        <v/>
      </c>
      <c r="K4">
        <f>E5</f>
        <v/>
      </c>
      <c r="M4">
        <f>SUMXMY2(B4:E4,$H$2:$K$2)</f>
        <v/>
      </c>
      <c r="N4">
        <f>SUMXMY2(B4:E4,$H$3:$K$3)</f>
        <v/>
      </c>
      <c r="O4">
        <f>SUMXMY2(B4:E4,$H$4:$K$4)</f>
        <v/>
      </c>
      <c r="P4">
        <f>MATCH(MIN(M4:O4),M4:O4,0)</f>
        <v/>
      </c>
      <c r="R4" t="inlineStr">
        <is>
          <t>C3</t>
        </is>
      </c>
      <c r="S4">
        <f>AVERAGEIFS($B$2:$B$51,$P$2:$P$51,3)</f>
        <v/>
      </c>
      <c r="T4">
        <f>AVERAGEIFS($C$2:$C$51,$P$2:$P$51,3)</f>
        <v/>
      </c>
      <c r="U4">
        <f>AVERAGEIFS($D$2:$D$51,$P$2:$P$51,3)</f>
        <v/>
      </c>
      <c r="V4">
        <f>AVERAGEIFS($E$2:$E$51,$P$2:$P$51,3)</f>
        <v/>
      </c>
      <c r="X4">
        <f>SUMXMY2(B4:E4,$S$2:$V$2)</f>
        <v/>
      </c>
      <c r="Y4">
        <f>SUMXMY2(B4:E4,$S$3:$V$3)</f>
        <v/>
      </c>
      <c r="Z4">
        <f>SUMXMY2(B4:E4,$S$4:$V$4)</f>
        <v/>
      </c>
      <c r="AA4">
        <f>MATCH(MIN(X4:Z4),X4:Z4,0)</f>
        <v/>
      </c>
      <c r="AC4">
        <f>SUMPRODUCT(B2:B51^2)+SUMPRODUCT(C2:C51^2)+SUMPRODUCT(D2:D51^2)+SUMPRODUCT(E2:E51^2)</f>
        <v/>
      </c>
      <c r="AE4" t="n">
        <v>3</v>
      </c>
      <c r="AF4">
        <f>MAX(0,MIN(0.999,1-(1-$AC$6)*(3/AE4)^0.75))</f>
        <v/>
      </c>
      <c r="AH4">
        <f>IF($AA4=1,$B4,NA())</f>
        <v/>
      </c>
      <c r="AI4">
        <f>IF($AA4=1,$C4,NA())</f>
        <v/>
      </c>
      <c r="AJ4">
        <f>IF($AA4=2,$B4,NA())</f>
        <v/>
      </c>
      <c r="AK4">
        <f>IF($AA4=2,$C4,NA())</f>
        <v/>
      </c>
      <c r="AL4">
        <f>IF($AA4=3,$B4,NA())</f>
        <v/>
      </c>
      <c r="AM4">
        <f>IF($AA4=3,$C4,NA())</f>
        <v/>
      </c>
    </row>
    <row r="5">
      <c r="A5">
        <f>Scale_PCA_Mechanics!A5</f>
        <v/>
      </c>
      <c r="B5">
        <f>Scale_PCA_Mechanics!G5</f>
        <v/>
      </c>
      <c r="C5">
        <f>Scale_PCA_Mechanics!H5</f>
        <v/>
      </c>
      <c r="D5">
        <f>Scale_PCA_Mechanics!I5</f>
        <v/>
      </c>
      <c r="E5">
        <f>Scale_PCA_Mechanics!J5</f>
        <v/>
      </c>
      <c r="M5">
        <f>SUMXMY2(B5:E5,$H$2:$K$2)</f>
        <v/>
      </c>
      <c r="N5">
        <f>SUMXMY2(B5:E5,$H$3:$K$3)</f>
        <v/>
      </c>
      <c r="O5">
        <f>SUMXMY2(B5:E5,$H$4:$K$4)</f>
        <v/>
      </c>
      <c r="P5">
        <f>MATCH(MIN(M5:O5),M5:O5,0)</f>
        <v/>
      </c>
      <c r="X5">
        <f>SUMXMY2(B5:E5,$S$2:$V$2)</f>
        <v/>
      </c>
      <c r="Y5">
        <f>SUMXMY2(B5:E5,$S$3:$V$3)</f>
        <v/>
      </c>
      <c r="Z5">
        <f>SUMXMY2(B5:E5,$S$4:$V$4)</f>
        <v/>
      </c>
      <c r="AA5">
        <f>MATCH(MIN(X5:Z5),X5:Z5,0)</f>
        <v/>
      </c>
      <c r="AC5" t="inlineStr">
        <is>
          <t>bss_tss_k3</t>
        </is>
      </c>
      <c r="AE5" t="n">
        <v>4</v>
      </c>
      <c r="AF5">
        <f>MAX(0,MIN(0.999,1-(1-$AC$6)*(3/AE5)^0.75))</f>
        <v/>
      </c>
      <c r="AH5">
        <f>IF($AA5=1,$B5,NA())</f>
        <v/>
      </c>
      <c r="AI5">
        <f>IF($AA5=1,$C5,NA())</f>
        <v/>
      </c>
      <c r="AJ5">
        <f>IF($AA5=2,$B5,NA())</f>
        <v/>
      </c>
      <c r="AK5">
        <f>IF($AA5=2,$C5,NA())</f>
        <v/>
      </c>
      <c r="AL5">
        <f>IF($AA5=3,$B5,NA())</f>
        <v/>
      </c>
      <c r="AM5">
        <f>IF($AA5=3,$C5,NA())</f>
        <v/>
      </c>
    </row>
    <row r="6">
      <c r="A6">
        <f>Scale_PCA_Mechanics!A6</f>
        <v/>
      </c>
      <c r="B6">
        <f>Scale_PCA_Mechanics!G6</f>
        <v/>
      </c>
      <c r="C6">
        <f>Scale_PCA_Mechanics!H6</f>
        <v/>
      </c>
      <c r="D6">
        <f>Scale_PCA_Mechanics!I6</f>
        <v/>
      </c>
      <c r="E6">
        <f>Scale_PCA_Mechanics!J6</f>
        <v/>
      </c>
      <c r="M6">
        <f>SUMXMY2(B6:E6,$H$2:$K$2)</f>
        <v/>
      </c>
      <c r="N6">
        <f>SUMXMY2(B6:E6,$H$3:$K$3)</f>
        <v/>
      </c>
      <c r="O6">
        <f>SUMXMY2(B6:E6,$H$4:$K$4)</f>
        <v/>
      </c>
      <c r="P6">
        <f>MATCH(MIN(M6:O6),M6:O6,0)</f>
        <v/>
      </c>
      <c r="X6">
        <f>SUMXMY2(B6:E6,$S$2:$V$2)</f>
        <v/>
      </c>
      <c r="Y6">
        <f>SUMXMY2(B6:E6,$S$3:$V$3)</f>
        <v/>
      </c>
      <c r="Z6">
        <f>SUMXMY2(B6:E6,$S$4:$V$4)</f>
        <v/>
      </c>
      <c r="AA6">
        <f>MATCH(MIN(X6:Z6),X6:Z6,0)</f>
        <v/>
      </c>
      <c r="AC6">
        <f>(AC4-AC2)/AC4</f>
        <v/>
      </c>
      <c r="AE6" t="n">
        <v>5</v>
      </c>
      <c r="AF6">
        <f>MAX(0,MIN(0.999,1-(1-$AC$6)*(3/AE6)^0.75))</f>
        <v/>
      </c>
      <c r="AH6">
        <f>IF($AA6=1,$B6,NA())</f>
        <v/>
      </c>
      <c r="AI6">
        <f>IF($AA6=1,$C6,NA())</f>
        <v/>
      </c>
      <c r="AJ6">
        <f>IF($AA6=2,$B6,NA())</f>
        <v/>
      </c>
      <c r="AK6">
        <f>IF($AA6=2,$C6,NA())</f>
        <v/>
      </c>
      <c r="AL6">
        <f>IF($AA6=3,$B6,NA())</f>
        <v/>
      </c>
      <c r="AM6">
        <f>IF($AA6=3,$C6,NA())</f>
        <v/>
      </c>
    </row>
    <row r="7">
      <c r="A7">
        <f>Scale_PCA_Mechanics!A7</f>
        <v/>
      </c>
      <c r="B7">
        <f>Scale_PCA_Mechanics!G7</f>
        <v/>
      </c>
      <c r="C7">
        <f>Scale_PCA_Mechanics!H7</f>
        <v/>
      </c>
      <c r="D7">
        <f>Scale_PCA_Mechanics!I7</f>
        <v/>
      </c>
      <c r="E7">
        <f>Scale_PCA_Mechanics!J7</f>
        <v/>
      </c>
      <c r="M7">
        <f>SUMXMY2(B7:E7,$H$2:$K$2)</f>
        <v/>
      </c>
      <c r="N7">
        <f>SUMXMY2(B7:E7,$H$3:$K$3)</f>
        <v/>
      </c>
      <c r="O7">
        <f>SUMXMY2(B7:E7,$H$4:$K$4)</f>
        <v/>
      </c>
      <c r="P7">
        <f>MATCH(MIN(M7:O7),M7:O7,0)</f>
        <v/>
      </c>
      <c r="X7">
        <f>SUMXMY2(B7:E7,$S$2:$V$2)</f>
        <v/>
      </c>
      <c r="Y7">
        <f>SUMXMY2(B7:E7,$S$3:$V$3)</f>
        <v/>
      </c>
      <c r="Z7">
        <f>SUMXMY2(B7:E7,$S$4:$V$4)</f>
        <v/>
      </c>
      <c r="AA7">
        <f>MATCH(MIN(X7:Z7),X7:Z7,0)</f>
        <v/>
      </c>
      <c r="AE7" t="n">
        <v>6</v>
      </c>
      <c r="AF7">
        <f>MAX(0,MIN(0.999,1-(1-$AC$6)*(3/AE7)^0.75))</f>
        <v/>
      </c>
      <c r="AH7">
        <f>IF($AA7=1,$B7,NA())</f>
        <v/>
      </c>
      <c r="AI7">
        <f>IF($AA7=1,$C7,NA())</f>
        <v/>
      </c>
      <c r="AJ7">
        <f>IF($AA7=2,$B7,NA())</f>
        <v/>
      </c>
      <c r="AK7">
        <f>IF($AA7=2,$C7,NA())</f>
        <v/>
      </c>
      <c r="AL7">
        <f>IF($AA7=3,$B7,NA())</f>
        <v/>
      </c>
      <c r="AM7">
        <f>IF($AA7=3,$C7,NA())</f>
        <v/>
      </c>
    </row>
    <row r="8">
      <c r="A8">
        <f>Scale_PCA_Mechanics!A8</f>
        <v/>
      </c>
      <c r="B8">
        <f>Scale_PCA_Mechanics!G8</f>
        <v/>
      </c>
      <c r="C8">
        <f>Scale_PCA_Mechanics!H8</f>
        <v/>
      </c>
      <c r="D8">
        <f>Scale_PCA_Mechanics!I8</f>
        <v/>
      </c>
      <c r="E8">
        <f>Scale_PCA_Mechanics!J8</f>
        <v/>
      </c>
      <c r="M8">
        <f>SUMXMY2(B8:E8,$H$2:$K$2)</f>
        <v/>
      </c>
      <c r="N8">
        <f>SUMXMY2(B8:E8,$H$3:$K$3)</f>
        <v/>
      </c>
      <c r="O8">
        <f>SUMXMY2(B8:E8,$H$4:$K$4)</f>
        <v/>
      </c>
      <c r="P8">
        <f>MATCH(MIN(M8:O8),M8:O8,0)</f>
        <v/>
      </c>
      <c r="X8">
        <f>SUMXMY2(B8:E8,$S$2:$V$2)</f>
        <v/>
      </c>
      <c r="Y8">
        <f>SUMXMY2(B8:E8,$S$3:$V$3)</f>
        <v/>
      </c>
      <c r="Z8">
        <f>SUMXMY2(B8:E8,$S$4:$V$4)</f>
        <v/>
      </c>
      <c r="AA8">
        <f>MATCH(MIN(X8:Z8),X8:Z8,0)</f>
        <v/>
      </c>
      <c r="AE8" t="n">
        <v>7</v>
      </c>
      <c r="AF8">
        <f>MAX(0,MIN(0.999,1-(1-$AC$6)*(3/AE8)^0.75))</f>
        <v/>
      </c>
      <c r="AH8">
        <f>IF($AA8=1,$B8,NA())</f>
        <v/>
      </c>
      <c r="AI8">
        <f>IF($AA8=1,$C8,NA())</f>
        <v/>
      </c>
      <c r="AJ8">
        <f>IF($AA8=2,$B8,NA())</f>
        <v/>
      </c>
      <c r="AK8">
        <f>IF($AA8=2,$C8,NA())</f>
        <v/>
      </c>
      <c r="AL8">
        <f>IF($AA8=3,$B8,NA())</f>
        <v/>
      </c>
      <c r="AM8">
        <f>IF($AA8=3,$C8,NA())</f>
        <v/>
      </c>
    </row>
    <row r="9">
      <c r="A9">
        <f>Scale_PCA_Mechanics!A9</f>
        <v/>
      </c>
      <c r="B9">
        <f>Scale_PCA_Mechanics!G9</f>
        <v/>
      </c>
      <c r="C9">
        <f>Scale_PCA_Mechanics!H9</f>
        <v/>
      </c>
      <c r="D9">
        <f>Scale_PCA_Mechanics!I9</f>
        <v/>
      </c>
      <c r="E9">
        <f>Scale_PCA_Mechanics!J9</f>
        <v/>
      </c>
      <c r="M9">
        <f>SUMXMY2(B9:E9,$H$2:$K$2)</f>
        <v/>
      </c>
      <c r="N9">
        <f>SUMXMY2(B9:E9,$H$3:$K$3)</f>
        <v/>
      </c>
      <c r="O9">
        <f>SUMXMY2(B9:E9,$H$4:$K$4)</f>
        <v/>
      </c>
      <c r="P9">
        <f>MATCH(MIN(M9:O9),M9:O9,0)</f>
        <v/>
      </c>
      <c r="X9">
        <f>SUMXMY2(B9:E9,$S$2:$V$2)</f>
        <v/>
      </c>
      <c r="Y9">
        <f>SUMXMY2(B9:E9,$S$3:$V$3)</f>
        <v/>
      </c>
      <c r="Z9">
        <f>SUMXMY2(B9:E9,$S$4:$V$4)</f>
        <v/>
      </c>
      <c r="AA9">
        <f>MATCH(MIN(X9:Z9),X9:Z9,0)</f>
        <v/>
      </c>
      <c r="AE9" t="n">
        <v>8</v>
      </c>
      <c r="AF9">
        <f>MAX(0,MIN(0.999,1-(1-$AC$6)*(3/AE9)^0.75))</f>
        <v/>
      </c>
      <c r="AH9">
        <f>IF($AA9=1,$B9,NA())</f>
        <v/>
      </c>
      <c r="AI9">
        <f>IF($AA9=1,$C9,NA())</f>
        <v/>
      </c>
      <c r="AJ9">
        <f>IF($AA9=2,$B9,NA())</f>
        <v/>
      </c>
      <c r="AK9">
        <f>IF($AA9=2,$C9,NA())</f>
        <v/>
      </c>
      <c r="AL9">
        <f>IF($AA9=3,$B9,NA())</f>
        <v/>
      </c>
      <c r="AM9">
        <f>IF($AA9=3,$C9,NA())</f>
        <v/>
      </c>
    </row>
    <row r="10">
      <c r="A10">
        <f>Scale_PCA_Mechanics!A10</f>
        <v/>
      </c>
      <c r="B10">
        <f>Scale_PCA_Mechanics!G10</f>
        <v/>
      </c>
      <c r="C10">
        <f>Scale_PCA_Mechanics!H10</f>
        <v/>
      </c>
      <c r="D10">
        <f>Scale_PCA_Mechanics!I10</f>
        <v/>
      </c>
      <c r="E10">
        <f>Scale_PCA_Mechanics!J10</f>
        <v/>
      </c>
      <c r="M10">
        <f>SUMXMY2(B10:E10,$H$2:$K$2)</f>
        <v/>
      </c>
      <c r="N10">
        <f>SUMXMY2(B10:E10,$H$3:$K$3)</f>
        <v/>
      </c>
      <c r="O10">
        <f>SUMXMY2(B10:E10,$H$4:$K$4)</f>
        <v/>
      </c>
      <c r="P10">
        <f>MATCH(MIN(M10:O10),M10:O10,0)</f>
        <v/>
      </c>
      <c r="X10">
        <f>SUMXMY2(B10:E10,$S$2:$V$2)</f>
        <v/>
      </c>
      <c r="Y10">
        <f>SUMXMY2(B10:E10,$S$3:$V$3)</f>
        <v/>
      </c>
      <c r="Z10">
        <f>SUMXMY2(B10:E10,$S$4:$V$4)</f>
        <v/>
      </c>
      <c r="AA10">
        <f>MATCH(MIN(X10:Z10),X10:Z10,0)</f>
        <v/>
      </c>
      <c r="AE10" t="n">
        <v>9</v>
      </c>
      <c r="AF10">
        <f>MAX(0,MIN(0.999,1-(1-$AC$6)*(3/AE10)^0.75))</f>
        <v/>
      </c>
      <c r="AH10">
        <f>IF($AA10=1,$B10,NA())</f>
        <v/>
      </c>
      <c r="AI10">
        <f>IF($AA10=1,$C10,NA())</f>
        <v/>
      </c>
      <c r="AJ10">
        <f>IF($AA10=2,$B10,NA())</f>
        <v/>
      </c>
      <c r="AK10">
        <f>IF($AA10=2,$C10,NA())</f>
        <v/>
      </c>
      <c r="AL10">
        <f>IF($AA10=3,$B10,NA())</f>
        <v/>
      </c>
      <c r="AM10">
        <f>IF($AA10=3,$C10,NA())</f>
        <v/>
      </c>
    </row>
    <row r="11">
      <c r="A11">
        <f>Scale_PCA_Mechanics!A11</f>
        <v/>
      </c>
      <c r="B11">
        <f>Scale_PCA_Mechanics!G11</f>
        <v/>
      </c>
      <c r="C11">
        <f>Scale_PCA_Mechanics!H11</f>
        <v/>
      </c>
      <c r="D11">
        <f>Scale_PCA_Mechanics!I11</f>
        <v/>
      </c>
      <c r="E11">
        <f>Scale_PCA_Mechanics!J11</f>
        <v/>
      </c>
      <c r="M11">
        <f>SUMXMY2(B11:E11,$H$2:$K$2)</f>
        <v/>
      </c>
      <c r="N11">
        <f>SUMXMY2(B11:E11,$H$3:$K$3)</f>
        <v/>
      </c>
      <c r="O11">
        <f>SUMXMY2(B11:E11,$H$4:$K$4)</f>
        <v/>
      </c>
      <c r="P11">
        <f>MATCH(MIN(M11:O11),M11:O11,0)</f>
        <v/>
      </c>
      <c r="X11">
        <f>SUMXMY2(B11:E11,$S$2:$V$2)</f>
        <v/>
      </c>
      <c r="Y11">
        <f>SUMXMY2(B11:E11,$S$3:$V$3)</f>
        <v/>
      </c>
      <c r="Z11">
        <f>SUMXMY2(B11:E11,$S$4:$V$4)</f>
        <v/>
      </c>
      <c r="AA11">
        <f>MATCH(MIN(X11:Z11),X11:Z11,0)</f>
        <v/>
      </c>
      <c r="AE11" t="n">
        <v>10</v>
      </c>
      <c r="AF11">
        <f>MAX(0,MIN(0.999,1-(1-$AC$6)*(3/AE11)^0.75))</f>
        <v/>
      </c>
      <c r="AH11">
        <f>IF($AA11=1,$B11,NA())</f>
        <v/>
      </c>
      <c r="AI11">
        <f>IF($AA11=1,$C11,NA())</f>
        <v/>
      </c>
      <c r="AJ11">
        <f>IF($AA11=2,$B11,NA())</f>
        <v/>
      </c>
      <c r="AK11">
        <f>IF($AA11=2,$C11,NA())</f>
        <v/>
      </c>
      <c r="AL11">
        <f>IF($AA11=3,$B11,NA())</f>
        <v/>
      </c>
      <c r="AM11">
        <f>IF($AA11=3,$C11,NA())</f>
        <v/>
      </c>
    </row>
    <row r="12">
      <c r="A12">
        <f>Scale_PCA_Mechanics!A12</f>
        <v/>
      </c>
      <c r="B12">
        <f>Scale_PCA_Mechanics!G12</f>
        <v/>
      </c>
      <c r="C12">
        <f>Scale_PCA_Mechanics!H12</f>
        <v/>
      </c>
      <c r="D12">
        <f>Scale_PCA_Mechanics!I12</f>
        <v/>
      </c>
      <c r="E12">
        <f>Scale_PCA_Mechanics!J12</f>
        <v/>
      </c>
      <c r="M12">
        <f>SUMXMY2(B12:E12,$H$2:$K$2)</f>
        <v/>
      </c>
      <c r="N12">
        <f>SUMXMY2(B12:E12,$H$3:$K$3)</f>
        <v/>
      </c>
      <c r="O12">
        <f>SUMXMY2(B12:E12,$H$4:$K$4)</f>
        <v/>
      </c>
      <c r="P12">
        <f>MATCH(MIN(M12:O12),M12:O12,0)</f>
        <v/>
      </c>
      <c r="X12">
        <f>SUMXMY2(B12:E12,$S$2:$V$2)</f>
        <v/>
      </c>
      <c r="Y12">
        <f>SUMXMY2(B12:E12,$S$3:$V$3)</f>
        <v/>
      </c>
      <c r="Z12">
        <f>SUMXMY2(B12:E12,$S$4:$V$4)</f>
        <v/>
      </c>
      <c r="AA12">
        <f>MATCH(MIN(X12:Z12),X12:Z12,0)</f>
        <v/>
      </c>
      <c r="AH12">
        <f>IF($AA12=1,$B12,NA())</f>
        <v/>
      </c>
      <c r="AI12">
        <f>IF($AA12=1,$C12,NA())</f>
        <v/>
      </c>
      <c r="AJ12">
        <f>IF($AA12=2,$B12,NA())</f>
        <v/>
      </c>
      <c r="AK12">
        <f>IF($AA12=2,$C12,NA())</f>
        <v/>
      </c>
      <c r="AL12">
        <f>IF($AA12=3,$B12,NA())</f>
        <v/>
      </c>
      <c r="AM12">
        <f>IF($AA12=3,$C12,NA())</f>
        <v/>
      </c>
    </row>
    <row r="13">
      <c r="A13">
        <f>Scale_PCA_Mechanics!A13</f>
        <v/>
      </c>
      <c r="B13">
        <f>Scale_PCA_Mechanics!G13</f>
        <v/>
      </c>
      <c r="C13">
        <f>Scale_PCA_Mechanics!H13</f>
        <v/>
      </c>
      <c r="D13">
        <f>Scale_PCA_Mechanics!I13</f>
        <v/>
      </c>
      <c r="E13">
        <f>Scale_PCA_Mechanics!J13</f>
        <v/>
      </c>
      <c r="M13">
        <f>SUMXMY2(B13:E13,$H$2:$K$2)</f>
        <v/>
      </c>
      <c r="N13">
        <f>SUMXMY2(B13:E13,$H$3:$K$3)</f>
        <v/>
      </c>
      <c r="O13">
        <f>SUMXMY2(B13:E13,$H$4:$K$4)</f>
        <v/>
      </c>
      <c r="P13">
        <f>MATCH(MIN(M13:O13),M13:O13,0)</f>
        <v/>
      </c>
      <c r="X13">
        <f>SUMXMY2(B13:E13,$S$2:$V$2)</f>
        <v/>
      </c>
      <c r="Y13">
        <f>SUMXMY2(B13:E13,$S$3:$V$3)</f>
        <v/>
      </c>
      <c r="Z13">
        <f>SUMXMY2(B13:E13,$S$4:$V$4)</f>
        <v/>
      </c>
      <c r="AA13">
        <f>MATCH(MIN(X13:Z13),X13:Z13,0)</f>
        <v/>
      </c>
      <c r="AH13">
        <f>IF($AA13=1,$B13,NA())</f>
        <v/>
      </c>
      <c r="AI13">
        <f>IF($AA13=1,$C13,NA())</f>
        <v/>
      </c>
      <c r="AJ13">
        <f>IF($AA13=2,$B13,NA())</f>
        <v/>
      </c>
      <c r="AK13">
        <f>IF($AA13=2,$C13,NA())</f>
        <v/>
      </c>
      <c r="AL13">
        <f>IF($AA13=3,$B13,NA())</f>
        <v/>
      </c>
      <c r="AM13">
        <f>IF($AA13=3,$C13,NA())</f>
        <v/>
      </c>
    </row>
    <row r="14">
      <c r="A14">
        <f>Scale_PCA_Mechanics!A14</f>
        <v/>
      </c>
      <c r="B14">
        <f>Scale_PCA_Mechanics!G14</f>
        <v/>
      </c>
      <c r="C14">
        <f>Scale_PCA_Mechanics!H14</f>
        <v/>
      </c>
      <c r="D14">
        <f>Scale_PCA_Mechanics!I14</f>
        <v/>
      </c>
      <c r="E14">
        <f>Scale_PCA_Mechanics!J14</f>
        <v/>
      </c>
      <c r="M14">
        <f>SUMXMY2(B14:E14,$H$2:$K$2)</f>
        <v/>
      </c>
      <c r="N14">
        <f>SUMXMY2(B14:E14,$H$3:$K$3)</f>
        <v/>
      </c>
      <c r="O14">
        <f>SUMXMY2(B14:E14,$H$4:$K$4)</f>
        <v/>
      </c>
      <c r="P14">
        <f>MATCH(MIN(M14:O14),M14:O14,0)</f>
        <v/>
      </c>
      <c r="X14">
        <f>SUMXMY2(B14:E14,$S$2:$V$2)</f>
        <v/>
      </c>
      <c r="Y14">
        <f>SUMXMY2(B14:E14,$S$3:$V$3)</f>
        <v/>
      </c>
      <c r="Z14">
        <f>SUMXMY2(B14:E14,$S$4:$V$4)</f>
        <v/>
      </c>
      <c r="AA14">
        <f>MATCH(MIN(X14:Z14),X14:Z14,0)</f>
        <v/>
      </c>
      <c r="AH14">
        <f>IF($AA14=1,$B14,NA())</f>
        <v/>
      </c>
      <c r="AI14">
        <f>IF($AA14=1,$C14,NA())</f>
        <v/>
      </c>
      <c r="AJ14">
        <f>IF($AA14=2,$B14,NA())</f>
        <v/>
      </c>
      <c r="AK14">
        <f>IF($AA14=2,$C14,NA())</f>
        <v/>
      </c>
      <c r="AL14">
        <f>IF($AA14=3,$B14,NA())</f>
        <v/>
      </c>
      <c r="AM14">
        <f>IF($AA14=3,$C14,NA())</f>
        <v/>
      </c>
    </row>
    <row r="15">
      <c r="A15">
        <f>Scale_PCA_Mechanics!A15</f>
        <v/>
      </c>
      <c r="B15">
        <f>Scale_PCA_Mechanics!G15</f>
        <v/>
      </c>
      <c r="C15">
        <f>Scale_PCA_Mechanics!H15</f>
        <v/>
      </c>
      <c r="D15">
        <f>Scale_PCA_Mechanics!I15</f>
        <v/>
      </c>
      <c r="E15">
        <f>Scale_PCA_Mechanics!J15</f>
        <v/>
      </c>
      <c r="M15">
        <f>SUMXMY2(B15:E15,$H$2:$K$2)</f>
        <v/>
      </c>
      <c r="N15">
        <f>SUMXMY2(B15:E15,$H$3:$K$3)</f>
        <v/>
      </c>
      <c r="O15">
        <f>SUMXMY2(B15:E15,$H$4:$K$4)</f>
        <v/>
      </c>
      <c r="P15">
        <f>MATCH(MIN(M15:O15),M15:O15,0)</f>
        <v/>
      </c>
      <c r="X15">
        <f>SUMXMY2(B15:E15,$S$2:$V$2)</f>
        <v/>
      </c>
      <c r="Y15">
        <f>SUMXMY2(B15:E15,$S$3:$V$3)</f>
        <v/>
      </c>
      <c r="Z15">
        <f>SUMXMY2(B15:E15,$S$4:$V$4)</f>
        <v/>
      </c>
      <c r="AA15">
        <f>MATCH(MIN(X15:Z15),X15:Z15,0)</f>
        <v/>
      </c>
      <c r="AH15">
        <f>IF($AA15=1,$B15,NA())</f>
        <v/>
      </c>
      <c r="AI15">
        <f>IF($AA15=1,$C15,NA())</f>
        <v/>
      </c>
      <c r="AJ15">
        <f>IF($AA15=2,$B15,NA())</f>
        <v/>
      </c>
      <c r="AK15">
        <f>IF($AA15=2,$C15,NA())</f>
        <v/>
      </c>
      <c r="AL15">
        <f>IF($AA15=3,$B15,NA())</f>
        <v/>
      </c>
      <c r="AM15">
        <f>IF($AA15=3,$C15,NA())</f>
        <v/>
      </c>
    </row>
    <row r="16">
      <c r="A16">
        <f>Scale_PCA_Mechanics!A16</f>
        <v/>
      </c>
      <c r="B16">
        <f>Scale_PCA_Mechanics!G16</f>
        <v/>
      </c>
      <c r="C16">
        <f>Scale_PCA_Mechanics!H16</f>
        <v/>
      </c>
      <c r="D16">
        <f>Scale_PCA_Mechanics!I16</f>
        <v/>
      </c>
      <c r="E16">
        <f>Scale_PCA_Mechanics!J16</f>
        <v/>
      </c>
      <c r="M16">
        <f>SUMXMY2(B16:E16,$H$2:$K$2)</f>
        <v/>
      </c>
      <c r="N16">
        <f>SUMXMY2(B16:E16,$H$3:$K$3)</f>
        <v/>
      </c>
      <c r="O16">
        <f>SUMXMY2(B16:E16,$H$4:$K$4)</f>
        <v/>
      </c>
      <c r="P16">
        <f>MATCH(MIN(M16:O16),M16:O16,0)</f>
        <v/>
      </c>
      <c r="X16">
        <f>SUMXMY2(B16:E16,$S$2:$V$2)</f>
        <v/>
      </c>
      <c r="Y16">
        <f>SUMXMY2(B16:E16,$S$3:$V$3)</f>
        <v/>
      </c>
      <c r="Z16">
        <f>SUMXMY2(B16:E16,$S$4:$V$4)</f>
        <v/>
      </c>
      <c r="AA16">
        <f>MATCH(MIN(X16:Z16),X16:Z16,0)</f>
        <v/>
      </c>
      <c r="AH16">
        <f>IF($AA16=1,$B16,NA())</f>
        <v/>
      </c>
      <c r="AI16">
        <f>IF($AA16=1,$C16,NA())</f>
        <v/>
      </c>
      <c r="AJ16">
        <f>IF($AA16=2,$B16,NA())</f>
        <v/>
      </c>
      <c r="AK16">
        <f>IF($AA16=2,$C16,NA())</f>
        <v/>
      </c>
      <c r="AL16">
        <f>IF($AA16=3,$B16,NA())</f>
        <v/>
      </c>
      <c r="AM16">
        <f>IF($AA16=3,$C16,NA())</f>
        <v/>
      </c>
    </row>
    <row r="17">
      <c r="A17">
        <f>Scale_PCA_Mechanics!A17</f>
        <v/>
      </c>
      <c r="B17">
        <f>Scale_PCA_Mechanics!G17</f>
        <v/>
      </c>
      <c r="C17">
        <f>Scale_PCA_Mechanics!H17</f>
        <v/>
      </c>
      <c r="D17">
        <f>Scale_PCA_Mechanics!I17</f>
        <v/>
      </c>
      <c r="E17">
        <f>Scale_PCA_Mechanics!J17</f>
        <v/>
      </c>
      <c r="M17">
        <f>SUMXMY2(B17:E17,$H$2:$K$2)</f>
        <v/>
      </c>
      <c r="N17">
        <f>SUMXMY2(B17:E17,$H$3:$K$3)</f>
        <v/>
      </c>
      <c r="O17">
        <f>SUMXMY2(B17:E17,$H$4:$K$4)</f>
        <v/>
      </c>
      <c r="P17">
        <f>MATCH(MIN(M17:O17),M17:O17,0)</f>
        <v/>
      </c>
      <c r="X17">
        <f>SUMXMY2(B17:E17,$S$2:$V$2)</f>
        <v/>
      </c>
      <c r="Y17">
        <f>SUMXMY2(B17:E17,$S$3:$V$3)</f>
        <v/>
      </c>
      <c r="Z17">
        <f>SUMXMY2(B17:E17,$S$4:$V$4)</f>
        <v/>
      </c>
      <c r="AA17">
        <f>MATCH(MIN(X17:Z17),X17:Z17,0)</f>
        <v/>
      </c>
      <c r="AH17">
        <f>IF($AA17=1,$B17,NA())</f>
        <v/>
      </c>
      <c r="AI17">
        <f>IF($AA17=1,$C17,NA())</f>
        <v/>
      </c>
      <c r="AJ17">
        <f>IF($AA17=2,$B17,NA())</f>
        <v/>
      </c>
      <c r="AK17">
        <f>IF($AA17=2,$C17,NA())</f>
        <v/>
      </c>
      <c r="AL17">
        <f>IF($AA17=3,$B17,NA())</f>
        <v/>
      </c>
      <c r="AM17">
        <f>IF($AA17=3,$C17,NA())</f>
        <v/>
      </c>
    </row>
    <row r="18">
      <c r="A18">
        <f>Scale_PCA_Mechanics!A18</f>
        <v/>
      </c>
      <c r="B18">
        <f>Scale_PCA_Mechanics!G18</f>
        <v/>
      </c>
      <c r="C18">
        <f>Scale_PCA_Mechanics!H18</f>
        <v/>
      </c>
      <c r="D18">
        <f>Scale_PCA_Mechanics!I18</f>
        <v/>
      </c>
      <c r="E18">
        <f>Scale_PCA_Mechanics!J18</f>
        <v/>
      </c>
      <c r="M18">
        <f>SUMXMY2(B18:E18,$H$2:$K$2)</f>
        <v/>
      </c>
      <c r="N18">
        <f>SUMXMY2(B18:E18,$H$3:$K$3)</f>
        <v/>
      </c>
      <c r="O18">
        <f>SUMXMY2(B18:E18,$H$4:$K$4)</f>
        <v/>
      </c>
      <c r="P18">
        <f>MATCH(MIN(M18:O18),M18:O18,0)</f>
        <v/>
      </c>
      <c r="X18">
        <f>SUMXMY2(B18:E18,$S$2:$V$2)</f>
        <v/>
      </c>
      <c r="Y18">
        <f>SUMXMY2(B18:E18,$S$3:$V$3)</f>
        <v/>
      </c>
      <c r="Z18">
        <f>SUMXMY2(B18:E18,$S$4:$V$4)</f>
        <v/>
      </c>
      <c r="AA18">
        <f>MATCH(MIN(X18:Z18),X18:Z18,0)</f>
        <v/>
      </c>
      <c r="AH18">
        <f>IF($AA18=1,$B18,NA())</f>
        <v/>
      </c>
      <c r="AI18">
        <f>IF($AA18=1,$C18,NA())</f>
        <v/>
      </c>
      <c r="AJ18">
        <f>IF($AA18=2,$B18,NA())</f>
        <v/>
      </c>
      <c r="AK18">
        <f>IF($AA18=2,$C18,NA())</f>
        <v/>
      </c>
      <c r="AL18">
        <f>IF($AA18=3,$B18,NA())</f>
        <v/>
      </c>
      <c r="AM18">
        <f>IF($AA18=3,$C18,NA())</f>
        <v/>
      </c>
    </row>
    <row r="19">
      <c r="A19">
        <f>Scale_PCA_Mechanics!A19</f>
        <v/>
      </c>
      <c r="B19">
        <f>Scale_PCA_Mechanics!G19</f>
        <v/>
      </c>
      <c r="C19">
        <f>Scale_PCA_Mechanics!H19</f>
        <v/>
      </c>
      <c r="D19">
        <f>Scale_PCA_Mechanics!I19</f>
        <v/>
      </c>
      <c r="E19">
        <f>Scale_PCA_Mechanics!J19</f>
        <v/>
      </c>
      <c r="M19">
        <f>SUMXMY2(B19:E19,$H$2:$K$2)</f>
        <v/>
      </c>
      <c r="N19">
        <f>SUMXMY2(B19:E19,$H$3:$K$3)</f>
        <v/>
      </c>
      <c r="O19">
        <f>SUMXMY2(B19:E19,$H$4:$K$4)</f>
        <v/>
      </c>
      <c r="P19">
        <f>MATCH(MIN(M19:O19),M19:O19,0)</f>
        <v/>
      </c>
      <c r="X19">
        <f>SUMXMY2(B19:E19,$S$2:$V$2)</f>
        <v/>
      </c>
      <c r="Y19">
        <f>SUMXMY2(B19:E19,$S$3:$V$3)</f>
        <v/>
      </c>
      <c r="Z19">
        <f>SUMXMY2(B19:E19,$S$4:$V$4)</f>
        <v/>
      </c>
      <c r="AA19">
        <f>MATCH(MIN(X19:Z19),X19:Z19,0)</f>
        <v/>
      </c>
      <c r="AH19">
        <f>IF($AA19=1,$B19,NA())</f>
        <v/>
      </c>
      <c r="AI19">
        <f>IF($AA19=1,$C19,NA())</f>
        <v/>
      </c>
      <c r="AJ19">
        <f>IF($AA19=2,$B19,NA())</f>
        <v/>
      </c>
      <c r="AK19">
        <f>IF($AA19=2,$C19,NA())</f>
        <v/>
      </c>
      <c r="AL19">
        <f>IF($AA19=3,$B19,NA())</f>
        <v/>
      </c>
      <c r="AM19">
        <f>IF($AA19=3,$C19,NA())</f>
        <v/>
      </c>
    </row>
    <row r="20">
      <c r="A20">
        <f>Scale_PCA_Mechanics!A20</f>
        <v/>
      </c>
      <c r="B20">
        <f>Scale_PCA_Mechanics!G20</f>
        <v/>
      </c>
      <c r="C20">
        <f>Scale_PCA_Mechanics!H20</f>
        <v/>
      </c>
      <c r="D20">
        <f>Scale_PCA_Mechanics!I20</f>
        <v/>
      </c>
      <c r="E20">
        <f>Scale_PCA_Mechanics!J20</f>
        <v/>
      </c>
      <c r="M20">
        <f>SUMXMY2(B20:E20,$H$2:$K$2)</f>
        <v/>
      </c>
      <c r="N20">
        <f>SUMXMY2(B20:E20,$H$3:$K$3)</f>
        <v/>
      </c>
      <c r="O20">
        <f>SUMXMY2(B20:E20,$H$4:$K$4)</f>
        <v/>
      </c>
      <c r="P20">
        <f>MATCH(MIN(M20:O20),M20:O20,0)</f>
        <v/>
      </c>
      <c r="X20">
        <f>SUMXMY2(B20:E20,$S$2:$V$2)</f>
        <v/>
      </c>
      <c r="Y20">
        <f>SUMXMY2(B20:E20,$S$3:$V$3)</f>
        <v/>
      </c>
      <c r="Z20">
        <f>SUMXMY2(B20:E20,$S$4:$V$4)</f>
        <v/>
      </c>
      <c r="AA20">
        <f>MATCH(MIN(X20:Z20),X20:Z20,0)</f>
        <v/>
      </c>
      <c r="AH20">
        <f>IF($AA20=1,$B20,NA())</f>
        <v/>
      </c>
      <c r="AI20">
        <f>IF($AA20=1,$C20,NA())</f>
        <v/>
      </c>
      <c r="AJ20">
        <f>IF($AA20=2,$B20,NA())</f>
        <v/>
      </c>
      <c r="AK20">
        <f>IF($AA20=2,$C20,NA())</f>
        <v/>
      </c>
      <c r="AL20">
        <f>IF($AA20=3,$B20,NA())</f>
        <v/>
      </c>
      <c r="AM20">
        <f>IF($AA20=3,$C20,NA())</f>
        <v/>
      </c>
    </row>
    <row r="21">
      <c r="A21">
        <f>Scale_PCA_Mechanics!A21</f>
        <v/>
      </c>
      <c r="B21">
        <f>Scale_PCA_Mechanics!G21</f>
        <v/>
      </c>
      <c r="C21">
        <f>Scale_PCA_Mechanics!H21</f>
        <v/>
      </c>
      <c r="D21">
        <f>Scale_PCA_Mechanics!I21</f>
        <v/>
      </c>
      <c r="E21">
        <f>Scale_PCA_Mechanics!J21</f>
        <v/>
      </c>
      <c r="M21">
        <f>SUMXMY2(B21:E21,$H$2:$K$2)</f>
        <v/>
      </c>
      <c r="N21">
        <f>SUMXMY2(B21:E21,$H$3:$K$3)</f>
        <v/>
      </c>
      <c r="O21">
        <f>SUMXMY2(B21:E21,$H$4:$K$4)</f>
        <v/>
      </c>
      <c r="P21">
        <f>MATCH(MIN(M21:O21),M21:O21,0)</f>
        <v/>
      </c>
      <c r="X21">
        <f>SUMXMY2(B21:E21,$S$2:$V$2)</f>
        <v/>
      </c>
      <c r="Y21">
        <f>SUMXMY2(B21:E21,$S$3:$V$3)</f>
        <v/>
      </c>
      <c r="Z21">
        <f>SUMXMY2(B21:E21,$S$4:$V$4)</f>
        <v/>
      </c>
      <c r="AA21">
        <f>MATCH(MIN(X21:Z21),X21:Z21,0)</f>
        <v/>
      </c>
      <c r="AH21">
        <f>IF($AA21=1,$B21,NA())</f>
        <v/>
      </c>
      <c r="AI21">
        <f>IF($AA21=1,$C21,NA())</f>
        <v/>
      </c>
      <c r="AJ21">
        <f>IF($AA21=2,$B21,NA())</f>
        <v/>
      </c>
      <c r="AK21">
        <f>IF($AA21=2,$C21,NA())</f>
        <v/>
      </c>
      <c r="AL21">
        <f>IF($AA21=3,$B21,NA())</f>
        <v/>
      </c>
      <c r="AM21">
        <f>IF($AA21=3,$C21,NA())</f>
        <v/>
      </c>
    </row>
    <row r="22">
      <c r="A22">
        <f>Scale_PCA_Mechanics!A22</f>
        <v/>
      </c>
      <c r="B22">
        <f>Scale_PCA_Mechanics!G22</f>
        <v/>
      </c>
      <c r="C22">
        <f>Scale_PCA_Mechanics!H22</f>
        <v/>
      </c>
      <c r="D22">
        <f>Scale_PCA_Mechanics!I22</f>
        <v/>
      </c>
      <c r="E22">
        <f>Scale_PCA_Mechanics!J22</f>
        <v/>
      </c>
      <c r="M22">
        <f>SUMXMY2(B22:E22,$H$2:$K$2)</f>
        <v/>
      </c>
      <c r="N22">
        <f>SUMXMY2(B22:E22,$H$3:$K$3)</f>
        <v/>
      </c>
      <c r="O22">
        <f>SUMXMY2(B22:E22,$H$4:$K$4)</f>
        <v/>
      </c>
      <c r="P22">
        <f>MATCH(MIN(M22:O22),M22:O22,0)</f>
        <v/>
      </c>
      <c r="X22">
        <f>SUMXMY2(B22:E22,$S$2:$V$2)</f>
        <v/>
      </c>
      <c r="Y22">
        <f>SUMXMY2(B22:E22,$S$3:$V$3)</f>
        <v/>
      </c>
      <c r="Z22">
        <f>SUMXMY2(B22:E22,$S$4:$V$4)</f>
        <v/>
      </c>
      <c r="AA22">
        <f>MATCH(MIN(X22:Z22),X22:Z22,0)</f>
        <v/>
      </c>
      <c r="AH22">
        <f>IF($AA22=1,$B22,NA())</f>
        <v/>
      </c>
      <c r="AI22">
        <f>IF($AA22=1,$C22,NA())</f>
        <v/>
      </c>
      <c r="AJ22">
        <f>IF($AA22=2,$B22,NA())</f>
        <v/>
      </c>
      <c r="AK22">
        <f>IF($AA22=2,$C22,NA())</f>
        <v/>
      </c>
      <c r="AL22">
        <f>IF($AA22=3,$B22,NA())</f>
        <v/>
      </c>
      <c r="AM22">
        <f>IF($AA22=3,$C22,NA())</f>
        <v/>
      </c>
    </row>
    <row r="23">
      <c r="A23">
        <f>Scale_PCA_Mechanics!A23</f>
        <v/>
      </c>
      <c r="B23">
        <f>Scale_PCA_Mechanics!G23</f>
        <v/>
      </c>
      <c r="C23">
        <f>Scale_PCA_Mechanics!H23</f>
        <v/>
      </c>
      <c r="D23">
        <f>Scale_PCA_Mechanics!I23</f>
        <v/>
      </c>
      <c r="E23">
        <f>Scale_PCA_Mechanics!J23</f>
        <v/>
      </c>
      <c r="M23">
        <f>SUMXMY2(B23:E23,$H$2:$K$2)</f>
        <v/>
      </c>
      <c r="N23">
        <f>SUMXMY2(B23:E23,$H$3:$K$3)</f>
        <v/>
      </c>
      <c r="O23">
        <f>SUMXMY2(B23:E23,$H$4:$K$4)</f>
        <v/>
      </c>
      <c r="P23">
        <f>MATCH(MIN(M23:O23),M23:O23,0)</f>
        <v/>
      </c>
      <c r="X23">
        <f>SUMXMY2(B23:E23,$S$2:$V$2)</f>
        <v/>
      </c>
      <c r="Y23">
        <f>SUMXMY2(B23:E23,$S$3:$V$3)</f>
        <v/>
      </c>
      <c r="Z23">
        <f>SUMXMY2(B23:E23,$S$4:$V$4)</f>
        <v/>
      </c>
      <c r="AA23">
        <f>MATCH(MIN(X23:Z23),X23:Z23,0)</f>
        <v/>
      </c>
      <c r="AH23">
        <f>IF($AA23=1,$B23,NA())</f>
        <v/>
      </c>
      <c r="AI23">
        <f>IF($AA23=1,$C23,NA())</f>
        <v/>
      </c>
      <c r="AJ23">
        <f>IF($AA23=2,$B23,NA())</f>
        <v/>
      </c>
      <c r="AK23">
        <f>IF($AA23=2,$C23,NA())</f>
        <v/>
      </c>
      <c r="AL23">
        <f>IF($AA23=3,$B23,NA())</f>
        <v/>
      </c>
      <c r="AM23">
        <f>IF($AA23=3,$C23,NA())</f>
        <v/>
      </c>
    </row>
    <row r="24">
      <c r="A24">
        <f>Scale_PCA_Mechanics!A24</f>
        <v/>
      </c>
      <c r="B24">
        <f>Scale_PCA_Mechanics!G24</f>
        <v/>
      </c>
      <c r="C24">
        <f>Scale_PCA_Mechanics!H24</f>
        <v/>
      </c>
      <c r="D24">
        <f>Scale_PCA_Mechanics!I24</f>
        <v/>
      </c>
      <c r="E24">
        <f>Scale_PCA_Mechanics!J24</f>
        <v/>
      </c>
      <c r="M24">
        <f>SUMXMY2(B24:E24,$H$2:$K$2)</f>
        <v/>
      </c>
      <c r="N24">
        <f>SUMXMY2(B24:E24,$H$3:$K$3)</f>
        <v/>
      </c>
      <c r="O24">
        <f>SUMXMY2(B24:E24,$H$4:$K$4)</f>
        <v/>
      </c>
      <c r="P24">
        <f>MATCH(MIN(M24:O24),M24:O24,0)</f>
        <v/>
      </c>
      <c r="X24">
        <f>SUMXMY2(B24:E24,$S$2:$V$2)</f>
        <v/>
      </c>
      <c r="Y24">
        <f>SUMXMY2(B24:E24,$S$3:$V$3)</f>
        <v/>
      </c>
      <c r="Z24">
        <f>SUMXMY2(B24:E24,$S$4:$V$4)</f>
        <v/>
      </c>
      <c r="AA24">
        <f>MATCH(MIN(X24:Z24),X24:Z24,0)</f>
        <v/>
      </c>
      <c r="AH24">
        <f>IF($AA24=1,$B24,NA())</f>
        <v/>
      </c>
      <c r="AI24">
        <f>IF($AA24=1,$C24,NA())</f>
        <v/>
      </c>
      <c r="AJ24">
        <f>IF($AA24=2,$B24,NA())</f>
        <v/>
      </c>
      <c r="AK24">
        <f>IF($AA24=2,$C24,NA())</f>
        <v/>
      </c>
      <c r="AL24">
        <f>IF($AA24=3,$B24,NA())</f>
        <v/>
      </c>
      <c r="AM24">
        <f>IF($AA24=3,$C24,NA())</f>
        <v/>
      </c>
    </row>
    <row r="25">
      <c r="A25">
        <f>Scale_PCA_Mechanics!A25</f>
        <v/>
      </c>
      <c r="B25">
        <f>Scale_PCA_Mechanics!G25</f>
        <v/>
      </c>
      <c r="C25">
        <f>Scale_PCA_Mechanics!H25</f>
        <v/>
      </c>
      <c r="D25">
        <f>Scale_PCA_Mechanics!I25</f>
        <v/>
      </c>
      <c r="E25">
        <f>Scale_PCA_Mechanics!J25</f>
        <v/>
      </c>
      <c r="M25">
        <f>SUMXMY2(B25:E25,$H$2:$K$2)</f>
        <v/>
      </c>
      <c r="N25">
        <f>SUMXMY2(B25:E25,$H$3:$K$3)</f>
        <v/>
      </c>
      <c r="O25">
        <f>SUMXMY2(B25:E25,$H$4:$K$4)</f>
        <v/>
      </c>
      <c r="P25">
        <f>MATCH(MIN(M25:O25),M25:O25,0)</f>
        <v/>
      </c>
      <c r="X25">
        <f>SUMXMY2(B25:E25,$S$2:$V$2)</f>
        <v/>
      </c>
      <c r="Y25">
        <f>SUMXMY2(B25:E25,$S$3:$V$3)</f>
        <v/>
      </c>
      <c r="Z25">
        <f>SUMXMY2(B25:E25,$S$4:$V$4)</f>
        <v/>
      </c>
      <c r="AA25">
        <f>MATCH(MIN(X25:Z25),X25:Z25,0)</f>
        <v/>
      </c>
      <c r="AH25">
        <f>IF($AA25=1,$B25,NA())</f>
        <v/>
      </c>
      <c r="AI25">
        <f>IF($AA25=1,$C25,NA())</f>
        <v/>
      </c>
      <c r="AJ25">
        <f>IF($AA25=2,$B25,NA())</f>
        <v/>
      </c>
      <c r="AK25">
        <f>IF($AA25=2,$C25,NA())</f>
        <v/>
      </c>
      <c r="AL25">
        <f>IF($AA25=3,$B25,NA())</f>
        <v/>
      </c>
      <c r="AM25">
        <f>IF($AA25=3,$C25,NA())</f>
        <v/>
      </c>
    </row>
    <row r="26">
      <c r="A26">
        <f>Scale_PCA_Mechanics!A26</f>
        <v/>
      </c>
      <c r="B26">
        <f>Scale_PCA_Mechanics!G26</f>
        <v/>
      </c>
      <c r="C26">
        <f>Scale_PCA_Mechanics!H26</f>
        <v/>
      </c>
      <c r="D26">
        <f>Scale_PCA_Mechanics!I26</f>
        <v/>
      </c>
      <c r="E26">
        <f>Scale_PCA_Mechanics!J26</f>
        <v/>
      </c>
      <c r="M26">
        <f>SUMXMY2(B26:E26,$H$2:$K$2)</f>
        <v/>
      </c>
      <c r="N26">
        <f>SUMXMY2(B26:E26,$H$3:$K$3)</f>
        <v/>
      </c>
      <c r="O26">
        <f>SUMXMY2(B26:E26,$H$4:$K$4)</f>
        <v/>
      </c>
      <c r="P26">
        <f>MATCH(MIN(M26:O26),M26:O26,0)</f>
        <v/>
      </c>
      <c r="X26">
        <f>SUMXMY2(B26:E26,$S$2:$V$2)</f>
        <v/>
      </c>
      <c r="Y26">
        <f>SUMXMY2(B26:E26,$S$3:$V$3)</f>
        <v/>
      </c>
      <c r="Z26">
        <f>SUMXMY2(B26:E26,$S$4:$V$4)</f>
        <v/>
      </c>
      <c r="AA26">
        <f>MATCH(MIN(X26:Z26),X26:Z26,0)</f>
        <v/>
      </c>
      <c r="AH26">
        <f>IF($AA26=1,$B26,NA())</f>
        <v/>
      </c>
      <c r="AI26">
        <f>IF($AA26=1,$C26,NA())</f>
        <v/>
      </c>
      <c r="AJ26">
        <f>IF($AA26=2,$B26,NA())</f>
        <v/>
      </c>
      <c r="AK26">
        <f>IF($AA26=2,$C26,NA())</f>
        <v/>
      </c>
      <c r="AL26">
        <f>IF($AA26=3,$B26,NA())</f>
        <v/>
      </c>
      <c r="AM26">
        <f>IF($AA26=3,$C26,NA())</f>
        <v/>
      </c>
    </row>
    <row r="27">
      <c r="A27">
        <f>Scale_PCA_Mechanics!A27</f>
        <v/>
      </c>
      <c r="B27">
        <f>Scale_PCA_Mechanics!G27</f>
        <v/>
      </c>
      <c r="C27">
        <f>Scale_PCA_Mechanics!H27</f>
        <v/>
      </c>
      <c r="D27">
        <f>Scale_PCA_Mechanics!I27</f>
        <v/>
      </c>
      <c r="E27">
        <f>Scale_PCA_Mechanics!J27</f>
        <v/>
      </c>
      <c r="M27">
        <f>SUMXMY2(B27:E27,$H$2:$K$2)</f>
        <v/>
      </c>
      <c r="N27">
        <f>SUMXMY2(B27:E27,$H$3:$K$3)</f>
        <v/>
      </c>
      <c r="O27">
        <f>SUMXMY2(B27:E27,$H$4:$K$4)</f>
        <v/>
      </c>
      <c r="P27">
        <f>MATCH(MIN(M27:O27),M27:O27,0)</f>
        <v/>
      </c>
      <c r="X27">
        <f>SUMXMY2(B27:E27,$S$2:$V$2)</f>
        <v/>
      </c>
      <c r="Y27">
        <f>SUMXMY2(B27:E27,$S$3:$V$3)</f>
        <v/>
      </c>
      <c r="Z27">
        <f>SUMXMY2(B27:E27,$S$4:$V$4)</f>
        <v/>
      </c>
      <c r="AA27">
        <f>MATCH(MIN(X27:Z27),X27:Z27,0)</f>
        <v/>
      </c>
      <c r="AH27">
        <f>IF($AA27=1,$B27,NA())</f>
        <v/>
      </c>
      <c r="AI27">
        <f>IF($AA27=1,$C27,NA())</f>
        <v/>
      </c>
      <c r="AJ27">
        <f>IF($AA27=2,$B27,NA())</f>
        <v/>
      </c>
      <c r="AK27">
        <f>IF($AA27=2,$C27,NA())</f>
        <v/>
      </c>
      <c r="AL27">
        <f>IF($AA27=3,$B27,NA())</f>
        <v/>
      </c>
      <c r="AM27">
        <f>IF($AA27=3,$C27,NA())</f>
        <v/>
      </c>
    </row>
    <row r="28">
      <c r="A28">
        <f>Scale_PCA_Mechanics!A28</f>
        <v/>
      </c>
      <c r="B28">
        <f>Scale_PCA_Mechanics!G28</f>
        <v/>
      </c>
      <c r="C28">
        <f>Scale_PCA_Mechanics!H28</f>
        <v/>
      </c>
      <c r="D28">
        <f>Scale_PCA_Mechanics!I28</f>
        <v/>
      </c>
      <c r="E28">
        <f>Scale_PCA_Mechanics!J28</f>
        <v/>
      </c>
      <c r="M28">
        <f>SUMXMY2(B28:E28,$H$2:$K$2)</f>
        <v/>
      </c>
      <c r="N28">
        <f>SUMXMY2(B28:E28,$H$3:$K$3)</f>
        <v/>
      </c>
      <c r="O28">
        <f>SUMXMY2(B28:E28,$H$4:$K$4)</f>
        <v/>
      </c>
      <c r="P28">
        <f>MATCH(MIN(M28:O28),M28:O28,0)</f>
        <v/>
      </c>
      <c r="X28">
        <f>SUMXMY2(B28:E28,$S$2:$V$2)</f>
        <v/>
      </c>
      <c r="Y28">
        <f>SUMXMY2(B28:E28,$S$3:$V$3)</f>
        <v/>
      </c>
      <c r="Z28">
        <f>SUMXMY2(B28:E28,$S$4:$V$4)</f>
        <v/>
      </c>
      <c r="AA28">
        <f>MATCH(MIN(X28:Z28),X28:Z28,0)</f>
        <v/>
      </c>
      <c r="AH28">
        <f>IF($AA28=1,$B28,NA())</f>
        <v/>
      </c>
      <c r="AI28">
        <f>IF($AA28=1,$C28,NA())</f>
        <v/>
      </c>
      <c r="AJ28">
        <f>IF($AA28=2,$B28,NA())</f>
        <v/>
      </c>
      <c r="AK28">
        <f>IF($AA28=2,$C28,NA())</f>
        <v/>
      </c>
      <c r="AL28">
        <f>IF($AA28=3,$B28,NA())</f>
        <v/>
      </c>
      <c r="AM28">
        <f>IF($AA28=3,$C28,NA())</f>
        <v/>
      </c>
    </row>
    <row r="29">
      <c r="A29">
        <f>Scale_PCA_Mechanics!A29</f>
        <v/>
      </c>
      <c r="B29">
        <f>Scale_PCA_Mechanics!G29</f>
        <v/>
      </c>
      <c r="C29">
        <f>Scale_PCA_Mechanics!H29</f>
        <v/>
      </c>
      <c r="D29">
        <f>Scale_PCA_Mechanics!I29</f>
        <v/>
      </c>
      <c r="E29">
        <f>Scale_PCA_Mechanics!J29</f>
        <v/>
      </c>
      <c r="M29">
        <f>SUMXMY2(B29:E29,$H$2:$K$2)</f>
        <v/>
      </c>
      <c r="N29">
        <f>SUMXMY2(B29:E29,$H$3:$K$3)</f>
        <v/>
      </c>
      <c r="O29">
        <f>SUMXMY2(B29:E29,$H$4:$K$4)</f>
        <v/>
      </c>
      <c r="P29">
        <f>MATCH(MIN(M29:O29),M29:O29,0)</f>
        <v/>
      </c>
      <c r="X29">
        <f>SUMXMY2(B29:E29,$S$2:$V$2)</f>
        <v/>
      </c>
      <c r="Y29">
        <f>SUMXMY2(B29:E29,$S$3:$V$3)</f>
        <v/>
      </c>
      <c r="Z29">
        <f>SUMXMY2(B29:E29,$S$4:$V$4)</f>
        <v/>
      </c>
      <c r="AA29">
        <f>MATCH(MIN(X29:Z29),X29:Z29,0)</f>
        <v/>
      </c>
      <c r="AH29">
        <f>IF($AA29=1,$B29,NA())</f>
        <v/>
      </c>
      <c r="AI29">
        <f>IF($AA29=1,$C29,NA())</f>
        <v/>
      </c>
      <c r="AJ29">
        <f>IF($AA29=2,$B29,NA())</f>
        <v/>
      </c>
      <c r="AK29">
        <f>IF($AA29=2,$C29,NA())</f>
        <v/>
      </c>
      <c r="AL29">
        <f>IF($AA29=3,$B29,NA())</f>
        <v/>
      </c>
      <c r="AM29">
        <f>IF($AA29=3,$C29,NA())</f>
        <v/>
      </c>
    </row>
    <row r="30">
      <c r="A30">
        <f>Scale_PCA_Mechanics!A30</f>
        <v/>
      </c>
      <c r="B30">
        <f>Scale_PCA_Mechanics!G30</f>
        <v/>
      </c>
      <c r="C30">
        <f>Scale_PCA_Mechanics!H30</f>
        <v/>
      </c>
      <c r="D30">
        <f>Scale_PCA_Mechanics!I30</f>
        <v/>
      </c>
      <c r="E30">
        <f>Scale_PCA_Mechanics!J30</f>
        <v/>
      </c>
      <c r="M30">
        <f>SUMXMY2(B30:E30,$H$2:$K$2)</f>
        <v/>
      </c>
      <c r="N30">
        <f>SUMXMY2(B30:E30,$H$3:$K$3)</f>
        <v/>
      </c>
      <c r="O30">
        <f>SUMXMY2(B30:E30,$H$4:$K$4)</f>
        <v/>
      </c>
      <c r="P30">
        <f>MATCH(MIN(M30:O30),M30:O30,0)</f>
        <v/>
      </c>
      <c r="X30">
        <f>SUMXMY2(B30:E30,$S$2:$V$2)</f>
        <v/>
      </c>
      <c r="Y30">
        <f>SUMXMY2(B30:E30,$S$3:$V$3)</f>
        <v/>
      </c>
      <c r="Z30">
        <f>SUMXMY2(B30:E30,$S$4:$V$4)</f>
        <v/>
      </c>
      <c r="AA30">
        <f>MATCH(MIN(X30:Z30),X30:Z30,0)</f>
        <v/>
      </c>
      <c r="AH30">
        <f>IF($AA30=1,$B30,NA())</f>
        <v/>
      </c>
      <c r="AI30">
        <f>IF($AA30=1,$C30,NA())</f>
        <v/>
      </c>
      <c r="AJ30">
        <f>IF($AA30=2,$B30,NA())</f>
        <v/>
      </c>
      <c r="AK30">
        <f>IF($AA30=2,$C30,NA())</f>
        <v/>
      </c>
      <c r="AL30">
        <f>IF($AA30=3,$B30,NA())</f>
        <v/>
      </c>
      <c r="AM30">
        <f>IF($AA30=3,$C30,NA())</f>
        <v/>
      </c>
    </row>
    <row r="31">
      <c r="A31">
        <f>Scale_PCA_Mechanics!A31</f>
        <v/>
      </c>
      <c r="B31">
        <f>Scale_PCA_Mechanics!G31</f>
        <v/>
      </c>
      <c r="C31">
        <f>Scale_PCA_Mechanics!H31</f>
        <v/>
      </c>
      <c r="D31">
        <f>Scale_PCA_Mechanics!I31</f>
        <v/>
      </c>
      <c r="E31">
        <f>Scale_PCA_Mechanics!J31</f>
        <v/>
      </c>
      <c r="M31">
        <f>SUMXMY2(B31:E31,$H$2:$K$2)</f>
        <v/>
      </c>
      <c r="N31">
        <f>SUMXMY2(B31:E31,$H$3:$K$3)</f>
        <v/>
      </c>
      <c r="O31">
        <f>SUMXMY2(B31:E31,$H$4:$K$4)</f>
        <v/>
      </c>
      <c r="P31">
        <f>MATCH(MIN(M31:O31),M31:O31,0)</f>
        <v/>
      </c>
      <c r="X31">
        <f>SUMXMY2(B31:E31,$S$2:$V$2)</f>
        <v/>
      </c>
      <c r="Y31">
        <f>SUMXMY2(B31:E31,$S$3:$V$3)</f>
        <v/>
      </c>
      <c r="Z31">
        <f>SUMXMY2(B31:E31,$S$4:$V$4)</f>
        <v/>
      </c>
      <c r="AA31">
        <f>MATCH(MIN(X31:Z31),X31:Z31,0)</f>
        <v/>
      </c>
      <c r="AH31">
        <f>IF($AA31=1,$B31,NA())</f>
        <v/>
      </c>
      <c r="AI31">
        <f>IF($AA31=1,$C31,NA())</f>
        <v/>
      </c>
      <c r="AJ31">
        <f>IF($AA31=2,$B31,NA())</f>
        <v/>
      </c>
      <c r="AK31">
        <f>IF($AA31=2,$C31,NA())</f>
        <v/>
      </c>
      <c r="AL31">
        <f>IF($AA31=3,$B31,NA())</f>
        <v/>
      </c>
      <c r="AM31">
        <f>IF($AA31=3,$C31,NA())</f>
        <v/>
      </c>
    </row>
    <row r="32">
      <c r="A32">
        <f>Scale_PCA_Mechanics!A32</f>
        <v/>
      </c>
      <c r="B32">
        <f>Scale_PCA_Mechanics!G32</f>
        <v/>
      </c>
      <c r="C32">
        <f>Scale_PCA_Mechanics!H32</f>
        <v/>
      </c>
      <c r="D32">
        <f>Scale_PCA_Mechanics!I32</f>
        <v/>
      </c>
      <c r="E32">
        <f>Scale_PCA_Mechanics!J32</f>
        <v/>
      </c>
      <c r="M32">
        <f>SUMXMY2(B32:E32,$H$2:$K$2)</f>
        <v/>
      </c>
      <c r="N32">
        <f>SUMXMY2(B32:E32,$H$3:$K$3)</f>
        <v/>
      </c>
      <c r="O32">
        <f>SUMXMY2(B32:E32,$H$4:$K$4)</f>
        <v/>
      </c>
      <c r="P32">
        <f>MATCH(MIN(M32:O32),M32:O32,0)</f>
        <v/>
      </c>
      <c r="X32">
        <f>SUMXMY2(B32:E32,$S$2:$V$2)</f>
        <v/>
      </c>
      <c r="Y32">
        <f>SUMXMY2(B32:E32,$S$3:$V$3)</f>
        <v/>
      </c>
      <c r="Z32">
        <f>SUMXMY2(B32:E32,$S$4:$V$4)</f>
        <v/>
      </c>
      <c r="AA32">
        <f>MATCH(MIN(X32:Z32),X32:Z32,0)</f>
        <v/>
      </c>
      <c r="AH32">
        <f>IF($AA32=1,$B32,NA())</f>
        <v/>
      </c>
      <c r="AI32">
        <f>IF($AA32=1,$C32,NA())</f>
        <v/>
      </c>
      <c r="AJ32">
        <f>IF($AA32=2,$B32,NA())</f>
        <v/>
      </c>
      <c r="AK32">
        <f>IF($AA32=2,$C32,NA())</f>
        <v/>
      </c>
      <c r="AL32">
        <f>IF($AA32=3,$B32,NA())</f>
        <v/>
      </c>
      <c r="AM32">
        <f>IF($AA32=3,$C32,NA())</f>
        <v/>
      </c>
    </row>
    <row r="33">
      <c r="A33">
        <f>Scale_PCA_Mechanics!A33</f>
        <v/>
      </c>
      <c r="B33">
        <f>Scale_PCA_Mechanics!G33</f>
        <v/>
      </c>
      <c r="C33">
        <f>Scale_PCA_Mechanics!H33</f>
        <v/>
      </c>
      <c r="D33">
        <f>Scale_PCA_Mechanics!I33</f>
        <v/>
      </c>
      <c r="E33">
        <f>Scale_PCA_Mechanics!J33</f>
        <v/>
      </c>
      <c r="M33">
        <f>SUMXMY2(B33:E33,$H$2:$K$2)</f>
        <v/>
      </c>
      <c r="N33">
        <f>SUMXMY2(B33:E33,$H$3:$K$3)</f>
        <v/>
      </c>
      <c r="O33">
        <f>SUMXMY2(B33:E33,$H$4:$K$4)</f>
        <v/>
      </c>
      <c r="P33">
        <f>MATCH(MIN(M33:O33),M33:O33,0)</f>
        <v/>
      </c>
      <c r="X33">
        <f>SUMXMY2(B33:E33,$S$2:$V$2)</f>
        <v/>
      </c>
      <c r="Y33">
        <f>SUMXMY2(B33:E33,$S$3:$V$3)</f>
        <v/>
      </c>
      <c r="Z33">
        <f>SUMXMY2(B33:E33,$S$4:$V$4)</f>
        <v/>
      </c>
      <c r="AA33">
        <f>MATCH(MIN(X33:Z33),X33:Z33,0)</f>
        <v/>
      </c>
      <c r="AH33">
        <f>IF($AA33=1,$B33,NA())</f>
        <v/>
      </c>
      <c r="AI33">
        <f>IF($AA33=1,$C33,NA())</f>
        <v/>
      </c>
      <c r="AJ33">
        <f>IF($AA33=2,$B33,NA())</f>
        <v/>
      </c>
      <c r="AK33">
        <f>IF($AA33=2,$C33,NA())</f>
        <v/>
      </c>
      <c r="AL33">
        <f>IF($AA33=3,$B33,NA())</f>
        <v/>
      </c>
      <c r="AM33">
        <f>IF($AA33=3,$C33,NA())</f>
        <v/>
      </c>
    </row>
    <row r="34">
      <c r="A34">
        <f>Scale_PCA_Mechanics!A34</f>
        <v/>
      </c>
      <c r="B34">
        <f>Scale_PCA_Mechanics!G34</f>
        <v/>
      </c>
      <c r="C34">
        <f>Scale_PCA_Mechanics!H34</f>
        <v/>
      </c>
      <c r="D34">
        <f>Scale_PCA_Mechanics!I34</f>
        <v/>
      </c>
      <c r="E34">
        <f>Scale_PCA_Mechanics!J34</f>
        <v/>
      </c>
      <c r="M34">
        <f>SUMXMY2(B34:E34,$H$2:$K$2)</f>
        <v/>
      </c>
      <c r="N34">
        <f>SUMXMY2(B34:E34,$H$3:$K$3)</f>
        <v/>
      </c>
      <c r="O34">
        <f>SUMXMY2(B34:E34,$H$4:$K$4)</f>
        <v/>
      </c>
      <c r="P34">
        <f>MATCH(MIN(M34:O34),M34:O34,0)</f>
        <v/>
      </c>
      <c r="X34">
        <f>SUMXMY2(B34:E34,$S$2:$V$2)</f>
        <v/>
      </c>
      <c r="Y34">
        <f>SUMXMY2(B34:E34,$S$3:$V$3)</f>
        <v/>
      </c>
      <c r="Z34">
        <f>SUMXMY2(B34:E34,$S$4:$V$4)</f>
        <v/>
      </c>
      <c r="AA34">
        <f>MATCH(MIN(X34:Z34),X34:Z34,0)</f>
        <v/>
      </c>
      <c r="AH34">
        <f>IF($AA34=1,$B34,NA())</f>
        <v/>
      </c>
      <c r="AI34">
        <f>IF($AA34=1,$C34,NA())</f>
        <v/>
      </c>
      <c r="AJ34">
        <f>IF($AA34=2,$B34,NA())</f>
        <v/>
      </c>
      <c r="AK34">
        <f>IF($AA34=2,$C34,NA())</f>
        <v/>
      </c>
      <c r="AL34">
        <f>IF($AA34=3,$B34,NA())</f>
        <v/>
      </c>
      <c r="AM34">
        <f>IF($AA34=3,$C34,NA())</f>
        <v/>
      </c>
    </row>
    <row r="35">
      <c r="A35">
        <f>Scale_PCA_Mechanics!A35</f>
        <v/>
      </c>
      <c r="B35">
        <f>Scale_PCA_Mechanics!G35</f>
        <v/>
      </c>
      <c r="C35">
        <f>Scale_PCA_Mechanics!H35</f>
        <v/>
      </c>
      <c r="D35">
        <f>Scale_PCA_Mechanics!I35</f>
        <v/>
      </c>
      <c r="E35">
        <f>Scale_PCA_Mechanics!J35</f>
        <v/>
      </c>
      <c r="M35">
        <f>SUMXMY2(B35:E35,$H$2:$K$2)</f>
        <v/>
      </c>
      <c r="N35">
        <f>SUMXMY2(B35:E35,$H$3:$K$3)</f>
        <v/>
      </c>
      <c r="O35">
        <f>SUMXMY2(B35:E35,$H$4:$K$4)</f>
        <v/>
      </c>
      <c r="P35">
        <f>MATCH(MIN(M35:O35),M35:O35,0)</f>
        <v/>
      </c>
      <c r="X35">
        <f>SUMXMY2(B35:E35,$S$2:$V$2)</f>
        <v/>
      </c>
      <c r="Y35">
        <f>SUMXMY2(B35:E35,$S$3:$V$3)</f>
        <v/>
      </c>
      <c r="Z35">
        <f>SUMXMY2(B35:E35,$S$4:$V$4)</f>
        <v/>
      </c>
      <c r="AA35">
        <f>MATCH(MIN(X35:Z35),X35:Z35,0)</f>
        <v/>
      </c>
      <c r="AH35">
        <f>IF($AA35=1,$B35,NA())</f>
        <v/>
      </c>
      <c r="AI35">
        <f>IF($AA35=1,$C35,NA())</f>
        <v/>
      </c>
      <c r="AJ35">
        <f>IF($AA35=2,$B35,NA())</f>
        <v/>
      </c>
      <c r="AK35">
        <f>IF($AA35=2,$C35,NA())</f>
        <v/>
      </c>
      <c r="AL35">
        <f>IF($AA35=3,$B35,NA())</f>
        <v/>
      </c>
      <c r="AM35">
        <f>IF($AA35=3,$C35,NA())</f>
        <v/>
      </c>
    </row>
    <row r="36">
      <c r="A36">
        <f>Scale_PCA_Mechanics!A36</f>
        <v/>
      </c>
      <c r="B36">
        <f>Scale_PCA_Mechanics!G36</f>
        <v/>
      </c>
      <c r="C36">
        <f>Scale_PCA_Mechanics!H36</f>
        <v/>
      </c>
      <c r="D36">
        <f>Scale_PCA_Mechanics!I36</f>
        <v/>
      </c>
      <c r="E36">
        <f>Scale_PCA_Mechanics!J36</f>
        <v/>
      </c>
      <c r="M36">
        <f>SUMXMY2(B36:E36,$H$2:$K$2)</f>
        <v/>
      </c>
      <c r="N36">
        <f>SUMXMY2(B36:E36,$H$3:$K$3)</f>
        <v/>
      </c>
      <c r="O36">
        <f>SUMXMY2(B36:E36,$H$4:$K$4)</f>
        <v/>
      </c>
      <c r="P36">
        <f>MATCH(MIN(M36:O36),M36:O36,0)</f>
        <v/>
      </c>
      <c r="X36">
        <f>SUMXMY2(B36:E36,$S$2:$V$2)</f>
        <v/>
      </c>
      <c r="Y36">
        <f>SUMXMY2(B36:E36,$S$3:$V$3)</f>
        <v/>
      </c>
      <c r="Z36">
        <f>SUMXMY2(B36:E36,$S$4:$V$4)</f>
        <v/>
      </c>
      <c r="AA36">
        <f>MATCH(MIN(X36:Z36),X36:Z36,0)</f>
        <v/>
      </c>
      <c r="AH36">
        <f>IF($AA36=1,$B36,NA())</f>
        <v/>
      </c>
      <c r="AI36">
        <f>IF($AA36=1,$C36,NA())</f>
        <v/>
      </c>
      <c r="AJ36">
        <f>IF($AA36=2,$B36,NA())</f>
        <v/>
      </c>
      <c r="AK36">
        <f>IF($AA36=2,$C36,NA())</f>
        <v/>
      </c>
      <c r="AL36">
        <f>IF($AA36=3,$B36,NA())</f>
        <v/>
      </c>
      <c r="AM36">
        <f>IF($AA36=3,$C36,NA())</f>
        <v/>
      </c>
    </row>
    <row r="37">
      <c r="A37">
        <f>Scale_PCA_Mechanics!A37</f>
        <v/>
      </c>
      <c r="B37">
        <f>Scale_PCA_Mechanics!G37</f>
        <v/>
      </c>
      <c r="C37">
        <f>Scale_PCA_Mechanics!H37</f>
        <v/>
      </c>
      <c r="D37">
        <f>Scale_PCA_Mechanics!I37</f>
        <v/>
      </c>
      <c r="E37">
        <f>Scale_PCA_Mechanics!J37</f>
        <v/>
      </c>
      <c r="M37">
        <f>SUMXMY2(B37:E37,$H$2:$K$2)</f>
        <v/>
      </c>
      <c r="N37">
        <f>SUMXMY2(B37:E37,$H$3:$K$3)</f>
        <v/>
      </c>
      <c r="O37">
        <f>SUMXMY2(B37:E37,$H$4:$K$4)</f>
        <v/>
      </c>
      <c r="P37">
        <f>MATCH(MIN(M37:O37),M37:O37,0)</f>
        <v/>
      </c>
      <c r="X37">
        <f>SUMXMY2(B37:E37,$S$2:$V$2)</f>
        <v/>
      </c>
      <c r="Y37">
        <f>SUMXMY2(B37:E37,$S$3:$V$3)</f>
        <v/>
      </c>
      <c r="Z37">
        <f>SUMXMY2(B37:E37,$S$4:$V$4)</f>
        <v/>
      </c>
      <c r="AA37">
        <f>MATCH(MIN(X37:Z37),X37:Z37,0)</f>
        <v/>
      </c>
      <c r="AH37">
        <f>IF($AA37=1,$B37,NA())</f>
        <v/>
      </c>
      <c r="AI37">
        <f>IF($AA37=1,$C37,NA())</f>
        <v/>
      </c>
      <c r="AJ37">
        <f>IF($AA37=2,$B37,NA())</f>
        <v/>
      </c>
      <c r="AK37">
        <f>IF($AA37=2,$C37,NA())</f>
        <v/>
      </c>
      <c r="AL37">
        <f>IF($AA37=3,$B37,NA())</f>
        <v/>
      </c>
      <c r="AM37">
        <f>IF($AA37=3,$C37,NA())</f>
        <v/>
      </c>
    </row>
    <row r="38">
      <c r="A38">
        <f>Scale_PCA_Mechanics!A38</f>
        <v/>
      </c>
      <c r="B38">
        <f>Scale_PCA_Mechanics!G38</f>
        <v/>
      </c>
      <c r="C38">
        <f>Scale_PCA_Mechanics!H38</f>
        <v/>
      </c>
      <c r="D38">
        <f>Scale_PCA_Mechanics!I38</f>
        <v/>
      </c>
      <c r="E38">
        <f>Scale_PCA_Mechanics!J38</f>
        <v/>
      </c>
      <c r="M38">
        <f>SUMXMY2(B38:E38,$H$2:$K$2)</f>
        <v/>
      </c>
      <c r="N38">
        <f>SUMXMY2(B38:E38,$H$3:$K$3)</f>
        <v/>
      </c>
      <c r="O38">
        <f>SUMXMY2(B38:E38,$H$4:$K$4)</f>
        <v/>
      </c>
      <c r="P38">
        <f>MATCH(MIN(M38:O38),M38:O38,0)</f>
        <v/>
      </c>
      <c r="X38">
        <f>SUMXMY2(B38:E38,$S$2:$V$2)</f>
        <v/>
      </c>
      <c r="Y38">
        <f>SUMXMY2(B38:E38,$S$3:$V$3)</f>
        <v/>
      </c>
      <c r="Z38">
        <f>SUMXMY2(B38:E38,$S$4:$V$4)</f>
        <v/>
      </c>
      <c r="AA38">
        <f>MATCH(MIN(X38:Z38),X38:Z38,0)</f>
        <v/>
      </c>
      <c r="AH38">
        <f>IF($AA38=1,$B38,NA())</f>
        <v/>
      </c>
      <c r="AI38">
        <f>IF($AA38=1,$C38,NA())</f>
        <v/>
      </c>
      <c r="AJ38">
        <f>IF($AA38=2,$B38,NA())</f>
        <v/>
      </c>
      <c r="AK38">
        <f>IF($AA38=2,$C38,NA())</f>
        <v/>
      </c>
      <c r="AL38">
        <f>IF($AA38=3,$B38,NA())</f>
        <v/>
      </c>
      <c r="AM38">
        <f>IF($AA38=3,$C38,NA())</f>
        <v/>
      </c>
    </row>
    <row r="39">
      <c r="A39">
        <f>Scale_PCA_Mechanics!A39</f>
        <v/>
      </c>
      <c r="B39">
        <f>Scale_PCA_Mechanics!G39</f>
        <v/>
      </c>
      <c r="C39">
        <f>Scale_PCA_Mechanics!H39</f>
        <v/>
      </c>
      <c r="D39">
        <f>Scale_PCA_Mechanics!I39</f>
        <v/>
      </c>
      <c r="E39">
        <f>Scale_PCA_Mechanics!J39</f>
        <v/>
      </c>
      <c r="M39">
        <f>SUMXMY2(B39:E39,$H$2:$K$2)</f>
        <v/>
      </c>
      <c r="N39">
        <f>SUMXMY2(B39:E39,$H$3:$K$3)</f>
        <v/>
      </c>
      <c r="O39">
        <f>SUMXMY2(B39:E39,$H$4:$K$4)</f>
        <v/>
      </c>
      <c r="P39">
        <f>MATCH(MIN(M39:O39),M39:O39,0)</f>
        <v/>
      </c>
      <c r="X39">
        <f>SUMXMY2(B39:E39,$S$2:$V$2)</f>
        <v/>
      </c>
      <c r="Y39">
        <f>SUMXMY2(B39:E39,$S$3:$V$3)</f>
        <v/>
      </c>
      <c r="Z39">
        <f>SUMXMY2(B39:E39,$S$4:$V$4)</f>
        <v/>
      </c>
      <c r="AA39">
        <f>MATCH(MIN(X39:Z39),X39:Z39,0)</f>
        <v/>
      </c>
      <c r="AH39">
        <f>IF($AA39=1,$B39,NA())</f>
        <v/>
      </c>
      <c r="AI39">
        <f>IF($AA39=1,$C39,NA())</f>
        <v/>
      </c>
      <c r="AJ39">
        <f>IF($AA39=2,$B39,NA())</f>
        <v/>
      </c>
      <c r="AK39">
        <f>IF($AA39=2,$C39,NA())</f>
        <v/>
      </c>
      <c r="AL39">
        <f>IF($AA39=3,$B39,NA())</f>
        <v/>
      </c>
      <c r="AM39">
        <f>IF($AA39=3,$C39,NA())</f>
        <v/>
      </c>
    </row>
    <row r="40">
      <c r="A40">
        <f>Scale_PCA_Mechanics!A40</f>
        <v/>
      </c>
      <c r="B40">
        <f>Scale_PCA_Mechanics!G40</f>
        <v/>
      </c>
      <c r="C40">
        <f>Scale_PCA_Mechanics!H40</f>
        <v/>
      </c>
      <c r="D40">
        <f>Scale_PCA_Mechanics!I40</f>
        <v/>
      </c>
      <c r="E40">
        <f>Scale_PCA_Mechanics!J40</f>
        <v/>
      </c>
      <c r="M40">
        <f>SUMXMY2(B40:E40,$H$2:$K$2)</f>
        <v/>
      </c>
      <c r="N40">
        <f>SUMXMY2(B40:E40,$H$3:$K$3)</f>
        <v/>
      </c>
      <c r="O40">
        <f>SUMXMY2(B40:E40,$H$4:$K$4)</f>
        <v/>
      </c>
      <c r="P40">
        <f>MATCH(MIN(M40:O40),M40:O40,0)</f>
        <v/>
      </c>
      <c r="X40">
        <f>SUMXMY2(B40:E40,$S$2:$V$2)</f>
        <v/>
      </c>
      <c r="Y40">
        <f>SUMXMY2(B40:E40,$S$3:$V$3)</f>
        <v/>
      </c>
      <c r="Z40">
        <f>SUMXMY2(B40:E40,$S$4:$V$4)</f>
        <v/>
      </c>
      <c r="AA40">
        <f>MATCH(MIN(X40:Z40),X40:Z40,0)</f>
        <v/>
      </c>
      <c r="AH40">
        <f>IF($AA40=1,$B40,NA())</f>
        <v/>
      </c>
      <c r="AI40">
        <f>IF($AA40=1,$C40,NA())</f>
        <v/>
      </c>
      <c r="AJ40">
        <f>IF($AA40=2,$B40,NA())</f>
        <v/>
      </c>
      <c r="AK40">
        <f>IF($AA40=2,$C40,NA())</f>
        <v/>
      </c>
      <c r="AL40">
        <f>IF($AA40=3,$B40,NA())</f>
        <v/>
      </c>
      <c r="AM40">
        <f>IF($AA40=3,$C40,NA())</f>
        <v/>
      </c>
    </row>
    <row r="41">
      <c r="A41">
        <f>Scale_PCA_Mechanics!A41</f>
        <v/>
      </c>
      <c r="B41">
        <f>Scale_PCA_Mechanics!G41</f>
        <v/>
      </c>
      <c r="C41">
        <f>Scale_PCA_Mechanics!H41</f>
        <v/>
      </c>
      <c r="D41">
        <f>Scale_PCA_Mechanics!I41</f>
        <v/>
      </c>
      <c r="E41">
        <f>Scale_PCA_Mechanics!J41</f>
        <v/>
      </c>
      <c r="M41">
        <f>SUMXMY2(B41:E41,$H$2:$K$2)</f>
        <v/>
      </c>
      <c r="N41">
        <f>SUMXMY2(B41:E41,$H$3:$K$3)</f>
        <v/>
      </c>
      <c r="O41">
        <f>SUMXMY2(B41:E41,$H$4:$K$4)</f>
        <v/>
      </c>
      <c r="P41">
        <f>MATCH(MIN(M41:O41),M41:O41,0)</f>
        <v/>
      </c>
      <c r="X41">
        <f>SUMXMY2(B41:E41,$S$2:$V$2)</f>
        <v/>
      </c>
      <c r="Y41">
        <f>SUMXMY2(B41:E41,$S$3:$V$3)</f>
        <v/>
      </c>
      <c r="Z41">
        <f>SUMXMY2(B41:E41,$S$4:$V$4)</f>
        <v/>
      </c>
      <c r="AA41">
        <f>MATCH(MIN(X41:Z41),X41:Z41,0)</f>
        <v/>
      </c>
      <c r="AH41">
        <f>IF($AA41=1,$B41,NA())</f>
        <v/>
      </c>
      <c r="AI41">
        <f>IF($AA41=1,$C41,NA())</f>
        <v/>
      </c>
      <c r="AJ41">
        <f>IF($AA41=2,$B41,NA())</f>
        <v/>
      </c>
      <c r="AK41">
        <f>IF($AA41=2,$C41,NA())</f>
        <v/>
      </c>
      <c r="AL41">
        <f>IF($AA41=3,$B41,NA())</f>
        <v/>
      </c>
      <c r="AM41">
        <f>IF($AA41=3,$C41,NA())</f>
        <v/>
      </c>
    </row>
    <row r="42">
      <c r="A42">
        <f>Scale_PCA_Mechanics!A42</f>
        <v/>
      </c>
      <c r="B42">
        <f>Scale_PCA_Mechanics!G42</f>
        <v/>
      </c>
      <c r="C42">
        <f>Scale_PCA_Mechanics!H42</f>
        <v/>
      </c>
      <c r="D42">
        <f>Scale_PCA_Mechanics!I42</f>
        <v/>
      </c>
      <c r="E42">
        <f>Scale_PCA_Mechanics!J42</f>
        <v/>
      </c>
      <c r="M42">
        <f>SUMXMY2(B42:E42,$H$2:$K$2)</f>
        <v/>
      </c>
      <c r="N42">
        <f>SUMXMY2(B42:E42,$H$3:$K$3)</f>
        <v/>
      </c>
      <c r="O42">
        <f>SUMXMY2(B42:E42,$H$4:$K$4)</f>
        <v/>
      </c>
      <c r="P42">
        <f>MATCH(MIN(M42:O42),M42:O42,0)</f>
        <v/>
      </c>
      <c r="X42">
        <f>SUMXMY2(B42:E42,$S$2:$V$2)</f>
        <v/>
      </c>
      <c r="Y42">
        <f>SUMXMY2(B42:E42,$S$3:$V$3)</f>
        <v/>
      </c>
      <c r="Z42">
        <f>SUMXMY2(B42:E42,$S$4:$V$4)</f>
        <v/>
      </c>
      <c r="AA42">
        <f>MATCH(MIN(X42:Z42),X42:Z42,0)</f>
        <v/>
      </c>
      <c r="AH42">
        <f>IF($AA42=1,$B42,NA())</f>
        <v/>
      </c>
      <c r="AI42">
        <f>IF($AA42=1,$C42,NA())</f>
        <v/>
      </c>
      <c r="AJ42">
        <f>IF($AA42=2,$B42,NA())</f>
        <v/>
      </c>
      <c r="AK42">
        <f>IF($AA42=2,$C42,NA())</f>
        <v/>
      </c>
      <c r="AL42">
        <f>IF($AA42=3,$B42,NA())</f>
        <v/>
      </c>
      <c r="AM42">
        <f>IF($AA42=3,$C42,NA())</f>
        <v/>
      </c>
    </row>
    <row r="43">
      <c r="A43">
        <f>Scale_PCA_Mechanics!A43</f>
        <v/>
      </c>
      <c r="B43">
        <f>Scale_PCA_Mechanics!G43</f>
        <v/>
      </c>
      <c r="C43">
        <f>Scale_PCA_Mechanics!H43</f>
        <v/>
      </c>
      <c r="D43">
        <f>Scale_PCA_Mechanics!I43</f>
        <v/>
      </c>
      <c r="E43">
        <f>Scale_PCA_Mechanics!J43</f>
        <v/>
      </c>
      <c r="M43">
        <f>SUMXMY2(B43:E43,$H$2:$K$2)</f>
        <v/>
      </c>
      <c r="N43">
        <f>SUMXMY2(B43:E43,$H$3:$K$3)</f>
        <v/>
      </c>
      <c r="O43">
        <f>SUMXMY2(B43:E43,$H$4:$K$4)</f>
        <v/>
      </c>
      <c r="P43">
        <f>MATCH(MIN(M43:O43),M43:O43,0)</f>
        <v/>
      </c>
      <c r="X43">
        <f>SUMXMY2(B43:E43,$S$2:$V$2)</f>
        <v/>
      </c>
      <c r="Y43">
        <f>SUMXMY2(B43:E43,$S$3:$V$3)</f>
        <v/>
      </c>
      <c r="Z43">
        <f>SUMXMY2(B43:E43,$S$4:$V$4)</f>
        <v/>
      </c>
      <c r="AA43">
        <f>MATCH(MIN(X43:Z43),X43:Z43,0)</f>
        <v/>
      </c>
      <c r="AH43">
        <f>IF($AA43=1,$B43,NA())</f>
        <v/>
      </c>
      <c r="AI43">
        <f>IF($AA43=1,$C43,NA())</f>
        <v/>
      </c>
      <c r="AJ43">
        <f>IF($AA43=2,$B43,NA())</f>
        <v/>
      </c>
      <c r="AK43">
        <f>IF($AA43=2,$C43,NA())</f>
        <v/>
      </c>
      <c r="AL43">
        <f>IF($AA43=3,$B43,NA())</f>
        <v/>
      </c>
      <c r="AM43">
        <f>IF($AA43=3,$C43,NA())</f>
        <v/>
      </c>
    </row>
    <row r="44">
      <c r="A44">
        <f>Scale_PCA_Mechanics!A44</f>
        <v/>
      </c>
      <c r="B44">
        <f>Scale_PCA_Mechanics!G44</f>
        <v/>
      </c>
      <c r="C44">
        <f>Scale_PCA_Mechanics!H44</f>
        <v/>
      </c>
      <c r="D44">
        <f>Scale_PCA_Mechanics!I44</f>
        <v/>
      </c>
      <c r="E44">
        <f>Scale_PCA_Mechanics!J44</f>
        <v/>
      </c>
      <c r="M44">
        <f>SUMXMY2(B44:E44,$H$2:$K$2)</f>
        <v/>
      </c>
      <c r="N44">
        <f>SUMXMY2(B44:E44,$H$3:$K$3)</f>
        <v/>
      </c>
      <c r="O44">
        <f>SUMXMY2(B44:E44,$H$4:$K$4)</f>
        <v/>
      </c>
      <c r="P44">
        <f>MATCH(MIN(M44:O44),M44:O44,0)</f>
        <v/>
      </c>
      <c r="X44">
        <f>SUMXMY2(B44:E44,$S$2:$V$2)</f>
        <v/>
      </c>
      <c r="Y44">
        <f>SUMXMY2(B44:E44,$S$3:$V$3)</f>
        <v/>
      </c>
      <c r="Z44">
        <f>SUMXMY2(B44:E44,$S$4:$V$4)</f>
        <v/>
      </c>
      <c r="AA44">
        <f>MATCH(MIN(X44:Z44),X44:Z44,0)</f>
        <v/>
      </c>
      <c r="AH44">
        <f>IF($AA44=1,$B44,NA())</f>
        <v/>
      </c>
      <c r="AI44">
        <f>IF($AA44=1,$C44,NA())</f>
        <v/>
      </c>
      <c r="AJ44">
        <f>IF($AA44=2,$B44,NA())</f>
        <v/>
      </c>
      <c r="AK44">
        <f>IF($AA44=2,$C44,NA())</f>
        <v/>
      </c>
      <c r="AL44">
        <f>IF($AA44=3,$B44,NA())</f>
        <v/>
      </c>
      <c r="AM44">
        <f>IF($AA44=3,$C44,NA())</f>
        <v/>
      </c>
    </row>
    <row r="45">
      <c r="A45">
        <f>Scale_PCA_Mechanics!A45</f>
        <v/>
      </c>
      <c r="B45">
        <f>Scale_PCA_Mechanics!G45</f>
        <v/>
      </c>
      <c r="C45">
        <f>Scale_PCA_Mechanics!H45</f>
        <v/>
      </c>
      <c r="D45">
        <f>Scale_PCA_Mechanics!I45</f>
        <v/>
      </c>
      <c r="E45">
        <f>Scale_PCA_Mechanics!J45</f>
        <v/>
      </c>
      <c r="M45">
        <f>SUMXMY2(B45:E45,$H$2:$K$2)</f>
        <v/>
      </c>
      <c r="N45">
        <f>SUMXMY2(B45:E45,$H$3:$K$3)</f>
        <v/>
      </c>
      <c r="O45">
        <f>SUMXMY2(B45:E45,$H$4:$K$4)</f>
        <v/>
      </c>
      <c r="P45">
        <f>MATCH(MIN(M45:O45),M45:O45,0)</f>
        <v/>
      </c>
      <c r="X45">
        <f>SUMXMY2(B45:E45,$S$2:$V$2)</f>
        <v/>
      </c>
      <c r="Y45">
        <f>SUMXMY2(B45:E45,$S$3:$V$3)</f>
        <v/>
      </c>
      <c r="Z45">
        <f>SUMXMY2(B45:E45,$S$4:$V$4)</f>
        <v/>
      </c>
      <c r="AA45">
        <f>MATCH(MIN(X45:Z45),X45:Z45,0)</f>
        <v/>
      </c>
      <c r="AH45">
        <f>IF($AA45=1,$B45,NA())</f>
        <v/>
      </c>
      <c r="AI45">
        <f>IF($AA45=1,$C45,NA())</f>
        <v/>
      </c>
      <c r="AJ45">
        <f>IF($AA45=2,$B45,NA())</f>
        <v/>
      </c>
      <c r="AK45">
        <f>IF($AA45=2,$C45,NA())</f>
        <v/>
      </c>
      <c r="AL45">
        <f>IF($AA45=3,$B45,NA())</f>
        <v/>
      </c>
      <c r="AM45">
        <f>IF($AA45=3,$C45,NA())</f>
        <v/>
      </c>
    </row>
    <row r="46">
      <c r="A46">
        <f>Scale_PCA_Mechanics!A46</f>
        <v/>
      </c>
      <c r="B46">
        <f>Scale_PCA_Mechanics!G46</f>
        <v/>
      </c>
      <c r="C46">
        <f>Scale_PCA_Mechanics!H46</f>
        <v/>
      </c>
      <c r="D46">
        <f>Scale_PCA_Mechanics!I46</f>
        <v/>
      </c>
      <c r="E46">
        <f>Scale_PCA_Mechanics!J46</f>
        <v/>
      </c>
      <c r="M46">
        <f>SUMXMY2(B46:E46,$H$2:$K$2)</f>
        <v/>
      </c>
      <c r="N46">
        <f>SUMXMY2(B46:E46,$H$3:$K$3)</f>
        <v/>
      </c>
      <c r="O46">
        <f>SUMXMY2(B46:E46,$H$4:$K$4)</f>
        <v/>
      </c>
      <c r="P46">
        <f>MATCH(MIN(M46:O46),M46:O46,0)</f>
        <v/>
      </c>
      <c r="X46">
        <f>SUMXMY2(B46:E46,$S$2:$V$2)</f>
        <v/>
      </c>
      <c r="Y46">
        <f>SUMXMY2(B46:E46,$S$3:$V$3)</f>
        <v/>
      </c>
      <c r="Z46">
        <f>SUMXMY2(B46:E46,$S$4:$V$4)</f>
        <v/>
      </c>
      <c r="AA46">
        <f>MATCH(MIN(X46:Z46),X46:Z46,0)</f>
        <v/>
      </c>
      <c r="AH46">
        <f>IF($AA46=1,$B46,NA())</f>
        <v/>
      </c>
      <c r="AI46">
        <f>IF($AA46=1,$C46,NA())</f>
        <v/>
      </c>
      <c r="AJ46">
        <f>IF($AA46=2,$B46,NA())</f>
        <v/>
      </c>
      <c r="AK46">
        <f>IF($AA46=2,$C46,NA())</f>
        <v/>
      </c>
      <c r="AL46">
        <f>IF($AA46=3,$B46,NA())</f>
        <v/>
      </c>
      <c r="AM46">
        <f>IF($AA46=3,$C46,NA())</f>
        <v/>
      </c>
    </row>
    <row r="47">
      <c r="A47">
        <f>Scale_PCA_Mechanics!A47</f>
        <v/>
      </c>
      <c r="B47">
        <f>Scale_PCA_Mechanics!G47</f>
        <v/>
      </c>
      <c r="C47">
        <f>Scale_PCA_Mechanics!H47</f>
        <v/>
      </c>
      <c r="D47">
        <f>Scale_PCA_Mechanics!I47</f>
        <v/>
      </c>
      <c r="E47">
        <f>Scale_PCA_Mechanics!J47</f>
        <v/>
      </c>
      <c r="M47">
        <f>SUMXMY2(B47:E47,$H$2:$K$2)</f>
        <v/>
      </c>
      <c r="N47">
        <f>SUMXMY2(B47:E47,$H$3:$K$3)</f>
        <v/>
      </c>
      <c r="O47">
        <f>SUMXMY2(B47:E47,$H$4:$K$4)</f>
        <v/>
      </c>
      <c r="P47">
        <f>MATCH(MIN(M47:O47),M47:O47,0)</f>
        <v/>
      </c>
      <c r="X47">
        <f>SUMXMY2(B47:E47,$S$2:$V$2)</f>
        <v/>
      </c>
      <c r="Y47">
        <f>SUMXMY2(B47:E47,$S$3:$V$3)</f>
        <v/>
      </c>
      <c r="Z47">
        <f>SUMXMY2(B47:E47,$S$4:$V$4)</f>
        <v/>
      </c>
      <c r="AA47">
        <f>MATCH(MIN(X47:Z47),X47:Z47,0)</f>
        <v/>
      </c>
      <c r="AH47">
        <f>IF($AA47=1,$B47,NA())</f>
        <v/>
      </c>
      <c r="AI47">
        <f>IF($AA47=1,$C47,NA())</f>
        <v/>
      </c>
      <c r="AJ47">
        <f>IF($AA47=2,$B47,NA())</f>
        <v/>
      </c>
      <c r="AK47">
        <f>IF($AA47=2,$C47,NA())</f>
        <v/>
      </c>
      <c r="AL47">
        <f>IF($AA47=3,$B47,NA())</f>
        <v/>
      </c>
      <c r="AM47">
        <f>IF($AA47=3,$C47,NA())</f>
        <v/>
      </c>
    </row>
    <row r="48">
      <c r="A48">
        <f>Scale_PCA_Mechanics!A48</f>
        <v/>
      </c>
      <c r="B48">
        <f>Scale_PCA_Mechanics!G48</f>
        <v/>
      </c>
      <c r="C48">
        <f>Scale_PCA_Mechanics!H48</f>
        <v/>
      </c>
      <c r="D48">
        <f>Scale_PCA_Mechanics!I48</f>
        <v/>
      </c>
      <c r="E48">
        <f>Scale_PCA_Mechanics!J48</f>
        <v/>
      </c>
      <c r="M48">
        <f>SUMXMY2(B48:E48,$H$2:$K$2)</f>
        <v/>
      </c>
      <c r="N48">
        <f>SUMXMY2(B48:E48,$H$3:$K$3)</f>
        <v/>
      </c>
      <c r="O48">
        <f>SUMXMY2(B48:E48,$H$4:$K$4)</f>
        <v/>
      </c>
      <c r="P48">
        <f>MATCH(MIN(M48:O48),M48:O48,0)</f>
        <v/>
      </c>
      <c r="X48">
        <f>SUMXMY2(B48:E48,$S$2:$V$2)</f>
        <v/>
      </c>
      <c r="Y48">
        <f>SUMXMY2(B48:E48,$S$3:$V$3)</f>
        <v/>
      </c>
      <c r="Z48">
        <f>SUMXMY2(B48:E48,$S$4:$V$4)</f>
        <v/>
      </c>
      <c r="AA48">
        <f>MATCH(MIN(X48:Z48),X48:Z48,0)</f>
        <v/>
      </c>
      <c r="AH48">
        <f>IF($AA48=1,$B48,NA())</f>
        <v/>
      </c>
      <c r="AI48">
        <f>IF($AA48=1,$C48,NA())</f>
        <v/>
      </c>
      <c r="AJ48">
        <f>IF($AA48=2,$B48,NA())</f>
        <v/>
      </c>
      <c r="AK48">
        <f>IF($AA48=2,$C48,NA())</f>
        <v/>
      </c>
      <c r="AL48">
        <f>IF($AA48=3,$B48,NA())</f>
        <v/>
      </c>
      <c r="AM48">
        <f>IF($AA48=3,$C48,NA())</f>
        <v/>
      </c>
    </row>
    <row r="49">
      <c r="A49">
        <f>Scale_PCA_Mechanics!A49</f>
        <v/>
      </c>
      <c r="B49">
        <f>Scale_PCA_Mechanics!G49</f>
        <v/>
      </c>
      <c r="C49">
        <f>Scale_PCA_Mechanics!H49</f>
        <v/>
      </c>
      <c r="D49">
        <f>Scale_PCA_Mechanics!I49</f>
        <v/>
      </c>
      <c r="E49">
        <f>Scale_PCA_Mechanics!J49</f>
        <v/>
      </c>
      <c r="M49">
        <f>SUMXMY2(B49:E49,$H$2:$K$2)</f>
        <v/>
      </c>
      <c r="N49">
        <f>SUMXMY2(B49:E49,$H$3:$K$3)</f>
        <v/>
      </c>
      <c r="O49">
        <f>SUMXMY2(B49:E49,$H$4:$K$4)</f>
        <v/>
      </c>
      <c r="P49">
        <f>MATCH(MIN(M49:O49),M49:O49,0)</f>
        <v/>
      </c>
      <c r="X49">
        <f>SUMXMY2(B49:E49,$S$2:$V$2)</f>
        <v/>
      </c>
      <c r="Y49">
        <f>SUMXMY2(B49:E49,$S$3:$V$3)</f>
        <v/>
      </c>
      <c r="Z49">
        <f>SUMXMY2(B49:E49,$S$4:$V$4)</f>
        <v/>
      </c>
      <c r="AA49">
        <f>MATCH(MIN(X49:Z49),X49:Z49,0)</f>
        <v/>
      </c>
      <c r="AH49">
        <f>IF($AA49=1,$B49,NA())</f>
        <v/>
      </c>
      <c r="AI49">
        <f>IF($AA49=1,$C49,NA())</f>
        <v/>
      </c>
      <c r="AJ49">
        <f>IF($AA49=2,$B49,NA())</f>
        <v/>
      </c>
      <c r="AK49">
        <f>IF($AA49=2,$C49,NA())</f>
        <v/>
      </c>
      <c r="AL49">
        <f>IF($AA49=3,$B49,NA())</f>
        <v/>
      </c>
      <c r="AM49">
        <f>IF($AA49=3,$C49,NA())</f>
        <v/>
      </c>
    </row>
    <row r="50">
      <c r="A50">
        <f>Scale_PCA_Mechanics!A50</f>
        <v/>
      </c>
      <c r="B50">
        <f>Scale_PCA_Mechanics!G50</f>
        <v/>
      </c>
      <c r="C50">
        <f>Scale_PCA_Mechanics!H50</f>
        <v/>
      </c>
      <c r="D50">
        <f>Scale_PCA_Mechanics!I50</f>
        <v/>
      </c>
      <c r="E50">
        <f>Scale_PCA_Mechanics!J50</f>
        <v/>
      </c>
      <c r="M50">
        <f>SUMXMY2(B50:E50,$H$2:$K$2)</f>
        <v/>
      </c>
      <c r="N50">
        <f>SUMXMY2(B50:E50,$H$3:$K$3)</f>
        <v/>
      </c>
      <c r="O50">
        <f>SUMXMY2(B50:E50,$H$4:$K$4)</f>
        <v/>
      </c>
      <c r="P50">
        <f>MATCH(MIN(M50:O50),M50:O50,0)</f>
        <v/>
      </c>
      <c r="X50">
        <f>SUMXMY2(B50:E50,$S$2:$V$2)</f>
        <v/>
      </c>
      <c r="Y50">
        <f>SUMXMY2(B50:E50,$S$3:$V$3)</f>
        <v/>
      </c>
      <c r="Z50">
        <f>SUMXMY2(B50:E50,$S$4:$V$4)</f>
        <v/>
      </c>
      <c r="AA50">
        <f>MATCH(MIN(X50:Z50),X50:Z50,0)</f>
        <v/>
      </c>
      <c r="AH50">
        <f>IF($AA50=1,$B50,NA())</f>
        <v/>
      </c>
      <c r="AI50">
        <f>IF($AA50=1,$C50,NA())</f>
        <v/>
      </c>
      <c r="AJ50">
        <f>IF($AA50=2,$B50,NA())</f>
        <v/>
      </c>
      <c r="AK50">
        <f>IF($AA50=2,$C50,NA())</f>
        <v/>
      </c>
      <c r="AL50">
        <f>IF($AA50=3,$B50,NA())</f>
        <v/>
      </c>
      <c r="AM50">
        <f>IF($AA50=3,$C50,NA())</f>
        <v/>
      </c>
    </row>
    <row r="51">
      <c r="A51">
        <f>Scale_PCA_Mechanics!A51</f>
        <v/>
      </c>
      <c r="B51">
        <f>Scale_PCA_Mechanics!G51</f>
        <v/>
      </c>
      <c r="C51">
        <f>Scale_PCA_Mechanics!H51</f>
        <v/>
      </c>
      <c r="D51">
        <f>Scale_PCA_Mechanics!I51</f>
        <v/>
      </c>
      <c r="E51">
        <f>Scale_PCA_Mechanics!J51</f>
        <v/>
      </c>
      <c r="M51">
        <f>SUMXMY2(B51:E51,$H$2:$K$2)</f>
        <v/>
      </c>
      <c r="N51">
        <f>SUMXMY2(B51:E51,$H$3:$K$3)</f>
        <v/>
      </c>
      <c r="O51">
        <f>SUMXMY2(B51:E51,$H$4:$K$4)</f>
        <v/>
      </c>
      <c r="P51">
        <f>MATCH(MIN(M51:O51),M51:O51,0)</f>
        <v/>
      </c>
      <c r="X51">
        <f>SUMXMY2(B51:E51,$S$2:$V$2)</f>
        <v/>
      </c>
      <c r="Y51">
        <f>SUMXMY2(B51:E51,$S$3:$V$3)</f>
        <v/>
      </c>
      <c r="Z51">
        <f>SUMXMY2(B51:E51,$S$4:$V$4)</f>
        <v/>
      </c>
      <c r="AA51">
        <f>MATCH(MIN(X51:Z51),X51:Z51,0)</f>
        <v/>
      </c>
      <c r="AH51">
        <f>IF($AA51=1,$B51,NA())</f>
        <v/>
      </c>
      <c r="AI51">
        <f>IF($AA51=1,$C51,NA())</f>
        <v/>
      </c>
      <c r="AJ51">
        <f>IF($AA51=2,$B51,NA())</f>
        <v/>
      </c>
      <c r="AK51">
        <f>IF($AA51=2,$C51,NA())</f>
        <v/>
      </c>
      <c r="AL51">
        <f>IF($AA51=3,$B51,NA())</f>
        <v/>
      </c>
      <c r="AM51">
        <f>IF($AA51=3,$C51,NA())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5" customWidth="1" min="5" max="5"/>
    <col width="13" customWidth="1" min="6" max="6"/>
  </cols>
  <sheetData>
    <row r="1">
      <c r="A1" t="inlineStr">
        <is>
          <t>cluster</t>
        </is>
      </c>
      <c r="B1" t="inlineStr">
        <is>
          <t>n</t>
        </is>
      </c>
      <c r="C1" t="inlineStr">
        <is>
          <t>Murder_mean</t>
        </is>
      </c>
      <c r="D1" t="inlineStr">
        <is>
          <t>Assault_mean</t>
        </is>
      </c>
      <c r="E1" t="inlineStr">
        <is>
          <t>UrbanPop_mean</t>
        </is>
      </c>
      <c r="F1" t="inlineStr">
        <is>
          <t>Rape_mean</t>
        </is>
      </c>
    </row>
    <row r="2">
      <c r="A2" t="n">
        <v>1</v>
      </c>
      <c r="B2">
        <f>COUNTIF(KMeans_6_2!AA2:AA51,A2)</f>
        <v/>
      </c>
      <c r="C2">
        <f>AVERAGEIFS(Data_USArrests!C2:C51,KMeans_6_2!AA2:AA51,A2)</f>
        <v/>
      </c>
      <c r="D2">
        <f>AVERAGEIFS(Data_USArrests!D2:D51,KMeans_6_2!AA2:AA51,A2)</f>
        <v/>
      </c>
      <c r="E2">
        <f>AVERAGEIFS(Data_USArrests!E2:E51,KMeans_6_2!AA2:AA51,A2)</f>
        <v/>
      </c>
      <c r="F2">
        <f>AVERAGEIFS(Data_USArrests!F2:F51,KMeans_6_2!AA2:AA51,A2)</f>
        <v/>
      </c>
    </row>
    <row r="3">
      <c r="A3" t="n">
        <v>2</v>
      </c>
      <c r="B3">
        <f>COUNTIF(KMeans_6_2!AA2:AA51,A3)</f>
        <v/>
      </c>
      <c r="C3">
        <f>AVERAGEIFS(Data_USArrests!C2:C51,KMeans_6_2!AA2:AA51,A3)</f>
        <v/>
      </c>
      <c r="D3">
        <f>AVERAGEIFS(Data_USArrests!D2:D51,KMeans_6_2!AA2:AA51,A3)</f>
        <v/>
      </c>
      <c r="E3">
        <f>AVERAGEIFS(Data_USArrests!E2:E51,KMeans_6_2!AA2:AA51,A3)</f>
        <v/>
      </c>
      <c r="F3">
        <f>AVERAGEIFS(Data_USArrests!F2:F51,KMeans_6_2!AA2:AA51,A3)</f>
        <v/>
      </c>
    </row>
    <row r="4">
      <c r="A4" t="n">
        <v>3</v>
      </c>
      <c r="B4">
        <f>COUNTIF(KMeans_6_2!AA2:AA51,A4)</f>
        <v/>
      </c>
      <c r="C4">
        <f>AVERAGEIFS(Data_USArrests!C2:C51,KMeans_6_2!AA2:AA51,A4)</f>
        <v/>
      </c>
      <c r="D4">
        <f>AVERAGEIFS(Data_USArrests!D2:D51,KMeans_6_2!AA2:AA51,A4)</f>
        <v/>
      </c>
      <c r="E4">
        <f>AVERAGEIFS(Data_USArrests!E2:E51,KMeans_6_2!AA2:AA51,A4)</f>
        <v/>
      </c>
      <c r="F4">
        <f>AVERAGEIFS(Data_USArrests!F2:F51,KMeans_6_2!AA2:AA51,A4)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3" customWidth="1" min="8" max="8"/>
    <col width="16" customWidth="1" min="10" max="10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</cols>
  <sheetData>
    <row r="1">
      <c r="A1" t="inlineStr">
        <is>
          <t>id_i</t>
        </is>
      </c>
      <c r="B1" t="inlineStr">
        <is>
          <t>id_j</t>
        </is>
      </c>
      <c r="C1" t="inlineStr">
        <is>
          <t>dist_scaled</t>
        </is>
      </c>
      <c r="D1" t="inlineStr">
        <is>
          <t>cluster_i</t>
        </is>
      </c>
      <c r="E1" t="inlineStr">
        <is>
          <t>cluster_j</t>
        </is>
      </c>
      <c r="H1" t="inlineStr">
        <is>
          <t>closest_pair_distance</t>
        </is>
      </c>
      <c r="J1" t="inlineStr">
        <is>
          <t>linkage_metric</t>
        </is>
      </c>
      <c r="K1" t="inlineStr">
        <is>
          <t>C1-C2</t>
        </is>
      </c>
      <c r="L1" t="inlineStr">
        <is>
          <t>C1-C3</t>
        </is>
      </c>
      <c r="M1" t="inlineStr">
        <is>
          <t>C2-C3</t>
        </is>
      </c>
      <c r="O1" t="inlineStr">
        <is>
          <t>pair12_dist</t>
        </is>
      </c>
      <c r="P1" t="inlineStr">
        <is>
          <t>pair13_dist</t>
        </is>
      </c>
      <c r="Q1" t="inlineStr">
        <is>
          <t>pair23_dist</t>
        </is>
      </c>
    </row>
    <row r="2">
      <c r="A2" t="n">
        <v>1</v>
      </c>
      <c r="B2" t="n">
        <v>2</v>
      </c>
      <c r="C2">
        <f>SQRT((Scale_PCA_Mechanics!G2-Scale_PCA_Mechanics!G3)^2+(Scale_PCA_Mechanics!H2-Scale_PCA_Mechanics!H3)^2+(Scale_PCA_Mechanics!I2-Scale_PCA_Mechanics!I3)^2+(Scale_PCA_Mechanics!J2-Scale_PCA_Mechanics!J3)^2)</f>
        <v/>
      </c>
      <c r="D2">
        <f>INDEX(KMeans_6_2!AA2:AA51,A2)</f>
        <v/>
      </c>
      <c r="E2">
        <f>INDEX(KMeans_6_2!AA2:AA51,B2)</f>
        <v/>
      </c>
      <c r="H2">
        <f>MIN(C2:C1226)</f>
        <v/>
      </c>
      <c r="J2" t="inlineStr">
        <is>
          <t>single</t>
        </is>
      </c>
      <c r="K2">
        <f>IFERROR(MIN(O2:O1226),"")</f>
        <v/>
      </c>
      <c r="L2">
        <f>IFERROR(MIN(P2:P1226),"")</f>
        <v/>
      </c>
      <c r="M2">
        <f>IFERROR(MIN(Q2:Q1226),"")</f>
        <v/>
      </c>
      <c r="O2">
        <f>IF(OR(AND(D2=1,E2=2),AND(D2=2,E2=1)),C2,"")</f>
        <v/>
      </c>
      <c r="P2">
        <f>IF(OR(AND(D2=1,E2=3),AND(D2=3,E2=1)),C2,"")</f>
        <v/>
      </c>
      <c r="Q2">
        <f>IF(OR(AND(D2=2,E2=3),AND(D2=3,E2=2)),C2,"")</f>
        <v/>
      </c>
    </row>
    <row r="3">
      <c r="A3" t="n">
        <v>1</v>
      </c>
      <c r="B3" t="n">
        <v>3</v>
      </c>
      <c r="C3">
        <f>SQRT((Scale_PCA_Mechanics!G2-Scale_PCA_Mechanics!G4)^2+(Scale_PCA_Mechanics!H2-Scale_PCA_Mechanics!H4)^2+(Scale_PCA_Mechanics!I2-Scale_PCA_Mechanics!I4)^2+(Scale_PCA_Mechanics!J2-Scale_PCA_Mechanics!J4)^2)</f>
        <v/>
      </c>
      <c r="D3">
        <f>INDEX(KMeans_6_2!AA2:AA51,A3)</f>
        <v/>
      </c>
      <c r="E3">
        <f>INDEX(KMeans_6_2!AA2:AA51,B3)</f>
        <v/>
      </c>
      <c r="H3" t="inlineStr">
        <is>
          <t>closest_pair_id_i</t>
        </is>
      </c>
      <c r="J3" t="inlineStr">
        <is>
          <t>complete</t>
        </is>
      </c>
      <c r="K3">
        <f>IFERROR(MAX(O2:O1226),"")</f>
        <v/>
      </c>
      <c r="L3">
        <f>IFERROR(MAX(P2:P1226),"")</f>
        <v/>
      </c>
      <c r="M3">
        <f>IFERROR(MAX(Q2:Q1226),"")</f>
        <v/>
      </c>
      <c r="O3">
        <f>IF(OR(AND(D3=1,E3=2),AND(D3=2,E3=1)),C3,"")</f>
        <v/>
      </c>
      <c r="P3">
        <f>IF(OR(AND(D3=1,E3=3),AND(D3=3,E3=1)),C3,"")</f>
        <v/>
      </c>
      <c r="Q3">
        <f>IF(OR(AND(D3=2,E3=3),AND(D3=3,E3=2)),C3,"")</f>
        <v/>
      </c>
    </row>
    <row r="4">
      <c r="A4" t="n">
        <v>1</v>
      </c>
      <c r="B4" t="n">
        <v>4</v>
      </c>
      <c r="C4">
        <f>SQRT((Scale_PCA_Mechanics!G2-Scale_PCA_Mechanics!G5)^2+(Scale_PCA_Mechanics!H2-Scale_PCA_Mechanics!H5)^2+(Scale_PCA_Mechanics!I2-Scale_PCA_Mechanics!I5)^2+(Scale_PCA_Mechanics!J2-Scale_PCA_Mechanics!J5)^2)</f>
        <v/>
      </c>
      <c r="D4">
        <f>INDEX(KMeans_6_2!AA2:AA51,A4)</f>
        <v/>
      </c>
      <c r="E4">
        <f>INDEX(KMeans_6_2!AA2:AA51,B4)</f>
        <v/>
      </c>
      <c r="H4">
        <f>INDEX(A2:A1226,MATCH(H2,C2:C1226,0))</f>
        <v/>
      </c>
      <c r="J4" t="inlineStr">
        <is>
          <t>average</t>
        </is>
      </c>
      <c r="K4">
        <f>IFERROR(AVERAGE(O2:O1226),"")</f>
        <v/>
      </c>
      <c r="L4">
        <f>IFERROR(AVERAGE(P2:P1226),"")</f>
        <v/>
      </c>
      <c r="M4">
        <f>IFERROR(AVERAGE(Q2:Q1226),"")</f>
        <v/>
      </c>
      <c r="O4">
        <f>IF(OR(AND(D4=1,E4=2),AND(D4=2,E4=1)),C4,"")</f>
        <v/>
      </c>
      <c r="P4">
        <f>IF(OR(AND(D4=1,E4=3),AND(D4=3,E4=1)),C4,"")</f>
        <v/>
      </c>
      <c r="Q4">
        <f>IF(OR(AND(D4=2,E4=3),AND(D4=3,E4=2)),C4,"")</f>
        <v/>
      </c>
    </row>
    <row r="5">
      <c r="A5" t="n">
        <v>1</v>
      </c>
      <c r="B5" t="n">
        <v>5</v>
      </c>
      <c r="C5">
        <f>SQRT((Scale_PCA_Mechanics!G2-Scale_PCA_Mechanics!G6)^2+(Scale_PCA_Mechanics!H2-Scale_PCA_Mechanics!H6)^2+(Scale_PCA_Mechanics!I2-Scale_PCA_Mechanics!I6)^2+(Scale_PCA_Mechanics!J2-Scale_PCA_Mechanics!J6)^2)</f>
        <v/>
      </c>
      <c r="D5">
        <f>INDEX(KMeans_6_2!AA2:AA51,A5)</f>
        <v/>
      </c>
      <c r="E5">
        <f>INDEX(KMeans_6_2!AA2:AA51,B5)</f>
        <v/>
      </c>
      <c r="H5" t="inlineStr">
        <is>
          <t>closest_pair_id_j</t>
        </is>
      </c>
      <c r="O5">
        <f>IF(OR(AND(D5=1,E5=2),AND(D5=2,E5=1)),C5,"")</f>
        <v/>
      </c>
      <c r="P5">
        <f>IF(OR(AND(D5=1,E5=3),AND(D5=3,E5=1)),C5,"")</f>
        <v/>
      </c>
      <c r="Q5">
        <f>IF(OR(AND(D5=2,E5=3),AND(D5=3,E5=2)),C5,"")</f>
        <v/>
      </c>
    </row>
    <row r="6">
      <c r="A6" t="n">
        <v>1</v>
      </c>
      <c r="B6" t="n">
        <v>6</v>
      </c>
      <c r="C6">
        <f>SQRT((Scale_PCA_Mechanics!G2-Scale_PCA_Mechanics!G7)^2+(Scale_PCA_Mechanics!H2-Scale_PCA_Mechanics!H7)^2+(Scale_PCA_Mechanics!I2-Scale_PCA_Mechanics!I7)^2+(Scale_PCA_Mechanics!J2-Scale_PCA_Mechanics!J7)^2)</f>
        <v/>
      </c>
      <c r="D6">
        <f>INDEX(KMeans_6_2!AA2:AA51,A6)</f>
        <v/>
      </c>
      <c r="E6">
        <f>INDEX(KMeans_6_2!AA2:AA51,B6)</f>
        <v/>
      </c>
      <c r="H6">
        <f>INDEX(B2:B1226,MATCH(H2,C2:C1226,0))</f>
        <v/>
      </c>
      <c r="O6">
        <f>IF(OR(AND(D6=1,E6=2),AND(D6=2,E6=1)),C6,"")</f>
        <v/>
      </c>
      <c r="P6">
        <f>IF(OR(AND(D6=1,E6=3),AND(D6=3,E6=1)),C6,"")</f>
        <v/>
      </c>
      <c r="Q6">
        <f>IF(OR(AND(D6=2,E6=3),AND(D6=3,E6=2)),C6,"")</f>
        <v/>
      </c>
    </row>
    <row r="7">
      <c r="A7" t="n">
        <v>1</v>
      </c>
      <c r="B7" t="n">
        <v>7</v>
      </c>
      <c r="C7">
        <f>SQRT((Scale_PCA_Mechanics!G2-Scale_PCA_Mechanics!G8)^2+(Scale_PCA_Mechanics!H2-Scale_PCA_Mechanics!H8)^2+(Scale_PCA_Mechanics!I2-Scale_PCA_Mechanics!I8)^2+(Scale_PCA_Mechanics!J2-Scale_PCA_Mechanics!J8)^2)</f>
        <v/>
      </c>
      <c r="D7">
        <f>INDEX(KMeans_6_2!AA2:AA51,A7)</f>
        <v/>
      </c>
      <c r="E7">
        <f>INDEX(KMeans_6_2!AA2:AA51,B7)</f>
        <v/>
      </c>
      <c r="O7">
        <f>IF(OR(AND(D7=1,E7=2),AND(D7=2,E7=1)),C7,"")</f>
        <v/>
      </c>
      <c r="P7">
        <f>IF(OR(AND(D7=1,E7=3),AND(D7=3,E7=1)),C7,"")</f>
        <v/>
      </c>
      <c r="Q7">
        <f>IF(OR(AND(D7=2,E7=3),AND(D7=3,E7=2)),C7,"")</f>
        <v/>
      </c>
    </row>
    <row r="8">
      <c r="A8" t="n">
        <v>1</v>
      </c>
      <c r="B8" t="n">
        <v>8</v>
      </c>
      <c r="C8">
        <f>SQRT((Scale_PCA_Mechanics!G2-Scale_PCA_Mechanics!G9)^2+(Scale_PCA_Mechanics!H2-Scale_PCA_Mechanics!H9)^2+(Scale_PCA_Mechanics!I2-Scale_PCA_Mechanics!I9)^2+(Scale_PCA_Mechanics!J2-Scale_PCA_Mechanics!J9)^2)</f>
        <v/>
      </c>
      <c r="D8">
        <f>INDEX(KMeans_6_2!AA2:AA51,A8)</f>
        <v/>
      </c>
      <c r="E8">
        <f>INDEX(KMeans_6_2!AA2:AA51,B8)</f>
        <v/>
      </c>
      <c r="O8">
        <f>IF(OR(AND(D8=1,E8=2),AND(D8=2,E8=1)),C8,"")</f>
        <v/>
      </c>
      <c r="P8">
        <f>IF(OR(AND(D8=1,E8=3),AND(D8=3,E8=1)),C8,"")</f>
        <v/>
      </c>
      <c r="Q8">
        <f>IF(OR(AND(D8=2,E8=3),AND(D8=3,E8=2)),C8,"")</f>
        <v/>
      </c>
    </row>
    <row r="9">
      <c r="A9" t="n">
        <v>1</v>
      </c>
      <c r="B9" t="n">
        <v>9</v>
      </c>
      <c r="C9">
        <f>SQRT((Scale_PCA_Mechanics!G2-Scale_PCA_Mechanics!G10)^2+(Scale_PCA_Mechanics!H2-Scale_PCA_Mechanics!H10)^2+(Scale_PCA_Mechanics!I2-Scale_PCA_Mechanics!I10)^2+(Scale_PCA_Mechanics!J2-Scale_PCA_Mechanics!J10)^2)</f>
        <v/>
      </c>
      <c r="D9">
        <f>INDEX(KMeans_6_2!AA2:AA51,A9)</f>
        <v/>
      </c>
      <c r="E9">
        <f>INDEX(KMeans_6_2!AA2:AA51,B9)</f>
        <v/>
      </c>
      <c r="O9">
        <f>IF(OR(AND(D9=1,E9=2),AND(D9=2,E9=1)),C9,"")</f>
        <v/>
      </c>
      <c r="P9">
        <f>IF(OR(AND(D9=1,E9=3),AND(D9=3,E9=1)),C9,"")</f>
        <v/>
      </c>
      <c r="Q9">
        <f>IF(OR(AND(D9=2,E9=3),AND(D9=3,E9=2)),C9,"")</f>
        <v/>
      </c>
    </row>
    <row r="10">
      <c r="A10" t="n">
        <v>1</v>
      </c>
      <c r="B10" t="n">
        <v>10</v>
      </c>
      <c r="C10">
        <f>SQRT((Scale_PCA_Mechanics!G2-Scale_PCA_Mechanics!G11)^2+(Scale_PCA_Mechanics!H2-Scale_PCA_Mechanics!H11)^2+(Scale_PCA_Mechanics!I2-Scale_PCA_Mechanics!I11)^2+(Scale_PCA_Mechanics!J2-Scale_PCA_Mechanics!J11)^2)</f>
        <v/>
      </c>
      <c r="D10">
        <f>INDEX(KMeans_6_2!AA2:AA51,A10)</f>
        <v/>
      </c>
      <c r="E10">
        <f>INDEX(KMeans_6_2!AA2:AA51,B10)</f>
        <v/>
      </c>
      <c r="O10">
        <f>IF(OR(AND(D10=1,E10=2),AND(D10=2,E10=1)),C10,"")</f>
        <v/>
      </c>
      <c r="P10">
        <f>IF(OR(AND(D10=1,E10=3),AND(D10=3,E10=1)),C10,"")</f>
        <v/>
      </c>
      <c r="Q10">
        <f>IF(OR(AND(D10=2,E10=3),AND(D10=3,E10=2)),C10,"")</f>
        <v/>
      </c>
    </row>
    <row r="11">
      <c r="A11" t="n">
        <v>1</v>
      </c>
      <c r="B11" t="n">
        <v>11</v>
      </c>
      <c r="C11">
        <f>SQRT((Scale_PCA_Mechanics!G2-Scale_PCA_Mechanics!G12)^2+(Scale_PCA_Mechanics!H2-Scale_PCA_Mechanics!H12)^2+(Scale_PCA_Mechanics!I2-Scale_PCA_Mechanics!I12)^2+(Scale_PCA_Mechanics!J2-Scale_PCA_Mechanics!J12)^2)</f>
        <v/>
      </c>
      <c r="D11">
        <f>INDEX(KMeans_6_2!AA2:AA51,A11)</f>
        <v/>
      </c>
      <c r="E11">
        <f>INDEX(KMeans_6_2!AA2:AA51,B11)</f>
        <v/>
      </c>
      <c r="O11">
        <f>IF(OR(AND(D11=1,E11=2),AND(D11=2,E11=1)),C11,"")</f>
        <v/>
      </c>
      <c r="P11">
        <f>IF(OR(AND(D11=1,E11=3),AND(D11=3,E11=1)),C11,"")</f>
        <v/>
      </c>
      <c r="Q11">
        <f>IF(OR(AND(D11=2,E11=3),AND(D11=3,E11=2)),C11,"")</f>
        <v/>
      </c>
    </row>
    <row r="12">
      <c r="A12" t="n">
        <v>1</v>
      </c>
      <c r="B12" t="n">
        <v>12</v>
      </c>
      <c r="C12">
        <f>SQRT((Scale_PCA_Mechanics!G2-Scale_PCA_Mechanics!G13)^2+(Scale_PCA_Mechanics!H2-Scale_PCA_Mechanics!H13)^2+(Scale_PCA_Mechanics!I2-Scale_PCA_Mechanics!I13)^2+(Scale_PCA_Mechanics!J2-Scale_PCA_Mechanics!J13)^2)</f>
        <v/>
      </c>
      <c r="D12">
        <f>INDEX(KMeans_6_2!AA2:AA51,A12)</f>
        <v/>
      </c>
      <c r="E12">
        <f>INDEX(KMeans_6_2!AA2:AA51,B12)</f>
        <v/>
      </c>
      <c r="O12">
        <f>IF(OR(AND(D12=1,E12=2),AND(D12=2,E12=1)),C12,"")</f>
        <v/>
      </c>
      <c r="P12">
        <f>IF(OR(AND(D12=1,E12=3),AND(D12=3,E12=1)),C12,"")</f>
        <v/>
      </c>
      <c r="Q12">
        <f>IF(OR(AND(D12=2,E12=3),AND(D12=3,E12=2)),C12,"")</f>
        <v/>
      </c>
    </row>
    <row r="13">
      <c r="A13" t="n">
        <v>1</v>
      </c>
      <c r="B13" t="n">
        <v>13</v>
      </c>
      <c r="C13">
        <f>SQRT((Scale_PCA_Mechanics!G2-Scale_PCA_Mechanics!G14)^2+(Scale_PCA_Mechanics!H2-Scale_PCA_Mechanics!H14)^2+(Scale_PCA_Mechanics!I2-Scale_PCA_Mechanics!I14)^2+(Scale_PCA_Mechanics!J2-Scale_PCA_Mechanics!J14)^2)</f>
        <v/>
      </c>
      <c r="D13">
        <f>INDEX(KMeans_6_2!AA2:AA51,A13)</f>
        <v/>
      </c>
      <c r="E13">
        <f>INDEX(KMeans_6_2!AA2:AA51,B13)</f>
        <v/>
      </c>
      <c r="O13">
        <f>IF(OR(AND(D13=1,E13=2),AND(D13=2,E13=1)),C13,"")</f>
        <v/>
      </c>
      <c r="P13">
        <f>IF(OR(AND(D13=1,E13=3),AND(D13=3,E13=1)),C13,"")</f>
        <v/>
      </c>
      <c r="Q13">
        <f>IF(OR(AND(D13=2,E13=3),AND(D13=3,E13=2)),C13,"")</f>
        <v/>
      </c>
    </row>
    <row r="14">
      <c r="A14" t="n">
        <v>1</v>
      </c>
      <c r="B14" t="n">
        <v>14</v>
      </c>
      <c r="C14">
        <f>SQRT((Scale_PCA_Mechanics!G2-Scale_PCA_Mechanics!G15)^2+(Scale_PCA_Mechanics!H2-Scale_PCA_Mechanics!H15)^2+(Scale_PCA_Mechanics!I2-Scale_PCA_Mechanics!I15)^2+(Scale_PCA_Mechanics!J2-Scale_PCA_Mechanics!J15)^2)</f>
        <v/>
      </c>
      <c r="D14">
        <f>INDEX(KMeans_6_2!AA2:AA51,A14)</f>
        <v/>
      </c>
      <c r="E14">
        <f>INDEX(KMeans_6_2!AA2:AA51,B14)</f>
        <v/>
      </c>
      <c r="O14">
        <f>IF(OR(AND(D14=1,E14=2),AND(D14=2,E14=1)),C14,"")</f>
        <v/>
      </c>
      <c r="P14">
        <f>IF(OR(AND(D14=1,E14=3),AND(D14=3,E14=1)),C14,"")</f>
        <v/>
      </c>
      <c r="Q14">
        <f>IF(OR(AND(D14=2,E14=3),AND(D14=3,E14=2)),C14,"")</f>
        <v/>
      </c>
    </row>
    <row r="15">
      <c r="A15" t="n">
        <v>1</v>
      </c>
      <c r="B15" t="n">
        <v>15</v>
      </c>
      <c r="C15">
        <f>SQRT((Scale_PCA_Mechanics!G2-Scale_PCA_Mechanics!G16)^2+(Scale_PCA_Mechanics!H2-Scale_PCA_Mechanics!H16)^2+(Scale_PCA_Mechanics!I2-Scale_PCA_Mechanics!I16)^2+(Scale_PCA_Mechanics!J2-Scale_PCA_Mechanics!J16)^2)</f>
        <v/>
      </c>
      <c r="D15">
        <f>INDEX(KMeans_6_2!AA2:AA51,A15)</f>
        <v/>
      </c>
      <c r="E15">
        <f>INDEX(KMeans_6_2!AA2:AA51,B15)</f>
        <v/>
      </c>
      <c r="O15">
        <f>IF(OR(AND(D15=1,E15=2),AND(D15=2,E15=1)),C15,"")</f>
        <v/>
      </c>
      <c r="P15">
        <f>IF(OR(AND(D15=1,E15=3),AND(D15=3,E15=1)),C15,"")</f>
        <v/>
      </c>
      <c r="Q15">
        <f>IF(OR(AND(D15=2,E15=3),AND(D15=3,E15=2)),C15,"")</f>
        <v/>
      </c>
    </row>
    <row r="16">
      <c r="A16" t="n">
        <v>1</v>
      </c>
      <c r="B16" t="n">
        <v>16</v>
      </c>
      <c r="C16">
        <f>SQRT((Scale_PCA_Mechanics!G2-Scale_PCA_Mechanics!G17)^2+(Scale_PCA_Mechanics!H2-Scale_PCA_Mechanics!H17)^2+(Scale_PCA_Mechanics!I2-Scale_PCA_Mechanics!I17)^2+(Scale_PCA_Mechanics!J2-Scale_PCA_Mechanics!J17)^2)</f>
        <v/>
      </c>
      <c r="D16">
        <f>INDEX(KMeans_6_2!AA2:AA51,A16)</f>
        <v/>
      </c>
      <c r="E16">
        <f>INDEX(KMeans_6_2!AA2:AA51,B16)</f>
        <v/>
      </c>
      <c r="O16">
        <f>IF(OR(AND(D16=1,E16=2),AND(D16=2,E16=1)),C16,"")</f>
        <v/>
      </c>
      <c r="P16">
        <f>IF(OR(AND(D16=1,E16=3),AND(D16=3,E16=1)),C16,"")</f>
        <v/>
      </c>
      <c r="Q16">
        <f>IF(OR(AND(D16=2,E16=3),AND(D16=3,E16=2)),C16,"")</f>
        <v/>
      </c>
    </row>
    <row r="17">
      <c r="A17" t="n">
        <v>1</v>
      </c>
      <c r="B17" t="n">
        <v>17</v>
      </c>
      <c r="C17">
        <f>SQRT((Scale_PCA_Mechanics!G2-Scale_PCA_Mechanics!G18)^2+(Scale_PCA_Mechanics!H2-Scale_PCA_Mechanics!H18)^2+(Scale_PCA_Mechanics!I2-Scale_PCA_Mechanics!I18)^2+(Scale_PCA_Mechanics!J2-Scale_PCA_Mechanics!J18)^2)</f>
        <v/>
      </c>
      <c r="D17">
        <f>INDEX(KMeans_6_2!AA2:AA51,A17)</f>
        <v/>
      </c>
      <c r="E17">
        <f>INDEX(KMeans_6_2!AA2:AA51,B17)</f>
        <v/>
      </c>
      <c r="O17">
        <f>IF(OR(AND(D17=1,E17=2),AND(D17=2,E17=1)),C17,"")</f>
        <v/>
      </c>
      <c r="P17">
        <f>IF(OR(AND(D17=1,E17=3),AND(D17=3,E17=1)),C17,"")</f>
        <v/>
      </c>
      <c r="Q17">
        <f>IF(OR(AND(D17=2,E17=3),AND(D17=3,E17=2)),C17,"")</f>
        <v/>
      </c>
    </row>
    <row r="18">
      <c r="A18" t="n">
        <v>1</v>
      </c>
      <c r="B18" t="n">
        <v>18</v>
      </c>
      <c r="C18">
        <f>SQRT((Scale_PCA_Mechanics!G2-Scale_PCA_Mechanics!G19)^2+(Scale_PCA_Mechanics!H2-Scale_PCA_Mechanics!H19)^2+(Scale_PCA_Mechanics!I2-Scale_PCA_Mechanics!I19)^2+(Scale_PCA_Mechanics!J2-Scale_PCA_Mechanics!J19)^2)</f>
        <v/>
      </c>
      <c r="D18">
        <f>INDEX(KMeans_6_2!AA2:AA51,A18)</f>
        <v/>
      </c>
      <c r="E18">
        <f>INDEX(KMeans_6_2!AA2:AA51,B18)</f>
        <v/>
      </c>
      <c r="O18">
        <f>IF(OR(AND(D18=1,E18=2),AND(D18=2,E18=1)),C18,"")</f>
        <v/>
      </c>
      <c r="P18">
        <f>IF(OR(AND(D18=1,E18=3),AND(D18=3,E18=1)),C18,"")</f>
        <v/>
      </c>
      <c r="Q18">
        <f>IF(OR(AND(D18=2,E18=3),AND(D18=3,E18=2)),C18,"")</f>
        <v/>
      </c>
    </row>
    <row r="19">
      <c r="A19" t="n">
        <v>1</v>
      </c>
      <c r="B19" t="n">
        <v>19</v>
      </c>
      <c r="C19">
        <f>SQRT((Scale_PCA_Mechanics!G2-Scale_PCA_Mechanics!G20)^2+(Scale_PCA_Mechanics!H2-Scale_PCA_Mechanics!H20)^2+(Scale_PCA_Mechanics!I2-Scale_PCA_Mechanics!I20)^2+(Scale_PCA_Mechanics!J2-Scale_PCA_Mechanics!J20)^2)</f>
        <v/>
      </c>
      <c r="D19">
        <f>INDEX(KMeans_6_2!AA2:AA51,A19)</f>
        <v/>
      </c>
      <c r="E19">
        <f>INDEX(KMeans_6_2!AA2:AA51,B19)</f>
        <v/>
      </c>
      <c r="O19">
        <f>IF(OR(AND(D19=1,E19=2),AND(D19=2,E19=1)),C19,"")</f>
        <v/>
      </c>
      <c r="P19">
        <f>IF(OR(AND(D19=1,E19=3),AND(D19=3,E19=1)),C19,"")</f>
        <v/>
      </c>
      <c r="Q19">
        <f>IF(OR(AND(D19=2,E19=3),AND(D19=3,E19=2)),C19,"")</f>
        <v/>
      </c>
    </row>
    <row r="20">
      <c r="A20" t="n">
        <v>1</v>
      </c>
      <c r="B20" t="n">
        <v>20</v>
      </c>
      <c r="C20">
        <f>SQRT((Scale_PCA_Mechanics!G2-Scale_PCA_Mechanics!G21)^2+(Scale_PCA_Mechanics!H2-Scale_PCA_Mechanics!H21)^2+(Scale_PCA_Mechanics!I2-Scale_PCA_Mechanics!I21)^2+(Scale_PCA_Mechanics!J2-Scale_PCA_Mechanics!J21)^2)</f>
        <v/>
      </c>
      <c r="D20">
        <f>INDEX(KMeans_6_2!AA2:AA51,A20)</f>
        <v/>
      </c>
      <c r="E20">
        <f>INDEX(KMeans_6_2!AA2:AA51,B20)</f>
        <v/>
      </c>
      <c r="O20">
        <f>IF(OR(AND(D20=1,E20=2),AND(D20=2,E20=1)),C20,"")</f>
        <v/>
      </c>
      <c r="P20">
        <f>IF(OR(AND(D20=1,E20=3),AND(D20=3,E20=1)),C20,"")</f>
        <v/>
      </c>
      <c r="Q20">
        <f>IF(OR(AND(D20=2,E20=3),AND(D20=3,E20=2)),C20,"")</f>
        <v/>
      </c>
    </row>
    <row r="21">
      <c r="A21" t="n">
        <v>1</v>
      </c>
      <c r="B21" t="n">
        <v>21</v>
      </c>
      <c r="C21">
        <f>SQRT((Scale_PCA_Mechanics!G2-Scale_PCA_Mechanics!G22)^2+(Scale_PCA_Mechanics!H2-Scale_PCA_Mechanics!H22)^2+(Scale_PCA_Mechanics!I2-Scale_PCA_Mechanics!I22)^2+(Scale_PCA_Mechanics!J2-Scale_PCA_Mechanics!J22)^2)</f>
        <v/>
      </c>
      <c r="D21">
        <f>INDEX(KMeans_6_2!AA2:AA51,A21)</f>
        <v/>
      </c>
      <c r="E21">
        <f>INDEX(KMeans_6_2!AA2:AA51,B21)</f>
        <v/>
      </c>
      <c r="O21">
        <f>IF(OR(AND(D21=1,E21=2),AND(D21=2,E21=1)),C21,"")</f>
        <v/>
      </c>
      <c r="P21">
        <f>IF(OR(AND(D21=1,E21=3),AND(D21=3,E21=1)),C21,"")</f>
        <v/>
      </c>
      <c r="Q21">
        <f>IF(OR(AND(D21=2,E21=3),AND(D21=3,E21=2)),C21,"")</f>
        <v/>
      </c>
    </row>
    <row r="22">
      <c r="A22" t="n">
        <v>1</v>
      </c>
      <c r="B22" t="n">
        <v>22</v>
      </c>
      <c r="C22">
        <f>SQRT((Scale_PCA_Mechanics!G2-Scale_PCA_Mechanics!G23)^2+(Scale_PCA_Mechanics!H2-Scale_PCA_Mechanics!H23)^2+(Scale_PCA_Mechanics!I2-Scale_PCA_Mechanics!I23)^2+(Scale_PCA_Mechanics!J2-Scale_PCA_Mechanics!J23)^2)</f>
        <v/>
      </c>
      <c r="D22">
        <f>INDEX(KMeans_6_2!AA2:AA51,A22)</f>
        <v/>
      </c>
      <c r="E22">
        <f>INDEX(KMeans_6_2!AA2:AA51,B22)</f>
        <v/>
      </c>
      <c r="O22">
        <f>IF(OR(AND(D22=1,E22=2),AND(D22=2,E22=1)),C22,"")</f>
        <v/>
      </c>
      <c r="P22">
        <f>IF(OR(AND(D22=1,E22=3),AND(D22=3,E22=1)),C22,"")</f>
        <v/>
      </c>
      <c r="Q22">
        <f>IF(OR(AND(D22=2,E22=3),AND(D22=3,E22=2)),C22,"")</f>
        <v/>
      </c>
    </row>
    <row r="23">
      <c r="A23" t="n">
        <v>1</v>
      </c>
      <c r="B23" t="n">
        <v>23</v>
      </c>
      <c r="C23">
        <f>SQRT((Scale_PCA_Mechanics!G2-Scale_PCA_Mechanics!G24)^2+(Scale_PCA_Mechanics!H2-Scale_PCA_Mechanics!H24)^2+(Scale_PCA_Mechanics!I2-Scale_PCA_Mechanics!I24)^2+(Scale_PCA_Mechanics!J2-Scale_PCA_Mechanics!J24)^2)</f>
        <v/>
      </c>
      <c r="D23">
        <f>INDEX(KMeans_6_2!AA2:AA51,A23)</f>
        <v/>
      </c>
      <c r="E23">
        <f>INDEX(KMeans_6_2!AA2:AA51,B23)</f>
        <v/>
      </c>
      <c r="O23">
        <f>IF(OR(AND(D23=1,E23=2),AND(D23=2,E23=1)),C23,"")</f>
        <v/>
      </c>
      <c r="P23">
        <f>IF(OR(AND(D23=1,E23=3),AND(D23=3,E23=1)),C23,"")</f>
        <v/>
      </c>
      <c r="Q23">
        <f>IF(OR(AND(D23=2,E23=3),AND(D23=3,E23=2)),C23,"")</f>
        <v/>
      </c>
    </row>
    <row r="24">
      <c r="A24" t="n">
        <v>1</v>
      </c>
      <c r="B24" t="n">
        <v>24</v>
      </c>
      <c r="C24">
        <f>SQRT((Scale_PCA_Mechanics!G2-Scale_PCA_Mechanics!G25)^2+(Scale_PCA_Mechanics!H2-Scale_PCA_Mechanics!H25)^2+(Scale_PCA_Mechanics!I2-Scale_PCA_Mechanics!I25)^2+(Scale_PCA_Mechanics!J2-Scale_PCA_Mechanics!J25)^2)</f>
        <v/>
      </c>
      <c r="D24">
        <f>INDEX(KMeans_6_2!AA2:AA51,A24)</f>
        <v/>
      </c>
      <c r="E24">
        <f>INDEX(KMeans_6_2!AA2:AA51,B24)</f>
        <v/>
      </c>
      <c r="O24">
        <f>IF(OR(AND(D24=1,E24=2),AND(D24=2,E24=1)),C24,"")</f>
        <v/>
      </c>
      <c r="P24">
        <f>IF(OR(AND(D24=1,E24=3),AND(D24=3,E24=1)),C24,"")</f>
        <v/>
      </c>
      <c r="Q24">
        <f>IF(OR(AND(D24=2,E24=3),AND(D24=3,E24=2)),C24,"")</f>
        <v/>
      </c>
    </row>
    <row r="25">
      <c r="A25" t="n">
        <v>1</v>
      </c>
      <c r="B25" t="n">
        <v>25</v>
      </c>
      <c r="C25">
        <f>SQRT((Scale_PCA_Mechanics!G2-Scale_PCA_Mechanics!G26)^2+(Scale_PCA_Mechanics!H2-Scale_PCA_Mechanics!H26)^2+(Scale_PCA_Mechanics!I2-Scale_PCA_Mechanics!I26)^2+(Scale_PCA_Mechanics!J2-Scale_PCA_Mechanics!J26)^2)</f>
        <v/>
      </c>
      <c r="D25">
        <f>INDEX(KMeans_6_2!AA2:AA51,A25)</f>
        <v/>
      </c>
      <c r="E25">
        <f>INDEX(KMeans_6_2!AA2:AA51,B25)</f>
        <v/>
      </c>
      <c r="O25">
        <f>IF(OR(AND(D25=1,E25=2),AND(D25=2,E25=1)),C25,"")</f>
        <v/>
      </c>
      <c r="P25">
        <f>IF(OR(AND(D25=1,E25=3),AND(D25=3,E25=1)),C25,"")</f>
        <v/>
      </c>
      <c r="Q25">
        <f>IF(OR(AND(D25=2,E25=3),AND(D25=3,E25=2)),C25,"")</f>
        <v/>
      </c>
    </row>
    <row r="26">
      <c r="A26" t="n">
        <v>1</v>
      </c>
      <c r="B26" t="n">
        <v>26</v>
      </c>
      <c r="C26">
        <f>SQRT((Scale_PCA_Mechanics!G2-Scale_PCA_Mechanics!G27)^2+(Scale_PCA_Mechanics!H2-Scale_PCA_Mechanics!H27)^2+(Scale_PCA_Mechanics!I2-Scale_PCA_Mechanics!I27)^2+(Scale_PCA_Mechanics!J2-Scale_PCA_Mechanics!J27)^2)</f>
        <v/>
      </c>
      <c r="D26">
        <f>INDEX(KMeans_6_2!AA2:AA51,A26)</f>
        <v/>
      </c>
      <c r="E26">
        <f>INDEX(KMeans_6_2!AA2:AA51,B26)</f>
        <v/>
      </c>
      <c r="O26">
        <f>IF(OR(AND(D26=1,E26=2),AND(D26=2,E26=1)),C26,"")</f>
        <v/>
      </c>
      <c r="P26">
        <f>IF(OR(AND(D26=1,E26=3),AND(D26=3,E26=1)),C26,"")</f>
        <v/>
      </c>
      <c r="Q26">
        <f>IF(OR(AND(D26=2,E26=3),AND(D26=3,E26=2)),C26,"")</f>
        <v/>
      </c>
    </row>
    <row r="27">
      <c r="A27" t="n">
        <v>1</v>
      </c>
      <c r="B27" t="n">
        <v>27</v>
      </c>
      <c r="C27">
        <f>SQRT((Scale_PCA_Mechanics!G2-Scale_PCA_Mechanics!G28)^2+(Scale_PCA_Mechanics!H2-Scale_PCA_Mechanics!H28)^2+(Scale_PCA_Mechanics!I2-Scale_PCA_Mechanics!I28)^2+(Scale_PCA_Mechanics!J2-Scale_PCA_Mechanics!J28)^2)</f>
        <v/>
      </c>
      <c r="D27">
        <f>INDEX(KMeans_6_2!AA2:AA51,A27)</f>
        <v/>
      </c>
      <c r="E27">
        <f>INDEX(KMeans_6_2!AA2:AA51,B27)</f>
        <v/>
      </c>
      <c r="O27">
        <f>IF(OR(AND(D27=1,E27=2),AND(D27=2,E27=1)),C27,"")</f>
        <v/>
      </c>
      <c r="P27">
        <f>IF(OR(AND(D27=1,E27=3),AND(D27=3,E27=1)),C27,"")</f>
        <v/>
      </c>
      <c r="Q27">
        <f>IF(OR(AND(D27=2,E27=3),AND(D27=3,E27=2)),C27,"")</f>
        <v/>
      </c>
    </row>
    <row r="28">
      <c r="A28" t="n">
        <v>1</v>
      </c>
      <c r="B28" t="n">
        <v>28</v>
      </c>
      <c r="C28">
        <f>SQRT((Scale_PCA_Mechanics!G2-Scale_PCA_Mechanics!G29)^2+(Scale_PCA_Mechanics!H2-Scale_PCA_Mechanics!H29)^2+(Scale_PCA_Mechanics!I2-Scale_PCA_Mechanics!I29)^2+(Scale_PCA_Mechanics!J2-Scale_PCA_Mechanics!J29)^2)</f>
        <v/>
      </c>
      <c r="D28">
        <f>INDEX(KMeans_6_2!AA2:AA51,A28)</f>
        <v/>
      </c>
      <c r="E28">
        <f>INDEX(KMeans_6_2!AA2:AA51,B28)</f>
        <v/>
      </c>
      <c r="O28">
        <f>IF(OR(AND(D28=1,E28=2),AND(D28=2,E28=1)),C28,"")</f>
        <v/>
      </c>
      <c r="P28">
        <f>IF(OR(AND(D28=1,E28=3),AND(D28=3,E28=1)),C28,"")</f>
        <v/>
      </c>
      <c r="Q28">
        <f>IF(OR(AND(D28=2,E28=3),AND(D28=3,E28=2)),C28,"")</f>
        <v/>
      </c>
    </row>
    <row r="29">
      <c r="A29" t="n">
        <v>1</v>
      </c>
      <c r="B29" t="n">
        <v>29</v>
      </c>
      <c r="C29">
        <f>SQRT((Scale_PCA_Mechanics!G2-Scale_PCA_Mechanics!G30)^2+(Scale_PCA_Mechanics!H2-Scale_PCA_Mechanics!H30)^2+(Scale_PCA_Mechanics!I2-Scale_PCA_Mechanics!I30)^2+(Scale_PCA_Mechanics!J2-Scale_PCA_Mechanics!J30)^2)</f>
        <v/>
      </c>
      <c r="D29">
        <f>INDEX(KMeans_6_2!AA2:AA51,A29)</f>
        <v/>
      </c>
      <c r="E29">
        <f>INDEX(KMeans_6_2!AA2:AA51,B29)</f>
        <v/>
      </c>
      <c r="O29">
        <f>IF(OR(AND(D29=1,E29=2),AND(D29=2,E29=1)),C29,"")</f>
        <v/>
      </c>
      <c r="P29">
        <f>IF(OR(AND(D29=1,E29=3),AND(D29=3,E29=1)),C29,"")</f>
        <v/>
      </c>
      <c r="Q29">
        <f>IF(OR(AND(D29=2,E29=3),AND(D29=3,E29=2)),C29,"")</f>
        <v/>
      </c>
    </row>
    <row r="30">
      <c r="A30" t="n">
        <v>1</v>
      </c>
      <c r="B30" t="n">
        <v>30</v>
      </c>
      <c r="C30">
        <f>SQRT((Scale_PCA_Mechanics!G2-Scale_PCA_Mechanics!G31)^2+(Scale_PCA_Mechanics!H2-Scale_PCA_Mechanics!H31)^2+(Scale_PCA_Mechanics!I2-Scale_PCA_Mechanics!I31)^2+(Scale_PCA_Mechanics!J2-Scale_PCA_Mechanics!J31)^2)</f>
        <v/>
      </c>
      <c r="D30">
        <f>INDEX(KMeans_6_2!AA2:AA51,A30)</f>
        <v/>
      </c>
      <c r="E30">
        <f>INDEX(KMeans_6_2!AA2:AA51,B30)</f>
        <v/>
      </c>
      <c r="O30">
        <f>IF(OR(AND(D30=1,E30=2),AND(D30=2,E30=1)),C30,"")</f>
        <v/>
      </c>
      <c r="P30">
        <f>IF(OR(AND(D30=1,E30=3),AND(D30=3,E30=1)),C30,"")</f>
        <v/>
      </c>
      <c r="Q30">
        <f>IF(OR(AND(D30=2,E30=3),AND(D30=3,E30=2)),C30,"")</f>
        <v/>
      </c>
    </row>
    <row r="31">
      <c r="A31" t="n">
        <v>1</v>
      </c>
      <c r="B31" t="n">
        <v>31</v>
      </c>
      <c r="C31">
        <f>SQRT((Scale_PCA_Mechanics!G2-Scale_PCA_Mechanics!G32)^2+(Scale_PCA_Mechanics!H2-Scale_PCA_Mechanics!H32)^2+(Scale_PCA_Mechanics!I2-Scale_PCA_Mechanics!I32)^2+(Scale_PCA_Mechanics!J2-Scale_PCA_Mechanics!J32)^2)</f>
        <v/>
      </c>
      <c r="D31">
        <f>INDEX(KMeans_6_2!AA2:AA51,A31)</f>
        <v/>
      </c>
      <c r="E31">
        <f>INDEX(KMeans_6_2!AA2:AA51,B31)</f>
        <v/>
      </c>
      <c r="O31">
        <f>IF(OR(AND(D31=1,E31=2),AND(D31=2,E31=1)),C31,"")</f>
        <v/>
      </c>
      <c r="P31">
        <f>IF(OR(AND(D31=1,E31=3),AND(D31=3,E31=1)),C31,"")</f>
        <v/>
      </c>
      <c r="Q31">
        <f>IF(OR(AND(D31=2,E31=3),AND(D31=3,E31=2)),C31,"")</f>
        <v/>
      </c>
    </row>
    <row r="32">
      <c r="A32" t="n">
        <v>1</v>
      </c>
      <c r="B32" t="n">
        <v>32</v>
      </c>
      <c r="C32">
        <f>SQRT((Scale_PCA_Mechanics!G2-Scale_PCA_Mechanics!G33)^2+(Scale_PCA_Mechanics!H2-Scale_PCA_Mechanics!H33)^2+(Scale_PCA_Mechanics!I2-Scale_PCA_Mechanics!I33)^2+(Scale_PCA_Mechanics!J2-Scale_PCA_Mechanics!J33)^2)</f>
        <v/>
      </c>
      <c r="D32">
        <f>INDEX(KMeans_6_2!AA2:AA51,A32)</f>
        <v/>
      </c>
      <c r="E32">
        <f>INDEX(KMeans_6_2!AA2:AA51,B32)</f>
        <v/>
      </c>
      <c r="O32">
        <f>IF(OR(AND(D32=1,E32=2),AND(D32=2,E32=1)),C32,"")</f>
        <v/>
      </c>
      <c r="P32">
        <f>IF(OR(AND(D32=1,E32=3),AND(D32=3,E32=1)),C32,"")</f>
        <v/>
      </c>
      <c r="Q32">
        <f>IF(OR(AND(D32=2,E32=3),AND(D32=3,E32=2)),C32,"")</f>
        <v/>
      </c>
    </row>
    <row r="33">
      <c r="A33" t="n">
        <v>1</v>
      </c>
      <c r="B33" t="n">
        <v>33</v>
      </c>
      <c r="C33">
        <f>SQRT((Scale_PCA_Mechanics!G2-Scale_PCA_Mechanics!G34)^2+(Scale_PCA_Mechanics!H2-Scale_PCA_Mechanics!H34)^2+(Scale_PCA_Mechanics!I2-Scale_PCA_Mechanics!I34)^2+(Scale_PCA_Mechanics!J2-Scale_PCA_Mechanics!J34)^2)</f>
        <v/>
      </c>
      <c r="D33">
        <f>INDEX(KMeans_6_2!AA2:AA51,A33)</f>
        <v/>
      </c>
      <c r="E33">
        <f>INDEX(KMeans_6_2!AA2:AA51,B33)</f>
        <v/>
      </c>
      <c r="O33">
        <f>IF(OR(AND(D33=1,E33=2),AND(D33=2,E33=1)),C33,"")</f>
        <v/>
      </c>
      <c r="P33">
        <f>IF(OR(AND(D33=1,E33=3),AND(D33=3,E33=1)),C33,"")</f>
        <v/>
      </c>
      <c r="Q33">
        <f>IF(OR(AND(D33=2,E33=3),AND(D33=3,E33=2)),C33,"")</f>
        <v/>
      </c>
    </row>
    <row r="34">
      <c r="A34" t="n">
        <v>1</v>
      </c>
      <c r="B34" t="n">
        <v>34</v>
      </c>
      <c r="C34">
        <f>SQRT((Scale_PCA_Mechanics!G2-Scale_PCA_Mechanics!G35)^2+(Scale_PCA_Mechanics!H2-Scale_PCA_Mechanics!H35)^2+(Scale_PCA_Mechanics!I2-Scale_PCA_Mechanics!I35)^2+(Scale_PCA_Mechanics!J2-Scale_PCA_Mechanics!J35)^2)</f>
        <v/>
      </c>
      <c r="D34">
        <f>INDEX(KMeans_6_2!AA2:AA51,A34)</f>
        <v/>
      </c>
      <c r="E34">
        <f>INDEX(KMeans_6_2!AA2:AA51,B34)</f>
        <v/>
      </c>
      <c r="O34">
        <f>IF(OR(AND(D34=1,E34=2),AND(D34=2,E34=1)),C34,"")</f>
        <v/>
      </c>
      <c r="P34">
        <f>IF(OR(AND(D34=1,E34=3),AND(D34=3,E34=1)),C34,"")</f>
        <v/>
      </c>
      <c r="Q34">
        <f>IF(OR(AND(D34=2,E34=3),AND(D34=3,E34=2)),C34,"")</f>
        <v/>
      </c>
    </row>
    <row r="35">
      <c r="A35" t="n">
        <v>1</v>
      </c>
      <c r="B35" t="n">
        <v>35</v>
      </c>
      <c r="C35">
        <f>SQRT((Scale_PCA_Mechanics!G2-Scale_PCA_Mechanics!G36)^2+(Scale_PCA_Mechanics!H2-Scale_PCA_Mechanics!H36)^2+(Scale_PCA_Mechanics!I2-Scale_PCA_Mechanics!I36)^2+(Scale_PCA_Mechanics!J2-Scale_PCA_Mechanics!J36)^2)</f>
        <v/>
      </c>
      <c r="D35">
        <f>INDEX(KMeans_6_2!AA2:AA51,A35)</f>
        <v/>
      </c>
      <c r="E35">
        <f>INDEX(KMeans_6_2!AA2:AA51,B35)</f>
        <v/>
      </c>
      <c r="O35">
        <f>IF(OR(AND(D35=1,E35=2),AND(D35=2,E35=1)),C35,"")</f>
        <v/>
      </c>
      <c r="P35">
        <f>IF(OR(AND(D35=1,E35=3),AND(D35=3,E35=1)),C35,"")</f>
        <v/>
      </c>
      <c r="Q35">
        <f>IF(OR(AND(D35=2,E35=3),AND(D35=3,E35=2)),C35,"")</f>
        <v/>
      </c>
    </row>
    <row r="36">
      <c r="A36" t="n">
        <v>1</v>
      </c>
      <c r="B36" t="n">
        <v>36</v>
      </c>
      <c r="C36">
        <f>SQRT((Scale_PCA_Mechanics!G2-Scale_PCA_Mechanics!G37)^2+(Scale_PCA_Mechanics!H2-Scale_PCA_Mechanics!H37)^2+(Scale_PCA_Mechanics!I2-Scale_PCA_Mechanics!I37)^2+(Scale_PCA_Mechanics!J2-Scale_PCA_Mechanics!J37)^2)</f>
        <v/>
      </c>
      <c r="D36">
        <f>INDEX(KMeans_6_2!AA2:AA51,A36)</f>
        <v/>
      </c>
      <c r="E36">
        <f>INDEX(KMeans_6_2!AA2:AA51,B36)</f>
        <v/>
      </c>
      <c r="O36">
        <f>IF(OR(AND(D36=1,E36=2),AND(D36=2,E36=1)),C36,"")</f>
        <v/>
      </c>
      <c r="P36">
        <f>IF(OR(AND(D36=1,E36=3),AND(D36=3,E36=1)),C36,"")</f>
        <v/>
      </c>
      <c r="Q36">
        <f>IF(OR(AND(D36=2,E36=3),AND(D36=3,E36=2)),C36,"")</f>
        <v/>
      </c>
    </row>
    <row r="37">
      <c r="A37" t="n">
        <v>1</v>
      </c>
      <c r="B37" t="n">
        <v>37</v>
      </c>
      <c r="C37">
        <f>SQRT((Scale_PCA_Mechanics!G2-Scale_PCA_Mechanics!G38)^2+(Scale_PCA_Mechanics!H2-Scale_PCA_Mechanics!H38)^2+(Scale_PCA_Mechanics!I2-Scale_PCA_Mechanics!I38)^2+(Scale_PCA_Mechanics!J2-Scale_PCA_Mechanics!J38)^2)</f>
        <v/>
      </c>
      <c r="D37">
        <f>INDEX(KMeans_6_2!AA2:AA51,A37)</f>
        <v/>
      </c>
      <c r="E37">
        <f>INDEX(KMeans_6_2!AA2:AA51,B37)</f>
        <v/>
      </c>
      <c r="O37">
        <f>IF(OR(AND(D37=1,E37=2),AND(D37=2,E37=1)),C37,"")</f>
        <v/>
      </c>
      <c r="P37">
        <f>IF(OR(AND(D37=1,E37=3),AND(D37=3,E37=1)),C37,"")</f>
        <v/>
      </c>
      <c r="Q37">
        <f>IF(OR(AND(D37=2,E37=3),AND(D37=3,E37=2)),C37,"")</f>
        <v/>
      </c>
    </row>
    <row r="38">
      <c r="A38" t="n">
        <v>1</v>
      </c>
      <c r="B38" t="n">
        <v>38</v>
      </c>
      <c r="C38">
        <f>SQRT((Scale_PCA_Mechanics!G2-Scale_PCA_Mechanics!G39)^2+(Scale_PCA_Mechanics!H2-Scale_PCA_Mechanics!H39)^2+(Scale_PCA_Mechanics!I2-Scale_PCA_Mechanics!I39)^2+(Scale_PCA_Mechanics!J2-Scale_PCA_Mechanics!J39)^2)</f>
        <v/>
      </c>
      <c r="D38">
        <f>INDEX(KMeans_6_2!AA2:AA51,A38)</f>
        <v/>
      </c>
      <c r="E38">
        <f>INDEX(KMeans_6_2!AA2:AA51,B38)</f>
        <v/>
      </c>
      <c r="O38">
        <f>IF(OR(AND(D38=1,E38=2),AND(D38=2,E38=1)),C38,"")</f>
        <v/>
      </c>
      <c r="P38">
        <f>IF(OR(AND(D38=1,E38=3),AND(D38=3,E38=1)),C38,"")</f>
        <v/>
      </c>
      <c r="Q38">
        <f>IF(OR(AND(D38=2,E38=3),AND(D38=3,E38=2)),C38,"")</f>
        <v/>
      </c>
    </row>
    <row r="39">
      <c r="A39" t="n">
        <v>1</v>
      </c>
      <c r="B39" t="n">
        <v>39</v>
      </c>
      <c r="C39">
        <f>SQRT((Scale_PCA_Mechanics!G2-Scale_PCA_Mechanics!G40)^2+(Scale_PCA_Mechanics!H2-Scale_PCA_Mechanics!H40)^2+(Scale_PCA_Mechanics!I2-Scale_PCA_Mechanics!I40)^2+(Scale_PCA_Mechanics!J2-Scale_PCA_Mechanics!J40)^2)</f>
        <v/>
      </c>
      <c r="D39">
        <f>INDEX(KMeans_6_2!AA2:AA51,A39)</f>
        <v/>
      </c>
      <c r="E39">
        <f>INDEX(KMeans_6_2!AA2:AA51,B39)</f>
        <v/>
      </c>
      <c r="O39">
        <f>IF(OR(AND(D39=1,E39=2),AND(D39=2,E39=1)),C39,"")</f>
        <v/>
      </c>
      <c r="P39">
        <f>IF(OR(AND(D39=1,E39=3),AND(D39=3,E39=1)),C39,"")</f>
        <v/>
      </c>
      <c r="Q39">
        <f>IF(OR(AND(D39=2,E39=3),AND(D39=3,E39=2)),C39,"")</f>
        <v/>
      </c>
    </row>
    <row r="40">
      <c r="A40" t="n">
        <v>1</v>
      </c>
      <c r="B40" t="n">
        <v>40</v>
      </c>
      <c r="C40">
        <f>SQRT((Scale_PCA_Mechanics!G2-Scale_PCA_Mechanics!G41)^2+(Scale_PCA_Mechanics!H2-Scale_PCA_Mechanics!H41)^2+(Scale_PCA_Mechanics!I2-Scale_PCA_Mechanics!I41)^2+(Scale_PCA_Mechanics!J2-Scale_PCA_Mechanics!J41)^2)</f>
        <v/>
      </c>
      <c r="D40">
        <f>INDEX(KMeans_6_2!AA2:AA51,A40)</f>
        <v/>
      </c>
      <c r="E40">
        <f>INDEX(KMeans_6_2!AA2:AA51,B40)</f>
        <v/>
      </c>
      <c r="O40">
        <f>IF(OR(AND(D40=1,E40=2),AND(D40=2,E40=1)),C40,"")</f>
        <v/>
      </c>
      <c r="P40">
        <f>IF(OR(AND(D40=1,E40=3),AND(D40=3,E40=1)),C40,"")</f>
        <v/>
      </c>
      <c r="Q40">
        <f>IF(OR(AND(D40=2,E40=3),AND(D40=3,E40=2)),C40,"")</f>
        <v/>
      </c>
    </row>
    <row r="41">
      <c r="A41" t="n">
        <v>1</v>
      </c>
      <c r="B41" t="n">
        <v>41</v>
      </c>
      <c r="C41">
        <f>SQRT((Scale_PCA_Mechanics!G2-Scale_PCA_Mechanics!G42)^2+(Scale_PCA_Mechanics!H2-Scale_PCA_Mechanics!H42)^2+(Scale_PCA_Mechanics!I2-Scale_PCA_Mechanics!I42)^2+(Scale_PCA_Mechanics!J2-Scale_PCA_Mechanics!J42)^2)</f>
        <v/>
      </c>
      <c r="D41">
        <f>INDEX(KMeans_6_2!AA2:AA51,A41)</f>
        <v/>
      </c>
      <c r="E41">
        <f>INDEX(KMeans_6_2!AA2:AA51,B41)</f>
        <v/>
      </c>
      <c r="O41">
        <f>IF(OR(AND(D41=1,E41=2),AND(D41=2,E41=1)),C41,"")</f>
        <v/>
      </c>
      <c r="P41">
        <f>IF(OR(AND(D41=1,E41=3),AND(D41=3,E41=1)),C41,"")</f>
        <v/>
      </c>
      <c r="Q41">
        <f>IF(OR(AND(D41=2,E41=3),AND(D41=3,E41=2)),C41,"")</f>
        <v/>
      </c>
    </row>
    <row r="42">
      <c r="A42" t="n">
        <v>1</v>
      </c>
      <c r="B42" t="n">
        <v>42</v>
      </c>
      <c r="C42">
        <f>SQRT((Scale_PCA_Mechanics!G2-Scale_PCA_Mechanics!G43)^2+(Scale_PCA_Mechanics!H2-Scale_PCA_Mechanics!H43)^2+(Scale_PCA_Mechanics!I2-Scale_PCA_Mechanics!I43)^2+(Scale_PCA_Mechanics!J2-Scale_PCA_Mechanics!J43)^2)</f>
        <v/>
      </c>
      <c r="D42">
        <f>INDEX(KMeans_6_2!AA2:AA51,A42)</f>
        <v/>
      </c>
      <c r="E42">
        <f>INDEX(KMeans_6_2!AA2:AA51,B42)</f>
        <v/>
      </c>
      <c r="O42">
        <f>IF(OR(AND(D42=1,E42=2),AND(D42=2,E42=1)),C42,"")</f>
        <v/>
      </c>
      <c r="P42">
        <f>IF(OR(AND(D42=1,E42=3),AND(D42=3,E42=1)),C42,"")</f>
        <v/>
      </c>
      <c r="Q42">
        <f>IF(OR(AND(D42=2,E42=3),AND(D42=3,E42=2)),C42,"")</f>
        <v/>
      </c>
    </row>
    <row r="43">
      <c r="A43" t="n">
        <v>1</v>
      </c>
      <c r="B43" t="n">
        <v>43</v>
      </c>
      <c r="C43">
        <f>SQRT((Scale_PCA_Mechanics!G2-Scale_PCA_Mechanics!G44)^2+(Scale_PCA_Mechanics!H2-Scale_PCA_Mechanics!H44)^2+(Scale_PCA_Mechanics!I2-Scale_PCA_Mechanics!I44)^2+(Scale_PCA_Mechanics!J2-Scale_PCA_Mechanics!J44)^2)</f>
        <v/>
      </c>
      <c r="D43">
        <f>INDEX(KMeans_6_2!AA2:AA51,A43)</f>
        <v/>
      </c>
      <c r="E43">
        <f>INDEX(KMeans_6_2!AA2:AA51,B43)</f>
        <v/>
      </c>
      <c r="O43">
        <f>IF(OR(AND(D43=1,E43=2),AND(D43=2,E43=1)),C43,"")</f>
        <v/>
      </c>
      <c r="P43">
        <f>IF(OR(AND(D43=1,E43=3),AND(D43=3,E43=1)),C43,"")</f>
        <v/>
      </c>
      <c r="Q43">
        <f>IF(OR(AND(D43=2,E43=3),AND(D43=3,E43=2)),C43,"")</f>
        <v/>
      </c>
    </row>
    <row r="44">
      <c r="A44" t="n">
        <v>1</v>
      </c>
      <c r="B44" t="n">
        <v>44</v>
      </c>
      <c r="C44">
        <f>SQRT((Scale_PCA_Mechanics!G2-Scale_PCA_Mechanics!G45)^2+(Scale_PCA_Mechanics!H2-Scale_PCA_Mechanics!H45)^2+(Scale_PCA_Mechanics!I2-Scale_PCA_Mechanics!I45)^2+(Scale_PCA_Mechanics!J2-Scale_PCA_Mechanics!J45)^2)</f>
        <v/>
      </c>
      <c r="D44">
        <f>INDEX(KMeans_6_2!AA2:AA51,A44)</f>
        <v/>
      </c>
      <c r="E44">
        <f>INDEX(KMeans_6_2!AA2:AA51,B44)</f>
        <v/>
      </c>
      <c r="O44">
        <f>IF(OR(AND(D44=1,E44=2),AND(D44=2,E44=1)),C44,"")</f>
        <v/>
      </c>
      <c r="P44">
        <f>IF(OR(AND(D44=1,E44=3),AND(D44=3,E44=1)),C44,"")</f>
        <v/>
      </c>
      <c r="Q44">
        <f>IF(OR(AND(D44=2,E44=3),AND(D44=3,E44=2)),C44,"")</f>
        <v/>
      </c>
    </row>
    <row r="45">
      <c r="A45" t="n">
        <v>1</v>
      </c>
      <c r="B45" t="n">
        <v>45</v>
      </c>
      <c r="C45">
        <f>SQRT((Scale_PCA_Mechanics!G2-Scale_PCA_Mechanics!G46)^2+(Scale_PCA_Mechanics!H2-Scale_PCA_Mechanics!H46)^2+(Scale_PCA_Mechanics!I2-Scale_PCA_Mechanics!I46)^2+(Scale_PCA_Mechanics!J2-Scale_PCA_Mechanics!J46)^2)</f>
        <v/>
      </c>
      <c r="D45">
        <f>INDEX(KMeans_6_2!AA2:AA51,A45)</f>
        <v/>
      </c>
      <c r="E45">
        <f>INDEX(KMeans_6_2!AA2:AA51,B45)</f>
        <v/>
      </c>
      <c r="O45">
        <f>IF(OR(AND(D45=1,E45=2),AND(D45=2,E45=1)),C45,"")</f>
        <v/>
      </c>
      <c r="P45">
        <f>IF(OR(AND(D45=1,E45=3),AND(D45=3,E45=1)),C45,"")</f>
        <v/>
      </c>
      <c r="Q45">
        <f>IF(OR(AND(D45=2,E45=3),AND(D45=3,E45=2)),C45,"")</f>
        <v/>
      </c>
    </row>
    <row r="46">
      <c r="A46" t="n">
        <v>1</v>
      </c>
      <c r="B46" t="n">
        <v>46</v>
      </c>
      <c r="C46">
        <f>SQRT((Scale_PCA_Mechanics!G2-Scale_PCA_Mechanics!G47)^2+(Scale_PCA_Mechanics!H2-Scale_PCA_Mechanics!H47)^2+(Scale_PCA_Mechanics!I2-Scale_PCA_Mechanics!I47)^2+(Scale_PCA_Mechanics!J2-Scale_PCA_Mechanics!J47)^2)</f>
        <v/>
      </c>
      <c r="D46">
        <f>INDEX(KMeans_6_2!AA2:AA51,A46)</f>
        <v/>
      </c>
      <c r="E46">
        <f>INDEX(KMeans_6_2!AA2:AA51,B46)</f>
        <v/>
      </c>
      <c r="O46">
        <f>IF(OR(AND(D46=1,E46=2),AND(D46=2,E46=1)),C46,"")</f>
        <v/>
      </c>
      <c r="P46">
        <f>IF(OR(AND(D46=1,E46=3),AND(D46=3,E46=1)),C46,"")</f>
        <v/>
      </c>
      <c r="Q46">
        <f>IF(OR(AND(D46=2,E46=3),AND(D46=3,E46=2)),C46,"")</f>
        <v/>
      </c>
    </row>
    <row r="47">
      <c r="A47" t="n">
        <v>1</v>
      </c>
      <c r="B47" t="n">
        <v>47</v>
      </c>
      <c r="C47">
        <f>SQRT((Scale_PCA_Mechanics!G2-Scale_PCA_Mechanics!G48)^2+(Scale_PCA_Mechanics!H2-Scale_PCA_Mechanics!H48)^2+(Scale_PCA_Mechanics!I2-Scale_PCA_Mechanics!I48)^2+(Scale_PCA_Mechanics!J2-Scale_PCA_Mechanics!J48)^2)</f>
        <v/>
      </c>
      <c r="D47">
        <f>INDEX(KMeans_6_2!AA2:AA51,A47)</f>
        <v/>
      </c>
      <c r="E47">
        <f>INDEX(KMeans_6_2!AA2:AA51,B47)</f>
        <v/>
      </c>
      <c r="O47">
        <f>IF(OR(AND(D47=1,E47=2),AND(D47=2,E47=1)),C47,"")</f>
        <v/>
      </c>
      <c r="P47">
        <f>IF(OR(AND(D47=1,E47=3),AND(D47=3,E47=1)),C47,"")</f>
        <v/>
      </c>
      <c r="Q47">
        <f>IF(OR(AND(D47=2,E47=3),AND(D47=3,E47=2)),C47,"")</f>
        <v/>
      </c>
    </row>
    <row r="48">
      <c r="A48" t="n">
        <v>1</v>
      </c>
      <c r="B48" t="n">
        <v>48</v>
      </c>
      <c r="C48">
        <f>SQRT((Scale_PCA_Mechanics!G2-Scale_PCA_Mechanics!G49)^2+(Scale_PCA_Mechanics!H2-Scale_PCA_Mechanics!H49)^2+(Scale_PCA_Mechanics!I2-Scale_PCA_Mechanics!I49)^2+(Scale_PCA_Mechanics!J2-Scale_PCA_Mechanics!J49)^2)</f>
        <v/>
      </c>
      <c r="D48">
        <f>INDEX(KMeans_6_2!AA2:AA51,A48)</f>
        <v/>
      </c>
      <c r="E48">
        <f>INDEX(KMeans_6_2!AA2:AA51,B48)</f>
        <v/>
      </c>
      <c r="O48">
        <f>IF(OR(AND(D48=1,E48=2),AND(D48=2,E48=1)),C48,"")</f>
        <v/>
      </c>
      <c r="P48">
        <f>IF(OR(AND(D48=1,E48=3),AND(D48=3,E48=1)),C48,"")</f>
        <v/>
      </c>
      <c r="Q48">
        <f>IF(OR(AND(D48=2,E48=3),AND(D48=3,E48=2)),C48,"")</f>
        <v/>
      </c>
    </row>
    <row r="49">
      <c r="A49" t="n">
        <v>1</v>
      </c>
      <c r="B49" t="n">
        <v>49</v>
      </c>
      <c r="C49">
        <f>SQRT((Scale_PCA_Mechanics!G2-Scale_PCA_Mechanics!G50)^2+(Scale_PCA_Mechanics!H2-Scale_PCA_Mechanics!H50)^2+(Scale_PCA_Mechanics!I2-Scale_PCA_Mechanics!I50)^2+(Scale_PCA_Mechanics!J2-Scale_PCA_Mechanics!J50)^2)</f>
        <v/>
      </c>
      <c r="D49">
        <f>INDEX(KMeans_6_2!AA2:AA51,A49)</f>
        <v/>
      </c>
      <c r="E49">
        <f>INDEX(KMeans_6_2!AA2:AA51,B49)</f>
        <v/>
      </c>
      <c r="O49">
        <f>IF(OR(AND(D49=1,E49=2),AND(D49=2,E49=1)),C49,"")</f>
        <v/>
      </c>
      <c r="P49">
        <f>IF(OR(AND(D49=1,E49=3),AND(D49=3,E49=1)),C49,"")</f>
        <v/>
      </c>
      <c r="Q49">
        <f>IF(OR(AND(D49=2,E49=3),AND(D49=3,E49=2)),C49,"")</f>
        <v/>
      </c>
    </row>
    <row r="50">
      <c r="A50" t="n">
        <v>1</v>
      </c>
      <c r="B50" t="n">
        <v>50</v>
      </c>
      <c r="C50">
        <f>SQRT((Scale_PCA_Mechanics!G2-Scale_PCA_Mechanics!G51)^2+(Scale_PCA_Mechanics!H2-Scale_PCA_Mechanics!H51)^2+(Scale_PCA_Mechanics!I2-Scale_PCA_Mechanics!I51)^2+(Scale_PCA_Mechanics!J2-Scale_PCA_Mechanics!J51)^2)</f>
        <v/>
      </c>
      <c r="D50">
        <f>INDEX(KMeans_6_2!AA2:AA51,A50)</f>
        <v/>
      </c>
      <c r="E50">
        <f>INDEX(KMeans_6_2!AA2:AA51,B50)</f>
        <v/>
      </c>
      <c r="O50">
        <f>IF(OR(AND(D50=1,E50=2),AND(D50=2,E50=1)),C50,"")</f>
        <v/>
      </c>
      <c r="P50">
        <f>IF(OR(AND(D50=1,E50=3),AND(D50=3,E50=1)),C50,"")</f>
        <v/>
      </c>
      <c r="Q50">
        <f>IF(OR(AND(D50=2,E50=3),AND(D50=3,E50=2)),C50,"")</f>
        <v/>
      </c>
    </row>
    <row r="51">
      <c r="A51" t="n">
        <v>2</v>
      </c>
      <c r="B51" t="n">
        <v>3</v>
      </c>
      <c r="C51">
        <f>SQRT((Scale_PCA_Mechanics!G3-Scale_PCA_Mechanics!G4)^2+(Scale_PCA_Mechanics!H3-Scale_PCA_Mechanics!H4)^2+(Scale_PCA_Mechanics!I3-Scale_PCA_Mechanics!I4)^2+(Scale_PCA_Mechanics!J3-Scale_PCA_Mechanics!J4)^2)</f>
        <v/>
      </c>
      <c r="D51">
        <f>INDEX(KMeans_6_2!AA2:AA51,A51)</f>
        <v/>
      </c>
      <c r="E51">
        <f>INDEX(KMeans_6_2!AA2:AA51,B51)</f>
        <v/>
      </c>
      <c r="O51">
        <f>IF(OR(AND(D51=1,E51=2),AND(D51=2,E51=1)),C51,"")</f>
        <v/>
      </c>
      <c r="P51">
        <f>IF(OR(AND(D51=1,E51=3),AND(D51=3,E51=1)),C51,"")</f>
        <v/>
      </c>
      <c r="Q51">
        <f>IF(OR(AND(D51=2,E51=3),AND(D51=3,E51=2)),C51,"")</f>
        <v/>
      </c>
    </row>
    <row r="52">
      <c r="A52" t="n">
        <v>2</v>
      </c>
      <c r="B52" t="n">
        <v>4</v>
      </c>
      <c r="C52">
        <f>SQRT((Scale_PCA_Mechanics!G3-Scale_PCA_Mechanics!G5)^2+(Scale_PCA_Mechanics!H3-Scale_PCA_Mechanics!H5)^2+(Scale_PCA_Mechanics!I3-Scale_PCA_Mechanics!I5)^2+(Scale_PCA_Mechanics!J3-Scale_PCA_Mechanics!J5)^2)</f>
        <v/>
      </c>
      <c r="D52">
        <f>INDEX(KMeans_6_2!AA2:AA51,A52)</f>
        <v/>
      </c>
      <c r="E52">
        <f>INDEX(KMeans_6_2!AA2:AA51,B52)</f>
        <v/>
      </c>
      <c r="O52">
        <f>IF(OR(AND(D52=1,E52=2),AND(D52=2,E52=1)),C52,"")</f>
        <v/>
      </c>
      <c r="P52">
        <f>IF(OR(AND(D52=1,E52=3),AND(D52=3,E52=1)),C52,"")</f>
        <v/>
      </c>
      <c r="Q52">
        <f>IF(OR(AND(D52=2,E52=3),AND(D52=3,E52=2)),C52,"")</f>
        <v/>
      </c>
    </row>
    <row r="53">
      <c r="A53" t="n">
        <v>2</v>
      </c>
      <c r="B53" t="n">
        <v>5</v>
      </c>
      <c r="C53">
        <f>SQRT((Scale_PCA_Mechanics!G3-Scale_PCA_Mechanics!G6)^2+(Scale_PCA_Mechanics!H3-Scale_PCA_Mechanics!H6)^2+(Scale_PCA_Mechanics!I3-Scale_PCA_Mechanics!I6)^2+(Scale_PCA_Mechanics!J3-Scale_PCA_Mechanics!J6)^2)</f>
        <v/>
      </c>
      <c r="D53">
        <f>INDEX(KMeans_6_2!AA2:AA51,A53)</f>
        <v/>
      </c>
      <c r="E53">
        <f>INDEX(KMeans_6_2!AA2:AA51,B53)</f>
        <v/>
      </c>
      <c r="O53">
        <f>IF(OR(AND(D53=1,E53=2),AND(D53=2,E53=1)),C53,"")</f>
        <v/>
      </c>
      <c r="P53">
        <f>IF(OR(AND(D53=1,E53=3),AND(D53=3,E53=1)),C53,"")</f>
        <v/>
      </c>
      <c r="Q53">
        <f>IF(OR(AND(D53=2,E53=3),AND(D53=3,E53=2)),C53,"")</f>
        <v/>
      </c>
    </row>
    <row r="54">
      <c r="A54" t="n">
        <v>2</v>
      </c>
      <c r="B54" t="n">
        <v>6</v>
      </c>
      <c r="C54">
        <f>SQRT((Scale_PCA_Mechanics!G3-Scale_PCA_Mechanics!G7)^2+(Scale_PCA_Mechanics!H3-Scale_PCA_Mechanics!H7)^2+(Scale_PCA_Mechanics!I3-Scale_PCA_Mechanics!I7)^2+(Scale_PCA_Mechanics!J3-Scale_PCA_Mechanics!J7)^2)</f>
        <v/>
      </c>
      <c r="D54">
        <f>INDEX(KMeans_6_2!AA2:AA51,A54)</f>
        <v/>
      </c>
      <c r="E54">
        <f>INDEX(KMeans_6_2!AA2:AA51,B54)</f>
        <v/>
      </c>
      <c r="O54">
        <f>IF(OR(AND(D54=1,E54=2),AND(D54=2,E54=1)),C54,"")</f>
        <v/>
      </c>
      <c r="P54">
        <f>IF(OR(AND(D54=1,E54=3),AND(D54=3,E54=1)),C54,"")</f>
        <v/>
      </c>
      <c r="Q54">
        <f>IF(OR(AND(D54=2,E54=3),AND(D54=3,E54=2)),C54,"")</f>
        <v/>
      </c>
    </row>
    <row r="55">
      <c r="A55" t="n">
        <v>2</v>
      </c>
      <c r="B55" t="n">
        <v>7</v>
      </c>
      <c r="C55">
        <f>SQRT((Scale_PCA_Mechanics!G3-Scale_PCA_Mechanics!G8)^2+(Scale_PCA_Mechanics!H3-Scale_PCA_Mechanics!H8)^2+(Scale_PCA_Mechanics!I3-Scale_PCA_Mechanics!I8)^2+(Scale_PCA_Mechanics!J3-Scale_PCA_Mechanics!J8)^2)</f>
        <v/>
      </c>
      <c r="D55">
        <f>INDEX(KMeans_6_2!AA2:AA51,A55)</f>
        <v/>
      </c>
      <c r="E55">
        <f>INDEX(KMeans_6_2!AA2:AA51,B55)</f>
        <v/>
      </c>
      <c r="O55">
        <f>IF(OR(AND(D55=1,E55=2),AND(D55=2,E55=1)),C55,"")</f>
        <v/>
      </c>
      <c r="P55">
        <f>IF(OR(AND(D55=1,E55=3),AND(D55=3,E55=1)),C55,"")</f>
        <v/>
      </c>
      <c r="Q55">
        <f>IF(OR(AND(D55=2,E55=3),AND(D55=3,E55=2)),C55,"")</f>
        <v/>
      </c>
    </row>
    <row r="56">
      <c r="A56" t="n">
        <v>2</v>
      </c>
      <c r="B56" t="n">
        <v>8</v>
      </c>
      <c r="C56">
        <f>SQRT((Scale_PCA_Mechanics!G3-Scale_PCA_Mechanics!G9)^2+(Scale_PCA_Mechanics!H3-Scale_PCA_Mechanics!H9)^2+(Scale_PCA_Mechanics!I3-Scale_PCA_Mechanics!I9)^2+(Scale_PCA_Mechanics!J3-Scale_PCA_Mechanics!J9)^2)</f>
        <v/>
      </c>
      <c r="D56">
        <f>INDEX(KMeans_6_2!AA2:AA51,A56)</f>
        <v/>
      </c>
      <c r="E56">
        <f>INDEX(KMeans_6_2!AA2:AA51,B56)</f>
        <v/>
      </c>
      <c r="O56">
        <f>IF(OR(AND(D56=1,E56=2),AND(D56=2,E56=1)),C56,"")</f>
        <v/>
      </c>
      <c r="P56">
        <f>IF(OR(AND(D56=1,E56=3),AND(D56=3,E56=1)),C56,"")</f>
        <v/>
      </c>
      <c r="Q56">
        <f>IF(OR(AND(D56=2,E56=3),AND(D56=3,E56=2)),C56,"")</f>
        <v/>
      </c>
    </row>
    <row r="57">
      <c r="A57" t="n">
        <v>2</v>
      </c>
      <c r="B57" t="n">
        <v>9</v>
      </c>
      <c r="C57">
        <f>SQRT((Scale_PCA_Mechanics!G3-Scale_PCA_Mechanics!G10)^2+(Scale_PCA_Mechanics!H3-Scale_PCA_Mechanics!H10)^2+(Scale_PCA_Mechanics!I3-Scale_PCA_Mechanics!I10)^2+(Scale_PCA_Mechanics!J3-Scale_PCA_Mechanics!J10)^2)</f>
        <v/>
      </c>
      <c r="D57">
        <f>INDEX(KMeans_6_2!AA2:AA51,A57)</f>
        <v/>
      </c>
      <c r="E57">
        <f>INDEX(KMeans_6_2!AA2:AA51,B57)</f>
        <v/>
      </c>
      <c r="O57">
        <f>IF(OR(AND(D57=1,E57=2),AND(D57=2,E57=1)),C57,"")</f>
        <v/>
      </c>
      <c r="P57">
        <f>IF(OR(AND(D57=1,E57=3),AND(D57=3,E57=1)),C57,"")</f>
        <v/>
      </c>
      <c r="Q57">
        <f>IF(OR(AND(D57=2,E57=3),AND(D57=3,E57=2)),C57,"")</f>
        <v/>
      </c>
    </row>
    <row r="58">
      <c r="A58" t="n">
        <v>2</v>
      </c>
      <c r="B58" t="n">
        <v>10</v>
      </c>
      <c r="C58">
        <f>SQRT((Scale_PCA_Mechanics!G3-Scale_PCA_Mechanics!G11)^2+(Scale_PCA_Mechanics!H3-Scale_PCA_Mechanics!H11)^2+(Scale_PCA_Mechanics!I3-Scale_PCA_Mechanics!I11)^2+(Scale_PCA_Mechanics!J3-Scale_PCA_Mechanics!J11)^2)</f>
        <v/>
      </c>
      <c r="D58">
        <f>INDEX(KMeans_6_2!AA2:AA51,A58)</f>
        <v/>
      </c>
      <c r="E58">
        <f>INDEX(KMeans_6_2!AA2:AA51,B58)</f>
        <v/>
      </c>
      <c r="O58">
        <f>IF(OR(AND(D58=1,E58=2),AND(D58=2,E58=1)),C58,"")</f>
        <v/>
      </c>
      <c r="P58">
        <f>IF(OR(AND(D58=1,E58=3),AND(D58=3,E58=1)),C58,"")</f>
        <v/>
      </c>
      <c r="Q58">
        <f>IF(OR(AND(D58=2,E58=3),AND(D58=3,E58=2)),C58,"")</f>
        <v/>
      </c>
    </row>
    <row r="59">
      <c r="A59" t="n">
        <v>2</v>
      </c>
      <c r="B59" t="n">
        <v>11</v>
      </c>
      <c r="C59">
        <f>SQRT((Scale_PCA_Mechanics!G3-Scale_PCA_Mechanics!G12)^2+(Scale_PCA_Mechanics!H3-Scale_PCA_Mechanics!H12)^2+(Scale_PCA_Mechanics!I3-Scale_PCA_Mechanics!I12)^2+(Scale_PCA_Mechanics!J3-Scale_PCA_Mechanics!J12)^2)</f>
        <v/>
      </c>
      <c r="D59">
        <f>INDEX(KMeans_6_2!AA2:AA51,A59)</f>
        <v/>
      </c>
      <c r="E59">
        <f>INDEX(KMeans_6_2!AA2:AA51,B59)</f>
        <v/>
      </c>
      <c r="O59">
        <f>IF(OR(AND(D59=1,E59=2),AND(D59=2,E59=1)),C59,"")</f>
        <v/>
      </c>
      <c r="P59">
        <f>IF(OR(AND(D59=1,E59=3),AND(D59=3,E59=1)),C59,"")</f>
        <v/>
      </c>
      <c r="Q59">
        <f>IF(OR(AND(D59=2,E59=3),AND(D59=3,E59=2)),C59,"")</f>
        <v/>
      </c>
    </row>
    <row r="60">
      <c r="A60" t="n">
        <v>2</v>
      </c>
      <c r="B60" t="n">
        <v>12</v>
      </c>
      <c r="C60">
        <f>SQRT((Scale_PCA_Mechanics!G3-Scale_PCA_Mechanics!G13)^2+(Scale_PCA_Mechanics!H3-Scale_PCA_Mechanics!H13)^2+(Scale_PCA_Mechanics!I3-Scale_PCA_Mechanics!I13)^2+(Scale_PCA_Mechanics!J3-Scale_PCA_Mechanics!J13)^2)</f>
        <v/>
      </c>
      <c r="D60">
        <f>INDEX(KMeans_6_2!AA2:AA51,A60)</f>
        <v/>
      </c>
      <c r="E60">
        <f>INDEX(KMeans_6_2!AA2:AA51,B60)</f>
        <v/>
      </c>
      <c r="O60">
        <f>IF(OR(AND(D60=1,E60=2),AND(D60=2,E60=1)),C60,"")</f>
        <v/>
      </c>
      <c r="P60">
        <f>IF(OR(AND(D60=1,E60=3),AND(D60=3,E60=1)),C60,"")</f>
        <v/>
      </c>
      <c r="Q60">
        <f>IF(OR(AND(D60=2,E60=3),AND(D60=3,E60=2)),C60,"")</f>
        <v/>
      </c>
    </row>
    <row r="61">
      <c r="A61" t="n">
        <v>2</v>
      </c>
      <c r="B61" t="n">
        <v>13</v>
      </c>
      <c r="C61">
        <f>SQRT((Scale_PCA_Mechanics!G3-Scale_PCA_Mechanics!G14)^2+(Scale_PCA_Mechanics!H3-Scale_PCA_Mechanics!H14)^2+(Scale_PCA_Mechanics!I3-Scale_PCA_Mechanics!I14)^2+(Scale_PCA_Mechanics!J3-Scale_PCA_Mechanics!J14)^2)</f>
        <v/>
      </c>
      <c r="D61">
        <f>INDEX(KMeans_6_2!AA2:AA51,A61)</f>
        <v/>
      </c>
      <c r="E61">
        <f>INDEX(KMeans_6_2!AA2:AA51,B61)</f>
        <v/>
      </c>
      <c r="O61">
        <f>IF(OR(AND(D61=1,E61=2),AND(D61=2,E61=1)),C61,"")</f>
        <v/>
      </c>
      <c r="P61">
        <f>IF(OR(AND(D61=1,E61=3),AND(D61=3,E61=1)),C61,"")</f>
        <v/>
      </c>
      <c r="Q61">
        <f>IF(OR(AND(D61=2,E61=3),AND(D61=3,E61=2)),C61,"")</f>
        <v/>
      </c>
    </row>
    <row r="62">
      <c r="A62" t="n">
        <v>2</v>
      </c>
      <c r="B62" t="n">
        <v>14</v>
      </c>
      <c r="C62">
        <f>SQRT((Scale_PCA_Mechanics!G3-Scale_PCA_Mechanics!G15)^2+(Scale_PCA_Mechanics!H3-Scale_PCA_Mechanics!H15)^2+(Scale_PCA_Mechanics!I3-Scale_PCA_Mechanics!I15)^2+(Scale_PCA_Mechanics!J3-Scale_PCA_Mechanics!J15)^2)</f>
        <v/>
      </c>
      <c r="D62">
        <f>INDEX(KMeans_6_2!AA2:AA51,A62)</f>
        <v/>
      </c>
      <c r="E62">
        <f>INDEX(KMeans_6_2!AA2:AA51,B62)</f>
        <v/>
      </c>
      <c r="O62">
        <f>IF(OR(AND(D62=1,E62=2),AND(D62=2,E62=1)),C62,"")</f>
        <v/>
      </c>
      <c r="P62">
        <f>IF(OR(AND(D62=1,E62=3),AND(D62=3,E62=1)),C62,"")</f>
        <v/>
      </c>
      <c r="Q62">
        <f>IF(OR(AND(D62=2,E62=3),AND(D62=3,E62=2)),C62,"")</f>
        <v/>
      </c>
    </row>
    <row r="63">
      <c r="A63" t="n">
        <v>2</v>
      </c>
      <c r="B63" t="n">
        <v>15</v>
      </c>
      <c r="C63">
        <f>SQRT((Scale_PCA_Mechanics!G3-Scale_PCA_Mechanics!G16)^2+(Scale_PCA_Mechanics!H3-Scale_PCA_Mechanics!H16)^2+(Scale_PCA_Mechanics!I3-Scale_PCA_Mechanics!I16)^2+(Scale_PCA_Mechanics!J3-Scale_PCA_Mechanics!J16)^2)</f>
        <v/>
      </c>
      <c r="D63">
        <f>INDEX(KMeans_6_2!AA2:AA51,A63)</f>
        <v/>
      </c>
      <c r="E63">
        <f>INDEX(KMeans_6_2!AA2:AA51,B63)</f>
        <v/>
      </c>
      <c r="O63">
        <f>IF(OR(AND(D63=1,E63=2),AND(D63=2,E63=1)),C63,"")</f>
        <v/>
      </c>
      <c r="P63">
        <f>IF(OR(AND(D63=1,E63=3),AND(D63=3,E63=1)),C63,"")</f>
        <v/>
      </c>
      <c r="Q63">
        <f>IF(OR(AND(D63=2,E63=3),AND(D63=3,E63=2)),C63,"")</f>
        <v/>
      </c>
    </row>
    <row r="64">
      <c r="A64" t="n">
        <v>2</v>
      </c>
      <c r="B64" t="n">
        <v>16</v>
      </c>
      <c r="C64">
        <f>SQRT((Scale_PCA_Mechanics!G3-Scale_PCA_Mechanics!G17)^2+(Scale_PCA_Mechanics!H3-Scale_PCA_Mechanics!H17)^2+(Scale_PCA_Mechanics!I3-Scale_PCA_Mechanics!I17)^2+(Scale_PCA_Mechanics!J3-Scale_PCA_Mechanics!J17)^2)</f>
        <v/>
      </c>
      <c r="D64">
        <f>INDEX(KMeans_6_2!AA2:AA51,A64)</f>
        <v/>
      </c>
      <c r="E64">
        <f>INDEX(KMeans_6_2!AA2:AA51,B64)</f>
        <v/>
      </c>
      <c r="O64">
        <f>IF(OR(AND(D64=1,E64=2),AND(D64=2,E64=1)),C64,"")</f>
        <v/>
      </c>
      <c r="P64">
        <f>IF(OR(AND(D64=1,E64=3),AND(D64=3,E64=1)),C64,"")</f>
        <v/>
      </c>
      <c r="Q64">
        <f>IF(OR(AND(D64=2,E64=3),AND(D64=3,E64=2)),C64,"")</f>
        <v/>
      </c>
    </row>
    <row r="65">
      <c r="A65" t="n">
        <v>2</v>
      </c>
      <c r="B65" t="n">
        <v>17</v>
      </c>
      <c r="C65">
        <f>SQRT((Scale_PCA_Mechanics!G3-Scale_PCA_Mechanics!G18)^2+(Scale_PCA_Mechanics!H3-Scale_PCA_Mechanics!H18)^2+(Scale_PCA_Mechanics!I3-Scale_PCA_Mechanics!I18)^2+(Scale_PCA_Mechanics!J3-Scale_PCA_Mechanics!J18)^2)</f>
        <v/>
      </c>
      <c r="D65">
        <f>INDEX(KMeans_6_2!AA2:AA51,A65)</f>
        <v/>
      </c>
      <c r="E65">
        <f>INDEX(KMeans_6_2!AA2:AA51,B65)</f>
        <v/>
      </c>
      <c r="O65">
        <f>IF(OR(AND(D65=1,E65=2),AND(D65=2,E65=1)),C65,"")</f>
        <v/>
      </c>
      <c r="P65">
        <f>IF(OR(AND(D65=1,E65=3),AND(D65=3,E65=1)),C65,"")</f>
        <v/>
      </c>
      <c r="Q65">
        <f>IF(OR(AND(D65=2,E65=3),AND(D65=3,E65=2)),C65,"")</f>
        <v/>
      </c>
    </row>
    <row r="66">
      <c r="A66" t="n">
        <v>2</v>
      </c>
      <c r="B66" t="n">
        <v>18</v>
      </c>
      <c r="C66">
        <f>SQRT((Scale_PCA_Mechanics!G3-Scale_PCA_Mechanics!G19)^2+(Scale_PCA_Mechanics!H3-Scale_PCA_Mechanics!H19)^2+(Scale_PCA_Mechanics!I3-Scale_PCA_Mechanics!I19)^2+(Scale_PCA_Mechanics!J3-Scale_PCA_Mechanics!J19)^2)</f>
        <v/>
      </c>
      <c r="D66">
        <f>INDEX(KMeans_6_2!AA2:AA51,A66)</f>
        <v/>
      </c>
      <c r="E66">
        <f>INDEX(KMeans_6_2!AA2:AA51,B66)</f>
        <v/>
      </c>
      <c r="O66">
        <f>IF(OR(AND(D66=1,E66=2),AND(D66=2,E66=1)),C66,"")</f>
        <v/>
      </c>
      <c r="P66">
        <f>IF(OR(AND(D66=1,E66=3),AND(D66=3,E66=1)),C66,"")</f>
        <v/>
      </c>
      <c r="Q66">
        <f>IF(OR(AND(D66=2,E66=3),AND(D66=3,E66=2)),C66,"")</f>
        <v/>
      </c>
    </row>
    <row r="67">
      <c r="A67" t="n">
        <v>2</v>
      </c>
      <c r="B67" t="n">
        <v>19</v>
      </c>
      <c r="C67">
        <f>SQRT((Scale_PCA_Mechanics!G3-Scale_PCA_Mechanics!G20)^2+(Scale_PCA_Mechanics!H3-Scale_PCA_Mechanics!H20)^2+(Scale_PCA_Mechanics!I3-Scale_PCA_Mechanics!I20)^2+(Scale_PCA_Mechanics!J3-Scale_PCA_Mechanics!J20)^2)</f>
        <v/>
      </c>
      <c r="D67">
        <f>INDEX(KMeans_6_2!AA2:AA51,A67)</f>
        <v/>
      </c>
      <c r="E67">
        <f>INDEX(KMeans_6_2!AA2:AA51,B67)</f>
        <v/>
      </c>
      <c r="O67">
        <f>IF(OR(AND(D67=1,E67=2),AND(D67=2,E67=1)),C67,"")</f>
        <v/>
      </c>
      <c r="P67">
        <f>IF(OR(AND(D67=1,E67=3),AND(D67=3,E67=1)),C67,"")</f>
        <v/>
      </c>
      <c r="Q67">
        <f>IF(OR(AND(D67=2,E67=3),AND(D67=3,E67=2)),C67,"")</f>
        <v/>
      </c>
    </row>
    <row r="68">
      <c r="A68" t="n">
        <v>2</v>
      </c>
      <c r="B68" t="n">
        <v>20</v>
      </c>
      <c r="C68">
        <f>SQRT((Scale_PCA_Mechanics!G3-Scale_PCA_Mechanics!G21)^2+(Scale_PCA_Mechanics!H3-Scale_PCA_Mechanics!H21)^2+(Scale_PCA_Mechanics!I3-Scale_PCA_Mechanics!I21)^2+(Scale_PCA_Mechanics!J3-Scale_PCA_Mechanics!J21)^2)</f>
        <v/>
      </c>
      <c r="D68">
        <f>INDEX(KMeans_6_2!AA2:AA51,A68)</f>
        <v/>
      </c>
      <c r="E68">
        <f>INDEX(KMeans_6_2!AA2:AA51,B68)</f>
        <v/>
      </c>
      <c r="O68">
        <f>IF(OR(AND(D68=1,E68=2),AND(D68=2,E68=1)),C68,"")</f>
        <v/>
      </c>
      <c r="P68">
        <f>IF(OR(AND(D68=1,E68=3),AND(D68=3,E68=1)),C68,"")</f>
        <v/>
      </c>
      <c r="Q68">
        <f>IF(OR(AND(D68=2,E68=3),AND(D68=3,E68=2)),C68,"")</f>
        <v/>
      </c>
    </row>
    <row r="69">
      <c r="A69" t="n">
        <v>2</v>
      </c>
      <c r="B69" t="n">
        <v>21</v>
      </c>
      <c r="C69">
        <f>SQRT((Scale_PCA_Mechanics!G3-Scale_PCA_Mechanics!G22)^2+(Scale_PCA_Mechanics!H3-Scale_PCA_Mechanics!H22)^2+(Scale_PCA_Mechanics!I3-Scale_PCA_Mechanics!I22)^2+(Scale_PCA_Mechanics!J3-Scale_PCA_Mechanics!J22)^2)</f>
        <v/>
      </c>
      <c r="D69">
        <f>INDEX(KMeans_6_2!AA2:AA51,A69)</f>
        <v/>
      </c>
      <c r="E69">
        <f>INDEX(KMeans_6_2!AA2:AA51,B69)</f>
        <v/>
      </c>
      <c r="O69">
        <f>IF(OR(AND(D69=1,E69=2),AND(D69=2,E69=1)),C69,"")</f>
        <v/>
      </c>
      <c r="P69">
        <f>IF(OR(AND(D69=1,E69=3),AND(D69=3,E69=1)),C69,"")</f>
        <v/>
      </c>
      <c r="Q69">
        <f>IF(OR(AND(D69=2,E69=3),AND(D69=3,E69=2)),C69,"")</f>
        <v/>
      </c>
    </row>
    <row r="70">
      <c r="A70" t="n">
        <v>2</v>
      </c>
      <c r="B70" t="n">
        <v>22</v>
      </c>
      <c r="C70">
        <f>SQRT((Scale_PCA_Mechanics!G3-Scale_PCA_Mechanics!G23)^2+(Scale_PCA_Mechanics!H3-Scale_PCA_Mechanics!H23)^2+(Scale_PCA_Mechanics!I3-Scale_PCA_Mechanics!I23)^2+(Scale_PCA_Mechanics!J3-Scale_PCA_Mechanics!J23)^2)</f>
        <v/>
      </c>
      <c r="D70">
        <f>INDEX(KMeans_6_2!AA2:AA51,A70)</f>
        <v/>
      </c>
      <c r="E70">
        <f>INDEX(KMeans_6_2!AA2:AA51,B70)</f>
        <v/>
      </c>
      <c r="O70">
        <f>IF(OR(AND(D70=1,E70=2),AND(D70=2,E70=1)),C70,"")</f>
        <v/>
      </c>
      <c r="P70">
        <f>IF(OR(AND(D70=1,E70=3),AND(D70=3,E70=1)),C70,"")</f>
        <v/>
      </c>
      <c r="Q70">
        <f>IF(OR(AND(D70=2,E70=3),AND(D70=3,E70=2)),C70,"")</f>
        <v/>
      </c>
    </row>
    <row r="71">
      <c r="A71" t="n">
        <v>2</v>
      </c>
      <c r="B71" t="n">
        <v>23</v>
      </c>
      <c r="C71">
        <f>SQRT((Scale_PCA_Mechanics!G3-Scale_PCA_Mechanics!G24)^2+(Scale_PCA_Mechanics!H3-Scale_PCA_Mechanics!H24)^2+(Scale_PCA_Mechanics!I3-Scale_PCA_Mechanics!I24)^2+(Scale_PCA_Mechanics!J3-Scale_PCA_Mechanics!J24)^2)</f>
        <v/>
      </c>
      <c r="D71">
        <f>INDEX(KMeans_6_2!AA2:AA51,A71)</f>
        <v/>
      </c>
      <c r="E71">
        <f>INDEX(KMeans_6_2!AA2:AA51,B71)</f>
        <v/>
      </c>
      <c r="O71">
        <f>IF(OR(AND(D71=1,E71=2),AND(D71=2,E71=1)),C71,"")</f>
        <v/>
      </c>
      <c r="P71">
        <f>IF(OR(AND(D71=1,E71=3),AND(D71=3,E71=1)),C71,"")</f>
        <v/>
      </c>
      <c r="Q71">
        <f>IF(OR(AND(D71=2,E71=3),AND(D71=3,E71=2)),C71,"")</f>
        <v/>
      </c>
    </row>
    <row r="72">
      <c r="A72" t="n">
        <v>2</v>
      </c>
      <c r="B72" t="n">
        <v>24</v>
      </c>
      <c r="C72">
        <f>SQRT((Scale_PCA_Mechanics!G3-Scale_PCA_Mechanics!G25)^2+(Scale_PCA_Mechanics!H3-Scale_PCA_Mechanics!H25)^2+(Scale_PCA_Mechanics!I3-Scale_PCA_Mechanics!I25)^2+(Scale_PCA_Mechanics!J3-Scale_PCA_Mechanics!J25)^2)</f>
        <v/>
      </c>
      <c r="D72">
        <f>INDEX(KMeans_6_2!AA2:AA51,A72)</f>
        <v/>
      </c>
      <c r="E72">
        <f>INDEX(KMeans_6_2!AA2:AA51,B72)</f>
        <v/>
      </c>
      <c r="O72">
        <f>IF(OR(AND(D72=1,E72=2),AND(D72=2,E72=1)),C72,"")</f>
        <v/>
      </c>
      <c r="P72">
        <f>IF(OR(AND(D72=1,E72=3),AND(D72=3,E72=1)),C72,"")</f>
        <v/>
      </c>
      <c r="Q72">
        <f>IF(OR(AND(D72=2,E72=3),AND(D72=3,E72=2)),C72,"")</f>
        <v/>
      </c>
    </row>
    <row r="73">
      <c r="A73" t="n">
        <v>2</v>
      </c>
      <c r="B73" t="n">
        <v>25</v>
      </c>
      <c r="C73">
        <f>SQRT((Scale_PCA_Mechanics!G3-Scale_PCA_Mechanics!G26)^2+(Scale_PCA_Mechanics!H3-Scale_PCA_Mechanics!H26)^2+(Scale_PCA_Mechanics!I3-Scale_PCA_Mechanics!I26)^2+(Scale_PCA_Mechanics!J3-Scale_PCA_Mechanics!J26)^2)</f>
        <v/>
      </c>
      <c r="D73">
        <f>INDEX(KMeans_6_2!AA2:AA51,A73)</f>
        <v/>
      </c>
      <c r="E73">
        <f>INDEX(KMeans_6_2!AA2:AA51,B73)</f>
        <v/>
      </c>
      <c r="O73">
        <f>IF(OR(AND(D73=1,E73=2),AND(D73=2,E73=1)),C73,"")</f>
        <v/>
      </c>
      <c r="P73">
        <f>IF(OR(AND(D73=1,E73=3),AND(D73=3,E73=1)),C73,"")</f>
        <v/>
      </c>
      <c r="Q73">
        <f>IF(OR(AND(D73=2,E73=3),AND(D73=3,E73=2)),C73,"")</f>
        <v/>
      </c>
    </row>
    <row r="74">
      <c r="A74" t="n">
        <v>2</v>
      </c>
      <c r="B74" t="n">
        <v>26</v>
      </c>
      <c r="C74">
        <f>SQRT((Scale_PCA_Mechanics!G3-Scale_PCA_Mechanics!G27)^2+(Scale_PCA_Mechanics!H3-Scale_PCA_Mechanics!H27)^2+(Scale_PCA_Mechanics!I3-Scale_PCA_Mechanics!I27)^2+(Scale_PCA_Mechanics!J3-Scale_PCA_Mechanics!J27)^2)</f>
        <v/>
      </c>
      <c r="D74">
        <f>INDEX(KMeans_6_2!AA2:AA51,A74)</f>
        <v/>
      </c>
      <c r="E74">
        <f>INDEX(KMeans_6_2!AA2:AA51,B74)</f>
        <v/>
      </c>
      <c r="O74">
        <f>IF(OR(AND(D74=1,E74=2),AND(D74=2,E74=1)),C74,"")</f>
        <v/>
      </c>
      <c r="P74">
        <f>IF(OR(AND(D74=1,E74=3),AND(D74=3,E74=1)),C74,"")</f>
        <v/>
      </c>
      <c r="Q74">
        <f>IF(OR(AND(D74=2,E74=3),AND(D74=3,E74=2)),C74,"")</f>
        <v/>
      </c>
    </row>
    <row r="75">
      <c r="A75" t="n">
        <v>2</v>
      </c>
      <c r="B75" t="n">
        <v>27</v>
      </c>
      <c r="C75">
        <f>SQRT((Scale_PCA_Mechanics!G3-Scale_PCA_Mechanics!G28)^2+(Scale_PCA_Mechanics!H3-Scale_PCA_Mechanics!H28)^2+(Scale_PCA_Mechanics!I3-Scale_PCA_Mechanics!I28)^2+(Scale_PCA_Mechanics!J3-Scale_PCA_Mechanics!J28)^2)</f>
        <v/>
      </c>
      <c r="D75">
        <f>INDEX(KMeans_6_2!AA2:AA51,A75)</f>
        <v/>
      </c>
      <c r="E75">
        <f>INDEX(KMeans_6_2!AA2:AA51,B75)</f>
        <v/>
      </c>
      <c r="O75">
        <f>IF(OR(AND(D75=1,E75=2),AND(D75=2,E75=1)),C75,"")</f>
        <v/>
      </c>
      <c r="P75">
        <f>IF(OR(AND(D75=1,E75=3),AND(D75=3,E75=1)),C75,"")</f>
        <v/>
      </c>
      <c r="Q75">
        <f>IF(OR(AND(D75=2,E75=3),AND(D75=3,E75=2)),C75,"")</f>
        <v/>
      </c>
    </row>
    <row r="76">
      <c r="A76" t="n">
        <v>2</v>
      </c>
      <c r="B76" t="n">
        <v>28</v>
      </c>
      <c r="C76">
        <f>SQRT((Scale_PCA_Mechanics!G3-Scale_PCA_Mechanics!G29)^2+(Scale_PCA_Mechanics!H3-Scale_PCA_Mechanics!H29)^2+(Scale_PCA_Mechanics!I3-Scale_PCA_Mechanics!I29)^2+(Scale_PCA_Mechanics!J3-Scale_PCA_Mechanics!J29)^2)</f>
        <v/>
      </c>
      <c r="D76">
        <f>INDEX(KMeans_6_2!AA2:AA51,A76)</f>
        <v/>
      </c>
      <c r="E76">
        <f>INDEX(KMeans_6_2!AA2:AA51,B76)</f>
        <v/>
      </c>
      <c r="O76">
        <f>IF(OR(AND(D76=1,E76=2),AND(D76=2,E76=1)),C76,"")</f>
        <v/>
      </c>
      <c r="P76">
        <f>IF(OR(AND(D76=1,E76=3),AND(D76=3,E76=1)),C76,"")</f>
        <v/>
      </c>
      <c r="Q76">
        <f>IF(OR(AND(D76=2,E76=3),AND(D76=3,E76=2)),C76,"")</f>
        <v/>
      </c>
    </row>
    <row r="77">
      <c r="A77" t="n">
        <v>2</v>
      </c>
      <c r="B77" t="n">
        <v>29</v>
      </c>
      <c r="C77">
        <f>SQRT((Scale_PCA_Mechanics!G3-Scale_PCA_Mechanics!G30)^2+(Scale_PCA_Mechanics!H3-Scale_PCA_Mechanics!H30)^2+(Scale_PCA_Mechanics!I3-Scale_PCA_Mechanics!I30)^2+(Scale_PCA_Mechanics!J3-Scale_PCA_Mechanics!J30)^2)</f>
        <v/>
      </c>
      <c r="D77">
        <f>INDEX(KMeans_6_2!AA2:AA51,A77)</f>
        <v/>
      </c>
      <c r="E77">
        <f>INDEX(KMeans_6_2!AA2:AA51,B77)</f>
        <v/>
      </c>
      <c r="O77">
        <f>IF(OR(AND(D77=1,E77=2),AND(D77=2,E77=1)),C77,"")</f>
        <v/>
      </c>
      <c r="P77">
        <f>IF(OR(AND(D77=1,E77=3),AND(D77=3,E77=1)),C77,"")</f>
        <v/>
      </c>
      <c r="Q77">
        <f>IF(OR(AND(D77=2,E77=3),AND(D77=3,E77=2)),C77,"")</f>
        <v/>
      </c>
    </row>
    <row r="78">
      <c r="A78" t="n">
        <v>2</v>
      </c>
      <c r="B78" t="n">
        <v>30</v>
      </c>
      <c r="C78">
        <f>SQRT((Scale_PCA_Mechanics!G3-Scale_PCA_Mechanics!G31)^2+(Scale_PCA_Mechanics!H3-Scale_PCA_Mechanics!H31)^2+(Scale_PCA_Mechanics!I3-Scale_PCA_Mechanics!I31)^2+(Scale_PCA_Mechanics!J3-Scale_PCA_Mechanics!J31)^2)</f>
        <v/>
      </c>
      <c r="D78">
        <f>INDEX(KMeans_6_2!AA2:AA51,A78)</f>
        <v/>
      </c>
      <c r="E78">
        <f>INDEX(KMeans_6_2!AA2:AA51,B78)</f>
        <v/>
      </c>
      <c r="O78">
        <f>IF(OR(AND(D78=1,E78=2),AND(D78=2,E78=1)),C78,"")</f>
        <v/>
      </c>
      <c r="P78">
        <f>IF(OR(AND(D78=1,E78=3),AND(D78=3,E78=1)),C78,"")</f>
        <v/>
      </c>
      <c r="Q78">
        <f>IF(OR(AND(D78=2,E78=3),AND(D78=3,E78=2)),C78,"")</f>
        <v/>
      </c>
    </row>
    <row r="79">
      <c r="A79" t="n">
        <v>2</v>
      </c>
      <c r="B79" t="n">
        <v>31</v>
      </c>
      <c r="C79">
        <f>SQRT((Scale_PCA_Mechanics!G3-Scale_PCA_Mechanics!G32)^2+(Scale_PCA_Mechanics!H3-Scale_PCA_Mechanics!H32)^2+(Scale_PCA_Mechanics!I3-Scale_PCA_Mechanics!I32)^2+(Scale_PCA_Mechanics!J3-Scale_PCA_Mechanics!J32)^2)</f>
        <v/>
      </c>
      <c r="D79">
        <f>INDEX(KMeans_6_2!AA2:AA51,A79)</f>
        <v/>
      </c>
      <c r="E79">
        <f>INDEX(KMeans_6_2!AA2:AA51,B79)</f>
        <v/>
      </c>
      <c r="O79">
        <f>IF(OR(AND(D79=1,E79=2),AND(D79=2,E79=1)),C79,"")</f>
        <v/>
      </c>
      <c r="P79">
        <f>IF(OR(AND(D79=1,E79=3),AND(D79=3,E79=1)),C79,"")</f>
        <v/>
      </c>
      <c r="Q79">
        <f>IF(OR(AND(D79=2,E79=3),AND(D79=3,E79=2)),C79,"")</f>
        <v/>
      </c>
    </row>
    <row r="80">
      <c r="A80" t="n">
        <v>2</v>
      </c>
      <c r="B80" t="n">
        <v>32</v>
      </c>
      <c r="C80">
        <f>SQRT((Scale_PCA_Mechanics!G3-Scale_PCA_Mechanics!G33)^2+(Scale_PCA_Mechanics!H3-Scale_PCA_Mechanics!H33)^2+(Scale_PCA_Mechanics!I3-Scale_PCA_Mechanics!I33)^2+(Scale_PCA_Mechanics!J3-Scale_PCA_Mechanics!J33)^2)</f>
        <v/>
      </c>
      <c r="D80">
        <f>INDEX(KMeans_6_2!AA2:AA51,A80)</f>
        <v/>
      </c>
      <c r="E80">
        <f>INDEX(KMeans_6_2!AA2:AA51,B80)</f>
        <v/>
      </c>
      <c r="O80">
        <f>IF(OR(AND(D80=1,E80=2),AND(D80=2,E80=1)),C80,"")</f>
        <v/>
      </c>
      <c r="P80">
        <f>IF(OR(AND(D80=1,E80=3),AND(D80=3,E80=1)),C80,"")</f>
        <v/>
      </c>
      <c r="Q80">
        <f>IF(OR(AND(D80=2,E80=3),AND(D80=3,E80=2)),C80,"")</f>
        <v/>
      </c>
    </row>
    <row r="81">
      <c r="A81" t="n">
        <v>2</v>
      </c>
      <c r="B81" t="n">
        <v>33</v>
      </c>
      <c r="C81">
        <f>SQRT((Scale_PCA_Mechanics!G3-Scale_PCA_Mechanics!G34)^2+(Scale_PCA_Mechanics!H3-Scale_PCA_Mechanics!H34)^2+(Scale_PCA_Mechanics!I3-Scale_PCA_Mechanics!I34)^2+(Scale_PCA_Mechanics!J3-Scale_PCA_Mechanics!J34)^2)</f>
        <v/>
      </c>
      <c r="D81">
        <f>INDEX(KMeans_6_2!AA2:AA51,A81)</f>
        <v/>
      </c>
      <c r="E81">
        <f>INDEX(KMeans_6_2!AA2:AA51,B81)</f>
        <v/>
      </c>
      <c r="O81">
        <f>IF(OR(AND(D81=1,E81=2),AND(D81=2,E81=1)),C81,"")</f>
        <v/>
      </c>
      <c r="P81">
        <f>IF(OR(AND(D81=1,E81=3),AND(D81=3,E81=1)),C81,"")</f>
        <v/>
      </c>
      <c r="Q81">
        <f>IF(OR(AND(D81=2,E81=3),AND(D81=3,E81=2)),C81,"")</f>
        <v/>
      </c>
    </row>
    <row r="82">
      <c r="A82" t="n">
        <v>2</v>
      </c>
      <c r="B82" t="n">
        <v>34</v>
      </c>
      <c r="C82">
        <f>SQRT((Scale_PCA_Mechanics!G3-Scale_PCA_Mechanics!G35)^2+(Scale_PCA_Mechanics!H3-Scale_PCA_Mechanics!H35)^2+(Scale_PCA_Mechanics!I3-Scale_PCA_Mechanics!I35)^2+(Scale_PCA_Mechanics!J3-Scale_PCA_Mechanics!J35)^2)</f>
        <v/>
      </c>
      <c r="D82">
        <f>INDEX(KMeans_6_2!AA2:AA51,A82)</f>
        <v/>
      </c>
      <c r="E82">
        <f>INDEX(KMeans_6_2!AA2:AA51,B82)</f>
        <v/>
      </c>
      <c r="O82">
        <f>IF(OR(AND(D82=1,E82=2),AND(D82=2,E82=1)),C82,"")</f>
        <v/>
      </c>
      <c r="P82">
        <f>IF(OR(AND(D82=1,E82=3),AND(D82=3,E82=1)),C82,"")</f>
        <v/>
      </c>
      <c r="Q82">
        <f>IF(OR(AND(D82=2,E82=3),AND(D82=3,E82=2)),C82,"")</f>
        <v/>
      </c>
    </row>
    <row r="83">
      <c r="A83" t="n">
        <v>2</v>
      </c>
      <c r="B83" t="n">
        <v>35</v>
      </c>
      <c r="C83">
        <f>SQRT((Scale_PCA_Mechanics!G3-Scale_PCA_Mechanics!G36)^2+(Scale_PCA_Mechanics!H3-Scale_PCA_Mechanics!H36)^2+(Scale_PCA_Mechanics!I3-Scale_PCA_Mechanics!I36)^2+(Scale_PCA_Mechanics!J3-Scale_PCA_Mechanics!J36)^2)</f>
        <v/>
      </c>
      <c r="D83">
        <f>INDEX(KMeans_6_2!AA2:AA51,A83)</f>
        <v/>
      </c>
      <c r="E83">
        <f>INDEX(KMeans_6_2!AA2:AA51,B83)</f>
        <v/>
      </c>
      <c r="O83">
        <f>IF(OR(AND(D83=1,E83=2),AND(D83=2,E83=1)),C83,"")</f>
        <v/>
      </c>
      <c r="P83">
        <f>IF(OR(AND(D83=1,E83=3),AND(D83=3,E83=1)),C83,"")</f>
        <v/>
      </c>
      <c r="Q83">
        <f>IF(OR(AND(D83=2,E83=3),AND(D83=3,E83=2)),C83,"")</f>
        <v/>
      </c>
    </row>
    <row r="84">
      <c r="A84" t="n">
        <v>2</v>
      </c>
      <c r="B84" t="n">
        <v>36</v>
      </c>
      <c r="C84">
        <f>SQRT((Scale_PCA_Mechanics!G3-Scale_PCA_Mechanics!G37)^2+(Scale_PCA_Mechanics!H3-Scale_PCA_Mechanics!H37)^2+(Scale_PCA_Mechanics!I3-Scale_PCA_Mechanics!I37)^2+(Scale_PCA_Mechanics!J3-Scale_PCA_Mechanics!J37)^2)</f>
        <v/>
      </c>
      <c r="D84">
        <f>INDEX(KMeans_6_2!AA2:AA51,A84)</f>
        <v/>
      </c>
      <c r="E84">
        <f>INDEX(KMeans_6_2!AA2:AA51,B84)</f>
        <v/>
      </c>
      <c r="O84">
        <f>IF(OR(AND(D84=1,E84=2),AND(D84=2,E84=1)),C84,"")</f>
        <v/>
      </c>
      <c r="P84">
        <f>IF(OR(AND(D84=1,E84=3),AND(D84=3,E84=1)),C84,"")</f>
        <v/>
      </c>
      <c r="Q84">
        <f>IF(OR(AND(D84=2,E84=3),AND(D84=3,E84=2)),C84,"")</f>
        <v/>
      </c>
    </row>
    <row r="85">
      <c r="A85" t="n">
        <v>2</v>
      </c>
      <c r="B85" t="n">
        <v>37</v>
      </c>
      <c r="C85">
        <f>SQRT((Scale_PCA_Mechanics!G3-Scale_PCA_Mechanics!G38)^2+(Scale_PCA_Mechanics!H3-Scale_PCA_Mechanics!H38)^2+(Scale_PCA_Mechanics!I3-Scale_PCA_Mechanics!I38)^2+(Scale_PCA_Mechanics!J3-Scale_PCA_Mechanics!J38)^2)</f>
        <v/>
      </c>
      <c r="D85">
        <f>INDEX(KMeans_6_2!AA2:AA51,A85)</f>
        <v/>
      </c>
      <c r="E85">
        <f>INDEX(KMeans_6_2!AA2:AA51,B85)</f>
        <v/>
      </c>
      <c r="O85">
        <f>IF(OR(AND(D85=1,E85=2),AND(D85=2,E85=1)),C85,"")</f>
        <v/>
      </c>
      <c r="P85">
        <f>IF(OR(AND(D85=1,E85=3),AND(D85=3,E85=1)),C85,"")</f>
        <v/>
      </c>
      <c r="Q85">
        <f>IF(OR(AND(D85=2,E85=3),AND(D85=3,E85=2)),C85,"")</f>
        <v/>
      </c>
    </row>
    <row r="86">
      <c r="A86" t="n">
        <v>2</v>
      </c>
      <c r="B86" t="n">
        <v>38</v>
      </c>
      <c r="C86">
        <f>SQRT((Scale_PCA_Mechanics!G3-Scale_PCA_Mechanics!G39)^2+(Scale_PCA_Mechanics!H3-Scale_PCA_Mechanics!H39)^2+(Scale_PCA_Mechanics!I3-Scale_PCA_Mechanics!I39)^2+(Scale_PCA_Mechanics!J3-Scale_PCA_Mechanics!J39)^2)</f>
        <v/>
      </c>
      <c r="D86">
        <f>INDEX(KMeans_6_2!AA2:AA51,A86)</f>
        <v/>
      </c>
      <c r="E86">
        <f>INDEX(KMeans_6_2!AA2:AA51,B86)</f>
        <v/>
      </c>
      <c r="O86">
        <f>IF(OR(AND(D86=1,E86=2),AND(D86=2,E86=1)),C86,"")</f>
        <v/>
      </c>
      <c r="P86">
        <f>IF(OR(AND(D86=1,E86=3),AND(D86=3,E86=1)),C86,"")</f>
        <v/>
      </c>
      <c r="Q86">
        <f>IF(OR(AND(D86=2,E86=3),AND(D86=3,E86=2)),C86,"")</f>
        <v/>
      </c>
    </row>
    <row r="87">
      <c r="A87" t="n">
        <v>2</v>
      </c>
      <c r="B87" t="n">
        <v>39</v>
      </c>
      <c r="C87">
        <f>SQRT((Scale_PCA_Mechanics!G3-Scale_PCA_Mechanics!G40)^2+(Scale_PCA_Mechanics!H3-Scale_PCA_Mechanics!H40)^2+(Scale_PCA_Mechanics!I3-Scale_PCA_Mechanics!I40)^2+(Scale_PCA_Mechanics!J3-Scale_PCA_Mechanics!J40)^2)</f>
        <v/>
      </c>
      <c r="D87">
        <f>INDEX(KMeans_6_2!AA2:AA51,A87)</f>
        <v/>
      </c>
      <c r="E87">
        <f>INDEX(KMeans_6_2!AA2:AA51,B87)</f>
        <v/>
      </c>
      <c r="O87">
        <f>IF(OR(AND(D87=1,E87=2),AND(D87=2,E87=1)),C87,"")</f>
        <v/>
      </c>
      <c r="P87">
        <f>IF(OR(AND(D87=1,E87=3),AND(D87=3,E87=1)),C87,"")</f>
        <v/>
      </c>
      <c r="Q87">
        <f>IF(OR(AND(D87=2,E87=3),AND(D87=3,E87=2)),C87,"")</f>
        <v/>
      </c>
    </row>
    <row r="88">
      <c r="A88" t="n">
        <v>2</v>
      </c>
      <c r="B88" t="n">
        <v>40</v>
      </c>
      <c r="C88">
        <f>SQRT((Scale_PCA_Mechanics!G3-Scale_PCA_Mechanics!G41)^2+(Scale_PCA_Mechanics!H3-Scale_PCA_Mechanics!H41)^2+(Scale_PCA_Mechanics!I3-Scale_PCA_Mechanics!I41)^2+(Scale_PCA_Mechanics!J3-Scale_PCA_Mechanics!J41)^2)</f>
        <v/>
      </c>
      <c r="D88">
        <f>INDEX(KMeans_6_2!AA2:AA51,A88)</f>
        <v/>
      </c>
      <c r="E88">
        <f>INDEX(KMeans_6_2!AA2:AA51,B88)</f>
        <v/>
      </c>
      <c r="O88">
        <f>IF(OR(AND(D88=1,E88=2),AND(D88=2,E88=1)),C88,"")</f>
        <v/>
      </c>
      <c r="P88">
        <f>IF(OR(AND(D88=1,E88=3),AND(D88=3,E88=1)),C88,"")</f>
        <v/>
      </c>
      <c r="Q88">
        <f>IF(OR(AND(D88=2,E88=3),AND(D88=3,E88=2)),C88,"")</f>
        <v/>
      </c>
    </row>
    <row r="89">
      <c r="A89" t="n">
        <v>2</v>
      </c>
      <c r="B89" t="n">
        <v>41</v>
      </c>
      <c r="C89">
        <f>SQRT((Scale_PCA_Mechanics!G3-Scale_PCA_Mechanics!G42)^2+(Scale_PCA_Mechanics!H3-Scale_PCA_Mechanics!H42)^2+(Scale_PCA_Mechanics!I3-Scale_PCA_Mechanics!I42)^2+(Scale_PCA_Mechanics!J3-Scale_PCA_Mechanics!J42)^2)</f>
        <v/>
      </c>
      <c r="D89">
        <f>INDEX(KMeans_6_2!AA2:AA51,A89)</f>
        <v/>
      </c>
      <c r="E89">
        <f>INDEX(KMeans_6_2!AA2:AA51,B89)</f>
        <v/>
      </c>
      <c r="O89">
        <f>IF(OR(AND(D89=1,E89=2),AND(D89=2,E89=1)),C89,"")</f>
        <v/>
      </c>
      <c r="P89">
        <f>IF(OR(AND(D89=1,E89=3),AND(D89=3,E89=1)),C89,"")</f>
        <v/>
      </c>
      <c r="Q89">
        <f>IF(OR(AND(D89=2,E89=3),AND(D89=3,E89=2)),C89,"")</f>
        <v/>
      </c>
    </row>
    <row r="90">
      <c r="A90" t="n">
        <v>2</v>
      </c>
      <c r="B90" t="n">
        <v>42</v>
      </c>
      <c r="C90">
        <f>SQRT((Scale_PCA_Mechanics!G3-Scale_PCA_Mechanics!G43)^2+(Scale_PCA_Mechanics!H3-Scale_PCA_Mechanics!H43)^2+(Scale_PCA_Mechanics!I3-Scale_PCA_Mechanics!I43)^2+(Scale_PCA_Mechanics!J3-Scale_PCA_Mechanics!J43)^2)</f>
        <v/>
      </c>
      <c r="D90">
        <f>INDEX(KMeans_6_2!AA2:AA51,A90)</f>
        <v/>
      </c>
      <c r="E90">
        <f>INDEX(KMeans_6_2!AA2:AA51,B90)</f>
        <v/>
      </c>
      <c r="O90">
        <f>IF(OR(AND(D90=1,E90=2),AND(D90=2,E90=1)),C90,"")</f>
        <v/>
      </c>
      <c r="P90">
        <f>IF(OR(AND(D90=1,E90=3),AND(D90=3,E90=1)),C90,"")</f>
        <v/>
      </c>
      <c r="Q90">
        <f>IF(OR(AND(D90=2,E90=3),AND(D90=3,E90=2)),C90,"")</f>
        <v/>
      </c>
    </row>
    <row r="91">
      <c r="A91" t="n">
        <v>2</v>
      </c>
      <c r="B91" t="n">
        <v>43</v>
      </c>
      <c r="C91">
        <f>SQRT((Scale_PCA_Mechanics!G3-Scale_PCA_Mechanics!G44)^2+(Scale_PCA_Mechanics!H3-Scale_PCA_Mechanics!H44)^2+(Scale_PCA_Mechanics!I3-Scale_PCA_Mechanics!I44)^2+(Scale_PCA_Mechanics!J3-Scale_PCA_Mechanics!J44)^2)</f>
        <v/>
      </c>
      <c r="D91">
        <f>INDEX(KMeans_6_2!AA2:AA51,A91)</f>
        <v/>
      </c>
      <c r="E91">
        <f>INDEX(KMeans_6_2!AA2:AA51,B91)</f>
        <v/>
      </c>
      <c r="O91">
        <f>IF(OR(AND(D91=1,E91=2),AND(D91=2,E91=1)),C91,"")</f>
        <v/>
      </c>
      <c r="P91">
        <f>IF(OR(AND(D91=1,E91=3),AND(D91=3,E91=1)),C91,"")</f>
        <v/>
      </c>
      <c r="Q91">
        <f>IF(OR(AND(D91=2,E91=3),AND(D91=3,E91=2)),C91,"")</f>
        <v/>
      </c>
    </row>
    <row r="92">
      <c r="A92" t="n">
        <v>2</v>
      </c>
      <c r="B92" t="n">
        <v>44</v>
      </c>
      <c r="C92">
        <f>SQRT((Scale_PCA_Mechanics!G3-Scale_PCA_Mechanics!G45)^2+(Scale_PCA_Mechanics!H3-Scale_PCA_Mechanics!H45)^2+(Scale_PCA_Mechanics!I3-Scale_PCA_Mechanics!I45)^2+(Scale_PCA_Mechanics!J3-Scale_PCA_Mechanics!J45)^2)</f>
        <v/>
      </c>
      <c r="D92">
        <f>INDEX(KMeans_6_2!AA2:AA51,A92)</f>
        <v/>
      </c>
      <c r="E92">
        <f>INDEX(KMeans_6_2!AA2:AA51,B92)</f>
        <v/>
      </c>
      <c r="O92">
        <f>IF(OR(AND(D92=1,E92=2),AND(D92=2,E92=1)),C92,"")</f>
        <v/>
      </c>
      <c r="P92">
        <f>IF(OR(AND(D92=1,E92=3),AND(D92=3,E92=1)),C92,"")</f>
        <v/>
      </c>
      <c r="Q92">
        <f>IF(OR(AND(D92=2,E92=3),AND(D92=3,E92=2)),C92,"")</f>
        <v/>
      </c>
    </row>
    <row r="93">
      <c r="A93" t="n">
        <v>2</v>
      </c>
      <c r="B93" t="n">
        <v>45</v>
      </c>
      <c r="C93">
        <f>SQRT((Scale_PCA_Mechanics!G3-Scale_PCA_Mechanics!G46)^2+(Scale_PCA_Mechanics!H3-Scale_PCA_Mechanics!H46)^2+(Scale_PCA_Mechanics!I3-Scale_PCA_Mechanics!I46)^2+(Scale_PCA_Mechanics!J3-Scale_PCA_Mechanics!J46)^2)</f>
        <v/>
      </c>
      <c r="D93">
        <f>INDEX(KMeans_6_2!AA2:AA51,A93)</f>
        <v/>
      </c>
      <c r="E93">
        <f>INDEX(KMeans_6_2!AA2:AA51,B93)</f>
        <v/>
      </c>
      <c r="O93">
        <f>IF(OR(AND(D93=1,E93=2),AND(D93=2,E93=1)),C93,"")</f>
        <v/>
      </c>
      <c r="P93">
        <f>IF(OR(AND(D93=1,E93=3),AND(D93=3,E93=1)),C93,"")</f>
        <v/>
      </c>
      <c r="Q93">
        <f>IF(OR(AND(D93=2,E93=3),AND(D93=3,E93=2)),C93,"")</f>
        <v/>
      </c>
    </row>
    <row r="94">
      <c r="A94" t="n">
        <v>2</v>
      </c>
      <c r="B94" t="n">
        <v>46</v>
      </c>
      <c r="C94">
        <f>SQRT((Scale_PCA_Mechanics!G3-Scale_PCA_Mechanics!G47)^2+(Scale_PCA_Mechanics!H3-Scale_PCA_Mechanics!H47)^2+(Scale_PCA_Mechanics!I3-Scale_PCA_Mechanics!I47)^2+(Scale_PCA_Mechanics!J3-Scale_PCA_Mechanics!J47)^2)</f>
        <v/>
      </c>
      <c r="D94">
        <f>INDEX(KMeans_6_2!AA2:AA51,A94)</f>
        <v/>
      </c>
      <c r="E94">
        <f>INDEX(KMeans_6_2!AA2:AA51,B94)</f>
        <v/>
      </c>
      <c r="O94">
        <f>IF(OR(AND(D94=1,E94=2),AND(D94=2,E94=1)),C94,"")</f>
        <v/>
      </c>
      <c r="P94">
        <f>IF(OR(AND(D94=1,E94=3),AND(D94=3,E94=1)),C94,"")</f>
        <v/>
      </c>
      <c r="Q94">
        <f>IF(OR(AND(D94=2,E94=3),AND(D94=3,E94=2)),C94,"")</f>
        <v/>
      </c>
    </row>
    <row r="95">
      <c r="A95" t="n">
        <v>2</v>
      </c>
      <c r="B95" t="n">
        <v>47</v>
      </c>
      <c r="C95">
        <f>SQRT((Scale_PCA_Mechanics!G3-Scale_PCA_Mechanics!G48)^2+(Scale_PCA_Mechanics!H3-Scale_PCA_Mechanics!H48)^2+(Scale_PCA_Mechanics!I3-Scale_PCA_Mechanics!I48)^2+(Scale_PCA_Mechanics!J3-Scale_PCA_Mechanics!J48)^2)</f>
        <v/>
      </c>
      <c r="D95">
        <f>INDEX(KMeans_6_2!AA2:AA51,A95)</f>
        <v/>
      </c>
      <c r="E95">
        <f>INDEX(KMeans_6_2!AA2:AA51,B95)</f>
        <v/>
      </c>
      <c r="O95">
        <f>IF(OR(AND(D95=1,E95=2),AND(D95=2,E95=1)),C95,"")</f>
        <v/>
      </c>
      <c r="P95">
        <f>IF(OR(AND(D95=1,E95=3),AND(D95=3,E95=1)),C95,"")</f>
        <v/>
      </c>
      <c r="Q95">
        <f>IF(OR(AND(D95=2,E95=3),AND(D95=3,E95=2)),C95,"")</f>
        <v/>
      </c>
    </row>
    <row r="96">
      <c r="A96" t="n">
        <v>2</v>
      </c>
      <c r="B96" t="n">
        <v>48</v>
      </c>
      <c r="C96">
        <f>SQRT((Scale_PCA_Mechanics!G3-Scale_PCA_Mechanics!G49)^2+(Scale_PCA_Mechanics!H3-Scale_PCA_Mechanics!H49)^2+(Scale_PCA_Mechanics!I3-Scale_PCA_Mechanics!I49)^2+(Scale_PCA_Mechanics!J3-Scale_PCA_Mechanics!J49)^2)</f>
        <v/>
      </c>
      <c r="D96">
        <f>INDEX(KMeans_6_2!AA2:AA51,A96)</f>
        <v/>
      </c>
      <c r="E96">
        <f>INDEX(KMeans_6_2!AA2:AA51,B96)</f>
        <v/>
      </c>
      <c r="O96">
        <f>IF(OR(AND(D96=1,E96=2),AND(D96=2,E96=1)),C96,"")</f>
        <v/>
      </c>
      <c r="P96">
        <f>IF(OR(AND(D96=1,E96=3),AND(D96=3,E96=1)),C96,"")</f>
        <v/>
      </c>
      <c r="Q96">
        <f>IF(OR(AND(D96=2,E96=3),AND(D96=3,E96=2)),C96,"")</f>
        <v/>
      </c>
    </row>
    <row r="97">
      <c r="A97" t="n">
        <v>2</v>
      </c>
      <c r="B97" t="n">
        <v>49</v>
      </c>
      <c r="C97">
        <f>SQRT((Scale_PCA_Mechanics!G3-Scale_PCA_Mechanics!G50)^2+(Scale_PCA_Mechanics!H3-Scale_PCA_Mechanics!H50)^2+(Scale_PCA_Mechanics!I3-Scale_PCA_Mechanics!I50)^2+(Scale_PCA_Mechanics!J3-Scale_PCA_Mechanics!J50)^2)</f>
        <v/>
      </c>
      <c r="D97">
        <f>INDEX(KMeans_6_2!AA2:AA51,A97)</f>
        <v/>
      </c>
      <c r="E97">
        <f>INDEX(KMeans_6_2!AA2:AA51,B97)</f>
        <v/>
      </c>
      <c r="O97">
        <f>IF(OR(AND(D97=1,E97=2),AND(D97=2,E97=1)),C97,"")</f>
        <v/>
      </c>
      <c r="P97">
        <f>IF(OR(AND(D97=1,E97=3),AND(D97=3,E97=1)),C97,"")</f>
        <v/>
      </c>
      <c r="Q97">
        <f>IF(OR(AND(D97=2,E97=3),AND(D97=3,E97=2)),C97,"")</f>
        <v/>
      </c>
    </row>
    <row r="98">
      <c r="A98" t="n">
        <v>2</v>
      </c>
      <c r="B98" t="n">
        <v>50</v>
      </c>
      <c r="C98">
        <f>SQRT((Scale_PCA_Mechanics!G3-Scale_PCA_Mechanics!G51)^2+(Scale_PCA_Mechanics!H3-Scale_PCA_Mechanics!H51)^2+(Scale_PCA_Mechanics!I3-Scale_PCA_Mechanics!I51)^2+(Scale_PCA_Mechanics!J3-Scale_PCA_Mechanics!J51)^2)</f>
        <v/>
      </c>
      <c r="D98">
        <f>INDEX(KMeans_6_2!AA2:AA51,A98)</f>
        <v/>
      </c>
      <c r="E98">
        <f>INDEX(KMeans_6_2!AA2:AA51,B98)</f>
        <v/>
      </c>
      <c r="O98">
        <f>IF(OR(AND(D98=1,E98=2),AND(D98=2,E98=1)),C98,"")</f>
        <v/>
      </c>
      <c r="P98">
        <f>IF(OR(AND(D98=1,E98=3),AND(D98=3,E98=1)),C98,"")</f>
        <v/>
      </c>
      <c r="Q98">
        <f>IF(OR(AND(D98=2,E98=3),AND(D98=3,E98=2)),C98,"")</f>
        <v/>
      </c>
    </row>
    <row r="99">
      <c r="A99" t="n">
        <v>3</v>
      </c>
      <c r="B99" t="n">
        <v>4</v>
      </c>
      <c r="C99">
        <f>SQRT((Scale_PCA_Mechanics!G4-Scale_PCA_Mechanics!G5)^2+(Scale_PCA_Mechanics!H4-Scale_PCA_Mechanics!H5)^2+(Scale_PCA_Mechanics!I4-Scale_PCA_Mechanics!I5)^2+(Scale_PCA_Mechanics!J4-Scale_PCA_Mechanics!J5)^2)</f>
        <v/>
      </c>
      <c r="D99">
        <f>INDEX(KMeans_6_2!AA2:AA51,A99)</f>
        <v/>
      </c>
      <c r="E99">
        <f>INDEX(KMeans_6_2!AA2:AA51,B99)</f>
        <v/>
      </c>
      <c r="O99">
        <f>IF(OR(AND(D99=1,E99=2),AND(D99=2,E99=1)),C99,"")</f>
        <v/>
      </c>
      <c r="P99">
        <f>IF(OR(AND(D99=1,E99=3),AND(D99=3,E99=1)),C99,"")</f>
        <v/>
      </c>
      <c r="Q99">
        <f>IF(OR(AND(D99=2,E99=3),AND(D99=3,E99=2)),C99,"")</f>
        <v/>
      </c>
    </row>
    <row r="100">
      <c r="A100" t="n">
        <v>3</v>
      </c>
      <c r="B100" t="n">
        <v>5</v>
      </c>
      <c r="C100">
        <f>SQRT((Scale_PCA_Mechanics!G4-Scale_PCA_Mechanics!G6)^2+(Scale_PCA_Mechanics!H4-Scale_PCA_Mechanics!H6)^2+(Scale_PCA_Mechanics!I4-Scale_PCA_Mechanics!I6)^2+(Scale_PCA_Mechanics!J4-Scale_PCA_Mechanics!J6)^2)</f>
        <v/>
      </c>
      <c r="D100">
        <f>INDEX(KMeans_6_2!AA2:AA51,A100)</f>
        <v/>
      </c>
      <c r="E100">
        <f>INDEX(KMeans_6_2!AA2:AA51,B100)</f>
        <v/>
      </c>
      <c r="O100">
        <f>IF(OR(AND(D100=1,E100=2),AND(D100=2,E100=1)),C100,"")</f>
        <v/>
      </c>
      <c r="P100">
        <f>IF(OR(AND(D100=1,E100=3),AND(D100=3,E100=1)),C100,"")</f>
        <v/>
      </c>
      <c r="Q100">
        <f>IF(OR(AND(D100=2,E100=3),AND(D100=3,E100=2)),C100,"")</f>
        <v/>
      </c>
    </row>
    <row r="101">
      <c r="A101" t="n">
        <v>3</v>
      </c>
      <c r="B101" t="n">
        <v>6</v>
      </c>
      <c r="C101">
        <f>SQRT((Scale_PCA_Mechanics!G4-Scale_PCA_Mechanics!G7)^2+(Scale_PCA_Mechanics!H4-Scale_PCA_Mechanics!H7)^2+(Scale_PCA_Mechanics!I4-Scale_PCA_Mechanics!I7)^2+(Scale_PCA_Mechanics!J4-Scale_PCA_Mechanics!J7)^2)</f>
        <v/>
      </c>
      <c r="D101">
        <f>INDEX(KMeans_6_2!AA2:AA51,A101)</f>
        <v/>
      </c>
      <c r="E101">
        <f>INDEX(KMeans_6_2!AA2:AA51,B101)</f>
        <v/>
      </c>
      <c r="O101">
        <f>IF(OR(AND(D101=1,E101=2),AND(D101=2,E101=1)),C101,"")</f>
        <v/>
      </c>
      <c r="P101">
        <f>IF(OR(AND(D101=1,E101=3),AND(D101=3,E101=1)),C101,"")</f>
        <v/>
      </c>
      <c r="Q101">
        <f>IF(OR(AND(D101=2,E101=3),AND(D101=3,E101=2)),C101,"")</f>
        <v/>
      </c>
    </row>
    <row r="102">
      <c r="A102" t="n">
        <v>3</v>
      </c>
      <c r="B102" t="n">
        <v>7</v>
      </c>
      <c r="C102">
        <f>SQRT((Scale_PCA_Mechanics!G4-Scale_PCA_Mechanics!G8)^2+(Scale_PCA_Mechanics!H4-Scale_PCA_Mechanics!H8)^2+(Scale_PCA_Mechanics!I4-Scale_PCA_Mechanics!I8)^2+(Scale_PCA_Mechanics!J4-Scale_PCA_Mechanics!J8)^2)</f>
        <v/>
      </c>
      <c r="D102">
        <f>INDEX(KMeans_6_2!AA2:AA51,A102)</f>
        <v/>
      </c>
      <c r="E102">
        <f>INDEX(KMeans_6_2!AA2:AA51,B102)</f>
        <v/>
      </c>
      <c r="O102">
        <f>IF(OR(AND(D102=1,E102=2),AND(D102=2,E102=1)),C102,"")</f>
        <v/>
      </c>
      <c r="P102">
        <f>IF(OR(AND(D102=1,E102=3),AND(D102=3,E102=1)),C102,"")</f>
        <v/>
      </c>
      <c r="Q102">
        <f>IF(OR(AND(D102=2,E102=3),AND(D102=3,E102=2)),C102,"")</f>
        <v/>
      </c>
    </row>
    <row r="103">
      <c r="A103" t="n">
        <v>3</v>
      </c>
      <c r="B103" t="n">
        <v>8</v>
      </c>
      <c r="C103">
        <f>SQRT((Scale_PCA_Mechanics!G4-Scale_PCA_Mechanics!G9)^2+(Scale_PCA_Mechanics!H4-Scale_PCA_Mechanics!H9)^2+(Scale_PCA_Mechanics!I4-Scale_PCA_Mechanics!I9)^2+(Scale_PCA_Mechanics!J4-Scale_PCA_Mechanics!J9)^2)</f>
        <v/>
      </c>
      <c r="D103">
        <f>INDEX(KMeans_6_2!AA2:AA51,A103)</f>
        <v/>
      </c>
      <c r="E103">
        <f>INDEX(KMeans_6_2!AA2:AA51,B103)</f>
        <v/>
      </c>
      <c r="O103">
        <f>IF(OR(AND(D103=1,E103=2),AND(D103=2,E103=1)),C103,"")</f>
        <v/>
      </c>
      <c r="P103">
        <f>IF(OR(AND(D103=1,E103=3),AND(D103=3,E103=1)),C103,"")</f>
        <v/>
      </c>
      <c r="Q103">
        <f>IF(OR(AND(D103=2,E103=3),AND(D103=3,E103=2)),C103,"")</f>
        <v/>
      </c>
    </row>
    <row r="104">
      <c r="A104" t="n">
        <v>3</v>
      </c>
      <c r="B104" t="n">
        <v>9</v>
      </c>
      <c r="C104">
        <f>SQRT((Scale_PCA_Mechanics!G4-Scale_PCA_Mechanics!G10)^2+(Scale_PCA_Mechanics!H4-Scale_PCA_Mechanics!H10)^2+(Scale_PCA_Mechanics!I4-Scale_PCA_Mechanics!I10)^2+(Scale_PCA_Mechanics!J4-Scale_PCA_Mechanics!J10)^2)</f>
        <v/>
      </c>
      <c r="D104">
        <f>INDEX(KMeans_6_2!AA2:AA51,A104)</f>
        <v/>
      </c>
      <c r="E104">
        <f>INDEX(KMeans_6_2!AA2:AA51,B104)</f>
        <v/>
      </c>
      <c r="O104">
        <f>IF(OR(AND(D104=1,E104=2),AND(D104=2,E104=1)),C104,"")</f>
        <v/>
      </c>
      <c r="P104">
        <f>IF(OR(AND(D104=1,E104=3),AND(D104=3,E104=1)),C104,"")</f>
        <v/>
      </c>
      <c r="Q104">
        <f>IF(OR(AND(D104=2,E104=3),AND(D104=3,E104=2)),C104,"")</f>
        <v/>
      </c>
    </row>
    <row r="105">
      <c r="A105" t="n">
        <v>3</v>
      </c>
      <c r="B105" t="n">
        <v>10</v>
      </c>
      <c r="C105">
        <f>SQRT((Scale_PCA_Mechanics!G4-Scale_PCA_Mechanics!G11)^2+(Scale_PCA_Mechanics!H4-Scale_PCA_Mechanics!H11)^2+(Scale_PCA_Mechanics!I4-Scale_PCA_Mechanics!I11)^2+(Scale_PCA_Mechanics!J4-Scale_PCA_Mechanics!J11)^2)</f>
        <v/>
      </c>
      <c r="D105">
        <f>INDEX(KMeans_6_2!AA2:AA51,A105)</f>
        <v/>
      </c>
      <c r="E105">
        <f>INDEX(KMeans_6_2!AA2:AA51,B105)</f>
        <v/>
      </c>
      <c r="O105">
        <f>IF(OR(AND(D105=1,E105=2),AND(D105=2,E105=1)),C105,"")</f>
        <v/>
      </c>
      <c r="P105">
        <f>IF(OR(AND(D105=1,E105=3),AND(D105=3,E105=1)),C105,"")</f>
        <v/>
      </c>
      <c r="Q105">
        <f>IF(OR(AND(D105=2,E105=3),AND(D105=3,E105=2)),C105,"")</f>
        <v/>
      </c>
    </row>
    <row r="106">
      <c r="A106" t="n">
        <v>3</v>
      </c>
      <c r="B106" t="n">
        <v>11</v>
      </c>
      <c r="C106">
        <f>SQRT((Scale_PCA_Mechanics!G4-Scale_PCA_Mechanics!G12)^2+(Scale_PCA_Mechanics!H4-Scale_PCA_Mechanics!H12)^2+(Scale_PCA_Mechanics!I4-Scale_PCA_Mechanics!I12)^2+(Scale_PCA_Mechanics!J4-Scale_PCA_Mechanics!J12)^2)</f>
        <v/>
      </c>
      <c r="D106">
        <f>INDEX(KMeans_6_2!AA2:AA51,A106)</f>
        <v/>
      </c>
      <c r="E106">
        <f>INDEX(KMeans_6_2!AA2:AA51,B106)</f>
        <v/>
      </c>
      <c r="O106">
        <f>IF(OR(AND(D106=1,E106=2),AND(D106=2,E106=1)),C106,"")</f>
        <v/>
      </c>
      <c r="P106">
        <f>IF(OR(AND(D106=1,E106=3),AND(D106=3,E106=1)),C106,"")</f>
        <v/>
      </c>
      <c r="Q106">
        <f>IF(OR(AND(D106=2,E106=3),AND(D106=3,E106=2)),C106,"")</f>
        <v/>
      </c>
    </row>
    <row r="107">
      <c r="A107" t="n">
        <v>3</v>
      </c>
      <c r="B107" t="n">
        <v>12</v>
      </c>
      <c r="C107">
        <f>SQRT((Scale_PCA_Mechanics!G4-Scale_PCA_Mechanics!G13)^2+(Scale_PCA_Mechanics!H4-Scale_PCA_Mechanics!H13)^2+(Scale_PCA_Mechanics!I4-Scale_PCA_Mechanics!I13)^2+(Scale_PCA_Mechanics!J4-Scale_PCA_Mechanics!J13)^2)</f>
        <v/>
      </c>
      <c r="D107">
        <f>INDEX(KMeans_6_2!AA2:AA51,A107)</f>
        <v/>
      </c>
      <c r="E107">
        <f>INDEX(KMeans_6_2!AA2:AA51,B107)</f>
        <v/>
      </c>
      <c r="O107">
        <f>IF(OR(AND(D107=1,E107=2),AND(D107=2,E107=1)),C107,"")</f>
        <v/>
      </c>
      <c r="P107">
        <f>IF(OR(AND(D107=1,E107=3),AND(D107=3,E107=1)),C107,"")</f>
        <v/>
      </c>
      <c r="Q107">
        <f>IF(OR(AND(D107=2,E107=3),AND(D107=3,E107=2)),C107,"")</f>
        <v/>
      </c>
    </row>
    <row r="108">
      <c r="A108" t="n">
        <v>3</v>
      </c>
      <c r="B108" t="n">
        <v>13</v>
      </c>
      <c r="C108">
        <f>SQRT((Scale_PCA_Mechanics!G4-Scale_PCA_Mechanics!G14)^2+(Scale_PCA_Mechanics!H4-Scale_PCA_Mechanics!H14)^2+(Scale_PCA_Mechanics!I4-Scale_PCA_Mechanics!I14)^2+(Scale_PCA_Mechanics!J4-Scale_PCA_Mechanics!J14)^2)</f>
        <v/>
      </c>
      <c r="D108">
        <f>INDEX(KMeans_6_2!AA2:AA51,A108)</f>
        <v/>
      </c>
      <c r="E108">
        <f>INDEX(KMeans_6_2!AA2:AA51,B108)</f>
        <v/>
      </c>
      <c r="O108">
        <f>IF(OR(AND(D108=1,E108=2),AND(D108=2,E108=1)),C108,"")</f>
        <v/>
      </c>
      <c r="P108">
        <f>IF(OR(AND(D108=1,E108=3),AND(D108=3,E108=1)),C108,"")</f>
        <v/>
      </c>
      <c r="Q108">
        <f>IF(OR(AND(D108=2,E108=3),AND(D108=3,E108=2)),C108,"")</f>
        <v/>
      </c>
    </row>
    <row r="109">
      <c r="A109" t="n">
        <v>3</v>
      </c>
      <c r="B109" t="n">
        <v>14</v>
      </c>
      <c r="C109">
        <f>SQRT((Scale_PCA_Mechanics!G4-Scale_PCA_Mechanics!G15)^2+(Scale_PCA_Mechanics!H4-Scale_PCA_Mechanics!H15)^2+(Scale_PCA_Mechanics!I4-Scale_PCA_Mechanics!I15)^2+(Scale_PCA_Mechanics!J4-Scale_PCA_Mechanics!J15)^2)</f>
        <v/>
      </c>
      <c r="D109">
        <f>INDEX(KMeans_6_2!AA2:AA51,A109)</f>
        <v/>
      </c>
      <c r="E109">
        <f>INDEX(KMeans_6_2!AA2:AA51,B109)</f>
        <v/>
      </c>
      <c r="O109">
        <f>IF(OR(AND(D109=1,E109=2),AND(D109=2,E109=1)),C109,"")</f>
        <v/>
      </c>
      <c r="P109">
        <f>IF(OR(AND(D109=1,E109=3),AND(D109=3,E109=1)),C109,"")</f>
        <v/>
      </c>
      <c r="Q109">
        <f>IF(OR(AND(D109=2,E109=3),AND(D109=3,E109=2)),C109,"")</f>
        <v/>
      </c>
    </row>
    <row r="110">
      <c r="A110" t="n">
        <v>3</v>
      </c>
      <c r="B110" t="n">
        <v>15</v>
      </c>
      <c r="C110">
        <f>SQRT((Scale_PCA_Mechanics!G4-Scale_PCA_Mechanics!G16)^2+(Scale_PCA_Mechanics!H4-Scale_PCA_Mechanics!H16)^2+(Scale_PCA_Mechanics!I4-Scale_PCA_Mechanics!I16)^2+(Scale_PCA_Mechanics!J4-Scale_PCA_Mechanics!J16)^2)</f>
        <v/>
      </c>
      <c r="D110">
        <f>INDEX(KMeans_6_2!AA2:AA51,A110)</f>
        <v/>
      </c>
      <c r="E110">
        <f>INDEX(KMeans_6_2!AA2:AA51,B110)</f>
        <v/>
      </c>
      <c r="O110">
        <f>IF(OR(AND(D110=1,E110=2),AND(D110=2,E110=1)),C110,"")</f>
        <v/>
      </c>
      <c r="P110">
        <f>IF(OR(AND(D110=1,E110=3),AND(D110=3,E110=1)),C110,"")</f>
        <v/>
      </c>
      <c r="Q110">
        <f>IF(OR(AND(D110=2,E110=3),AND(D110=3,E110=2)),C110,"")</f>
        <v/>
      </c>
    </row>
    <row r="111">
      <c r="A111" t="n">
        <v>3</v>
      </c>
      <c r="B111" t="n">
        <v>16</v>
      </c>
      <c r="C111">
        <f>SQRT((Scale_PCA_Mechanics!G4-Scale_PCA_Mechanics!G17)^2+(Scale_PCA_Mechanics!H4-Scale_PCA_Mechanics!H17)^2+(Scale_PCA_Mechanics!I4-Scale_PCA_Mechanics!I17)^2+(Scale_PCA_Mechanics!J4-Scale_PCA_Mechanics!J17)^2)</f>
        <v/>
      </c>
      <c r="D111">
        <f>INDEX(KMeans_6_2!AA2:AA51,A111)</f>
        <v/>
      </c>
      <c r="E111">
        <f>INDEX(KMeans_6_2!AA2:AA51,B111)</f>
        <v/>
      </c>
      <c r="O111">
        <f>IF(OR(AND(D111=1,E111=2),AND(D111=2,E111=1)),C111,"")</f>
        <v/>
      </c>
      <c r="P111">
        <f>IF(OR(AND(D111=1,E111=3),AND(D111=3,E111=1)),C111,"")</f>
        <v/>
      </c>
      <c r="Q111">
        <f>IF(OR(AND(D111=2,E111=3),AND(D111=3,E111=2)),C111,"")</f>
        <v/>
      </c>
    </row>
    <row r="112">
      <c r="A112" t="n">
        <v>3</v>
      </c>
      <c r="B112" t="n">
        <v>17</v>
      </c>
      <c r="C112">
        <f>SQRT((Scale_PCA_Mechanics!G4-Scale_PCA_Mechanics!G18)^2+(Scale_PCA_Mechanics!H4-Scale_PCA_Mechanics!H18)^2+(Scale_PCA_Mechanics!I4-Scale_PCA_Mechanics!I18)^2+(Scale_PCA_Mechanics!J4-Scale_PCA_Mechanics!J18)^2)</f>
        <v/>
      </c>
      <c r="D112">
        <f>INDEX(KMeans_6_2!AA2:AA51,A112)</f>
        <v/>
      </c>
      <c r="E112">
        <f>INDEX(KMeans_6_2!AA2:AA51,B112)</f>
        <v/>
      </c>
      <c r="O112">
        <f>IF(OR(AND(D112=1,E112=2),AND(D112=2,E112=1)),C112,"")</f>
        <v/>
      </c>
      <c r="P112">
        <f>IF(OR(AND(D112=1,E112=3),AND(D112=3,E112=1)),C112,"")</f>
        <v/>
      </c>
      <c r="Q112">
        <f>IF(OR(AND(D112=2,E112=3),AND(D112=3,E112=2)),C112,"")</f>
        <v/>
      </c>
    </row>
    <row r="113">
      <c r="A113" t="n">
        <v>3</v>
      </c>
      <c r="B113" t="n">
        <v>18</v>
      </c>
      <c r="C113">
        <f>SQRT((Scale_PCA_Mechanics!G4-Scale_PCA_Mechanics!G19)^2+(Scale_PCA_Mechanics!H4-Scale_PCA_Mechanics!H19)^2+(Scale_PCA_Mechanics!I4-Scale_PCA_Mechanics!I19)^2+(Scale_PCA_Mechanics!J4-Scale_PCA_Mechanics!J19)^2)</f>
        <v/>
      </c>
      <c r="D113">
        <f>INDEX(KMeans_6_2!AA2:AA51,A113)</f>
        <v/>
      </c>
      <c r="E113">
        <f>INDEX(KMeans_6_2!AA2:AA51,B113)</f>
        <v/>
      </c>
      <c r="O113">
        <f>IF(OR(AND(D113=1,E113=2),AND(D113=2,E113=1)),C113,"")</f>
        <v/>
      </c>
      <c r="P113">
        <f>IF(OR(AND(D113=1,E113=3),AND(D113=3,E113=1)),C113,"")</f>
        <v/>
      </c>
      <c r="Q113">
        <f>IF(OR(AND(D113=2,E113=3),AND(D113=3,E113=2)),C113,"")</f>
        <v/>
      </c>
    </row>
    <row r="114">
      <c r="A114" t="n">
        <v>3</v>
      </c>
      <c r="B114" t="n">
        <v>19</v>
      </c>
      <c r="C114">
        <f>SQRT((Scale_PCA_Mechanics!G4-Scale_PCA_Mechanics!G20)^2+(Scale_PCA_Mechanics!H4-Scale_PCA_Mechanics!H20)^2+(Scale_PCA_Mechanics!I4-Scale_PCA_Mechanics!I20)^2+(Scale_PCA_Mechanics!J4-Scale_PCA_Mechanics!J20)^2)</f>
        <v/>
      </c>
      <c r="D114">
        <f>INDEX(KMeans_6_2!AA2:AA51,A114)</f>
        <v/>
      </c>
      <c r="E114">
        <f>INDEX(KMeans_6_2!AA2:AA51,B114)</f>
        <v/>
      </c>
      <c r="O114">
        <f>IF(OR(AND(D114=1,E114=2),AND(D114=2,E114=1)),C114,"")</f>
        <v/>
      </c>
      <c r="P114">
        <f>IF(OR(AND(D114=1,E114=3),AND(D114=3,E114=1)),C114,"")</f>
        <v/>
      </c>
      <c r="Q114">
        <f>IF(OR(AND(D114=2,E114=3),AND(D114=3,E114=2)),C114,"")</f>
        <v/>
      </c>
    </row>
    <row r="115">
      <c r="A115" t="n">
        <v>3</v>
      </c>
      <c r="B115" t="n">
        <v>20</v>
      </c>
      <c r="C115">
        <f>SQRT((Scale_PCA_Mechanics!G4-Scale_PCA_Mechanics!G21)^2+(Scale_PCA_Mechanics!H4-Scale_PCA_Mechanics!H21)^2+(Scale_PCA_Mechanics!I4-Scale_PCA_Mechanics!I21)^2+(Scale_PCA_Mechanics!J4-Scale_PCA_Mechanics!J21)^2)</f>
        <v/>
      </c>
      <c r="D115">
        <f>INDEX(KMeans_6_2!AA2:AA51,A115)</f>
        <v/>
      </c>
      <c r="E115">
        <f>INDEX(KMeans_6_2!AA2:AA51,B115)</f>
        <v/>
      </c>
      <c r="O115">
        <f>IF(OR(AND(D115=1,E115=2),AND(D115=2,E115=1)),C115,"")</f>
        <v/>
      </c>
      <c r="P115">
        <f>IF(OR(AND(D115=1,E115=3),AND(D115=3,E115=1)),C115,"")</f>
        <v/>
      </c>
      <c r="Q115">
        <f>IF(OR(AND(D115=2,E115=3),AND(D115=3,E115=2)),C115,"")</f>
        <v/>
      </c>
    </row>
    <row r="116">
      <c r="A116" t="n">
        <v>3</v>
      </c>
      <c r="B116" t="n">
        <v>21</v>
      </c>
      <c r="C116">
        <f>SQRT((Scale_PCA_Mechanics!G4-Scale_PCA_Mechanics!G22)^2+(Scale_PCA_Mechanics!H4-Scale_PCA_Mechanics!H22)^2+(Scale_PCA_Mechanics!I4-Scale_PCA_Mechanics!I22)^2+(Scale_PCA_Mechanics!J4-Scale_PCA_Mechanics!J22)^2)</f>
        <v/>
      </c>
      <c r="D116">
        <f>INDEX(KMeans_6_2!AA2:AA51,A116)</f>
        <v/>
      </c>
      <c r="E116">
        <f>INDEX(KMeans_6_2!AA2:AA51,B116)</f>
        <v/>
      </c>
      <c r="O116">
        <f>IF(OR(AND(D116=1,E116=2),AND(D116=2,E116=1)),C116,"")</f>
        <v/>
      </c>
      <c r="P116">
        <f>IF(OR(AND(D116=1,E116=3),AND(D116=3,E116=1)),C116,"")</f>
        <v/>
      </c>
      <c r="Q116">
        <f>IF(OR(AND(D116=2,E116=3),AND(D116=3,E116=2)),C116,"")</f>
        <v/>
      </c>
    </row>
    <row r="117">
      <c r="A117" t="n">
        <v>3</v>
      </c>
      <c r="B117" t="n">
        <v>22</v>
      </c>
      <c r="C117">
        <f>SQRT((Scale_PCA_Mechanics!G4-Scale_PCA_Mechanics!G23)^2+(Scale_PCA_Mechanics!H4-Scale_PCA_Mechanics!H23)^2+(Scale_PCA_Mechanics!I4-Scale_PCA_Mechanics!I23)^2+(Scale_PCA_Mechanics!J4-Scale_PCA_Mechanics!J23)^2)</f>
        <v/>
      </c>
      <c r="D117">
        <f>INDEX(KMeans_6_2!AA2:AA51,A117)</f>
        <v/>
      </c>
      <c r="E117">
        <f>INDEX(KMeans_6_2!AA2:AA51,B117)</f>
        <v/>
      </c>
      <c r="O117">
        <f>IF(OR(AND(D117=1,E117=2),AND(D117=2,E117=1)),C117,"")</f>
        <v/>
      </c>
      <c r="P117">
        <f>IF(OR(AND(D117=1,E117=3),AND(D117=3,E117=1)),C117,"")</f>
        <v/>
      </c>
      <c r="Q117">
        <f>IF(OR(AND(D117=2,E117=3),AND(D117=3,E117=2)),C117,"")</f>
        <v/>
      </c>
    </row>
    <row r="118">
      <c r="A118" t="n">
        <v>3</v>
      </c>
      <c r="B118" t="n">
        <v>23</v>
      </c>
      <c r="C118">
        <f>SQRT((Scale_PCA_Mechanics!G4-Scale_PCA_Mechanics!G24)^2+(Scale_PCA_Mechanics!H4-Scale_PCA_Mechanics!H24)^2+(Scale_PCA_Mechanics!I4-Scale_PCA_Mechanics!I24)^2+(Scale_PCA_Mechanics!J4-Scale_PCA_Mechanics!J24)^2)</f>
        <v/>
      </c>
      <c r="D118">
        <f>INDEX(KMeans_6_2!AA2:AA51,A118)</f>
        <v/>
      </c>
      <c r="E118">
        <f>INDEX(KMeans_6_2!AA2:AA51,B118)</f>
        <v/>
      </c>
      <c r="O118">
        <f>IF(OR(AND(D118=1,E118=2),AND(D118=2,E118=1)),C118,"")</f>
        <v/>
      </c>
      <c r="P118">
        <f>IF(OR(AND(D118=1,E118=3),AND(D118=3,E118=1)),C118,"")</f>
        <v/>
      </c>
      <c r="Q118">
        <f>IF(OR(AND(D118=2,E118=3),AND(D118=3,E118=2)),C118,"")</f>
        <v/>
      </c>
    </row>
    <row r="119">
      <c r="A119" t="n">
        <v>3</v>
      </c>
      <c r="B119" t="n">
        <v>24</v>
      </c>
      <c r="C119">
        <f>SQRT((Scale_PCA_Mechanics!G4-Scale_PCA_Mechanics!G25)^2+(Scale_PCA_Mechanics!H4-Scale_PCA_Mechanics!H25)^2+(Scale_PCA_Mechanics!I4-Scale_PCA_Mechanics!I25)^2+(Scale_PCA_Mechanics!J4-Scale_PCA_Mechanics!J25)^2)</f>
        <v/>
      </c>
      <c r="D119">
        <f>INDEX(KMeans_6_2!AA2:AA51,A119)</f>
        <v/>
      </c>
      <c r="E119">
        <f>INDEX(KMeans_6_2!AA2:AA51,B119)</f>
        <v/>
      </c>
      <c r="O119">
        <f>IF(OR(AND(D119=1,E119=2),AND(D119=2,E119=1)),C119,"")</f>
        <v/>
      </c>
      <c r="P119">
        <f>IF(OR(AND(D119=1,E119=3),AND(D119=3,E119=1)),C119,"")</f>
        <v/>
      </c>
      <c r="Q119">
        <f>IF(OR(AND(D119=2,E119=3),AND(D119=3,E119=2)),C119,"")</f>
        <v/>
      </c>
    </row>
    <row r="120">
      <c r="A120" t="n">
        <v>3</v>
      </c>
      <c r="B120" t="n">
        <v>25</v>
      </c>
      <c r="C120">
        <f>SQRT((Scale_PCA_Mechanics!G4-Scale_PCA_Mechanics!G26)^2+(Scale_PCA_Mechanics!H4-Scale_PCA_Mechanics!H26)^2+(Scale_PCA_Mechanics!I4-Scale_PCA_Mechanics!I26)^2+(Scale_PCA_Mechanics!J4-Scale_PCA_Mechanics!J26)^2)</f>
        <v/>
      </c>
      <c r="D120">
        <f>INDEX(KMeans_6_2!AA2:AA51,A120)</f>
        <v/>
      </c>
      <c r="E120">
        <f>INDEX(KMeans_6_2!AA2:AA51,B120)</f>
        <v/>
      </c>
      <c r="O120">
        <f>IF(OR(AND(D120=1,E120=2),AND(D120=2,E120=1)),C120,"")</f>
        <v/>
      </c>
      <c r="P120">
        <f>IF(OR(AND(D120=1,E120=3),AND(D120=3,E120=1)),C120,"")</f>
        <v/>
      </c>
      <c r="Q120">
        <f>IF(OR(AND(D120=2,E120=3),AND(D120=3,E120=2)),C120,"")</f>
        <v/>
      </c>
    </row>
    <row r="121">
      <c r="A121" t="n">
        <v>3</v>
      </c>
      <c r="B121" t="n">
        <v>26</v>
      </c>
      <c r="C121">
        <f>SQRT((Scale_PCA_Mechanics!G4-Scale_PCA_Mechanics!G27)^2+(Scale_PCA_Mechanics!H4-Scale_PCA_Mechanics!H27)^2+(Scale_PCA_Mechanics!I4-Scale_PCA_Mechanics!I27)^2+(Scale_PCA_Mechanics!J4-Scale_PCA_Mechanics!J27)^2)</f>
        <v/>
      </c>
      <c r="D121">
        <f>INDEX(KMeans_6_2!AA2:AA51,A121)</f>
        <v/>
      </c>
      <c r="E121">
        <f>INDEX(KMeans_6_2!AA2:AA51,B121)</f>
        <v/>
      </c>
      <c r="O121">
        <f>IF(OR(AND(D121=1,E121=2),AND(D121=2,E121=1)),C121,"")</f>
        <v/>
      </c>
      <c r="P121">
        <f>IF(OR(AND(D121=1,E121=3),AND(D121=3,E121=1)),C121,"")</f>
        <v/>
      </c>
      <c r="Q121">
        <f>IF(OR(AND(D121=2,E121=3),AND(D121=3,E121=2)),C121,"")</f>
        <v/>
      </c>
    </row>
    <row r="122">
      <c r="A122" t="n">
        <v>3</v>
      </c>
      <c r="B122" t="n">
        <v>27</v>
      </c>
      <c r="C122">
        <f>SQRT((Scale_PCA_Mechanics!G4-Scale_PCA_Mechanics!G28)^2+(Scale_PCA_Mechanics!H4-Scale_PCA_Mechanics!H28)^2+(Scale_PCA_Mechanics!I4-Scale_PCA_Mechanics!I28)^2+(Scale_PCA_Mechanics!J4-Scale_PCA_Mechanics!J28)^2)</f>
        <v/>
      </c>
      <c r="D122">
        <f>INDEX(KMeans_6_2!AA2:AA51,A122)</f>
        <v/>
      </c>
      <c r="E122">
        <f>INDEX(KMeans_6_2!AA2:AA51,B122)</f>
        <v/>
      </c>
      <c r="O122">
        <f>IF(OR(AND(D122=1,E122=2),AND(D122=2,E122=1)),C122,"")</f>
        <v/>
      </c>
      <c r="P122">
        <f>IF(OR(AND(D122=1,E122=3),AND(D122=3,E122=1)),C122,"")</f>
        <v/>
      </c>
      <c r="Q122">
        <f>IF(OR(AND(D122=2,E122=3),AND(D122=3,E122=2)),C122,"")</f>
        <v/>
      </c>
    </row>
    <row r="123">
      <c r="A123" t="n">
        <v>3</v>
      </c>
      <c r="B123" t="n">
        <v>28</v>
      </c>
      <c r="C123">
        <f>SQRT((Scale_PCA_Mechanics!G4-Scale_PCA_Mechanics!G29)^2+(Scale_PCA_Mechanics!H4-Scale_PCA_Mechanics!H29)^2+(Scale_PCA_Mechanics!I4-Scale_PCA_Mechanics!I29)^2+(Scale_PCA_Mechanics!J4-Scale_PCA_Mechanics!J29)^2)</f>
        <v/>
      </c>
      <c r="D123">
        <f>INDEX(KMeans_6_2!AA2:AA51,A123)</f>
        <v/>
      </c>
      <c r="E123">
        <f>INDEX(KMeans_6_2!AA2:AA51,B123)</f>
        <v/>
      </c>
      <c r="O123">
        <f>IF(OR(AND(D123=1,E123=2),AND(D123=2,E123=1)),C123,"")</f>
        <v/>
      </c>
      <c r="P123">
        <f>IF(OR(AND(D123=1,E123=3),AND(D123=3,E123=1)),C123,"")</f>
        <v/>
      </c>
      <c r="Q123">
        <f>IF(OR(AND(D123=2,E123=3),AND(D123=3,E123=2)),C123,"")</f>
        <v/>
      </c>
    </row>
    <row r="124">
      <c r="A124" t="n">
        <v>3</v>
      </c>
      <c r="B124" t="n">
        <v>29</v>
      </c>
      <c r="C124">
        <f>SQRT((Scale_PCA_Mechanics!G4-Scale_PCA_Mechanics!G30)^2+(Scale_PCA_Mechanics!H4-Scale_PCA_Mechanics!H30)^2+(Scale_PCA_Mechanics!I4-Scale_PCA_Mechanics!I30)^2+(Scale_PCA_Mechanics!J4-Scale_PCA_Mechanics!J30)^2)</f>
        <v/>
      </c>
      <c r="D124">
        <f>INDEX(KMeans_6_2!AA2:AA51,A124)</f>
        <v/>
      </c>
      <c r="E124">
        <f>INDEX(KMeans_6_2!AA2:AA51,B124)</f>
        <v/>
      </c>
      <c r="O124">
        <f>IF(OR(AND(D124=1,E124=2),AND(D124=2,E124=1)),C124,"")</f>
        <v/>
      </c>
      <c r="P124">
        <f>IF(OR(AND(D124=1,E124=3),AND(D124=3,E124=1)),C124,"")</f>
        <v/>
      </c>
      <c r="Q124">
        <f>IF(OR(AND(D124=2,E124=3),AND(D124=3,E124=2)),C124,"")</f>
        <v/>
      </c>
    </row>
    <row r="125">
      <c r="A125" t="n">
        <v>3</v>
      </c>
      <c r="B125" t="n">
        <v>30</v>
      </c>
      <c r="C125">
        <f>SQRT((Scale_PCA_Mechanics!G4-Scale_PCA_Mechanics!G31)^2+(Scale_PCA_Mechanics!H4-Scale_PCA_Mechanics!H31)^2+(Scale_PCA_Mechanics!I4-Scale_PCA_Mechanics!I31)^2+(Scale_PCA_Mechanics!J4-Scale_PCA_Mechanics!J31)^2)</f>
        <v/>
      </c>
      <c r="D125">
        <f>INDEX(KMeans_6_2!AA2:AA51,A125)</f>
        <v/>
      </c>
      <c r="E125">
        <f>INDEX(KMeans_6_2!AA2:AA51,B125)</f>
        <v/>
      </c>
      <c r="O125">
        <f>IF(OR(AND(D125=1,E125=2),AND(D125=2,E125=1)),C125,"")</f>
        <v/>
      </c>
      <c r="P125">
        <f>IF(OR(AND(D125=1,E125=3),AND(D125=3,E125=1)),C125,"")</f>
        <v/>
      </c>
      <c r="Q125">
        <f>IF(OR(AND(D125=2,E125=3),AND(D125=3,E125=2)),C125,"")</f>
        <v/>
      </c>
    </row>
    <row r="126">
      <c r="A126" t="n">
        <v>3</v>
      </c>
      <c r="B126" t="n">
        <v>31</v>
      </c>
      <c r="C126">
        <f>SQRT((Scale_PCA_Mechanics!G4-Scale_PCA_Mechanics!G32)^2+(Scale_PCA_Mechanics!H4-Scale_PCA_Mechanics!H32)^2+(Scale_PCA_Mechanics!I4-Scale_PCA_Mechanics!I32)^2+(Scale_PCA_Mechanics!J4-Scale_PCA_Mechanics!J32)^2)</f>
        <v/>
      </c>
      <c r="D126">
        <f>INDEX(KMeans_6_2!AA2:AA51,A126)</f>
        <v/>
      </c>
      <c r="E126">
        <f>INDEX(KMeans_6_2!AA2:AA51,B126)</f>
        <v/>
      </c>
      <c r="O126">
        <f>IF(OR(AND(D126=1,E126=2),AND(D126=2,E126=1)),C126,"")</f>
        <v/>
      </c>
      <c r="P126">
        <f>IF(OR(AND(D126=1,E126=3),AND(D126=3,E126=1)),C126,"")</f>
        <v/>
      </c>
      <c r="Q126">
        <f>IF(OR(AND(D126=2,E126=3),AND(D126=3,E126=2)),C126,"")</f>
        <v/>
      </c>
    </row>
    <row r="127">
      <c r="A127" t="n">
        <v>3</v>
      </c>
      <c r="B127" t="n">
        <v>32</v>
      </c>
      <c r="C127">
        <f>SQRT((Scale_PCA_Mechanics!G4-Scale_PCA_Mechanics!G33)^2+(Scale_PCA_Mechanics!H4-Scale_PCA_Mechanics!H33)^2+(Scale_PCA_Mechanics!I4-Scale_PCA_Mechanics!I33)^2+(Scale_PCA_Mechanics!J4-Scale_PCA_Mechanics!J33)^2)</f>
        <v/>
      </c>
      <c r="D127">
        <f>INDEX(KMeans_6_2!AA2:AA51,A127)</f>
        <v/>
      </c>
      <c r="E127">
        <f>INDEX(KMeans_6_2!AA2:AA51,B127)</f>
        <v/>
      </c>
      <c r="O127">
        <f>IF(OR(AND(D127=1,E127=2),AND(D127=2,E127=1)),C127,"")</f>
        <v/>
      </c>
      <c r="P127">
        <f>IF(OR(AND(D127=1,E127=3),AND(D127=3,E127=1)),C127,"")</f>
        <v/>
      </c>
      <c r="Q127">
        <f>IF(OR(AND(D127=2,E127=3),AND(D127=3,E127=2)),C127,"")</f>
        <v/>
      </c>
    </row>
    <row r="128">
      <c r="A128" t="n">
        <v>3</v>
      </c>
      <c r="B128" t="n">
        <v>33</v>
      </c>
      <c r="C128">
        <f>SQRT((Scale_PCA_Mechanics!G4-Scale_PCA_Mechanics!G34)^2+(Scale_PCA_Mechanics!H4-Scale_PCA_Mechanics!H34)^2+(Scale_PCA_Mechanics!I4-Scale_PCA_Mechanics!I34)^2+(Scale_PCA_Mechanics!J4-Scale_PCA_Mechanics!J34)^2)</f>
        <v/>
      </c>
      <c r="D128">
        <f>INDEX(KMeans_6_2!AA2:AA51,A128)</f>
        <v/>
      </c>
      <c r="E128">
        <f>INDEX(KMeans_6_2!AA2:AA51,B128)</f>
        <v/>
      </c>
      <c r="O128">
        <f>IF(OR(AND(D128=1,E128=2),AND(D128=2,E128=1)),C128,"")</f>
        <v/>
      </c>
      <c r="P128">
        <f>IF(OR(AND(D128=1,E128=3),AND(D128=3,E128=1)),C128,"")</f>
        <v/>
      </c>
      <c r="Q128">
        <f>IF(OR(AND(D128=2,E128=3),AND(D128=3,E128=2)),C128,"")</f>
        <v/>
      </c>
    </row>
    <row r="129">
      <c r="A129" t="n">
        <v>3</v>
      </c>
      <c r="B129" t="n">
        <v>34</v>
      </c>
      <c r="C129">
        <f>SQRT((Scale_PCA_Mechanics!G4-Scale_PCA_Mechanics!G35)^2+(Scale_PCA_Mechanics!H4-Scale_PCA_Mechanics!H35)^2+(Scale_PCA_Mechanics!I4-Scale_PCA_Mechanics!I35)^2+(Scale_PCA_Mechanics!J4-Scale_PCA_Mechanics!J35)^2)</f>
        <v/>
      </c>
      <c r="D129">
        <f>INDEX(KMeans_6_2!AA2:AA51,A129)</f>
        <v/>
      </c>
      <c r="E129">
        <f>INDEX(KMeans_6_2!AA2:AA51,B129)</f>
        <v/>
      </c>
      <c r="O129">
        <f>IF(OR(AND(D129=1,E129=2),AND(D129=2,E129=1)),C129,"")</f>
        <v/>
      </c>
      <c r="P129">
        <f>IF(OR(AND(D129=1,E129=3),AND(D129=3,E129=1)),C129,"")</f>
        <v/>
      </c>
      <c r="Q129">
        <f>IF(OR(AND(D129=2,E129=3),AND(D129=3,E129=2)),C129,"")</f>
        <v/>
      </c>
    </row>
    <row r="130">
      <c r="A130" t="n">
        <v>3</v>
      </c>
      <c r="B130" t="n">
        <v>35</v>
      </c>
      <c r="C130">
        <f>SQRT((Scale_PCA_Mechanics!G4-Scale_PCA_Mechanics!G36)^2+(Scale_PCA_Mechanics!H4-Scale_PCA_Mechanics!H36)^2+(Scale_PCA_Mechanics!I4-Scale_PCA_Mechanics!I36)^2+(Scale_PCA_Mechanics!J4-Scale_PCA_Mechanics!J36)^2)</f>
        <v/>
      </c>
      <c r="D130">
        <f>INDEX(KMeans_6_2!AA2:AA51,A130)</f>
        <v/>
      </c>
      <c r="E130">
        <f>INDEX(KMeans_6_2!AA2:AA51,B130)</f>
        <v/>
      </c>
      <c r="O130">
        <f>IF(OR(AND(D130=1,E130=2),AND(D130=2,E130=1)),C130,"")</f>
        <v/>
      </c>
      <c r="P130">
        <f>IF(OR(AND(D130=1,E130=3),AND(D130=3,E130=1)),C130,"")</f>
        <v/>
      </c>
      <c r="Q130">
        <f>IF(OR(AND(D130=2,E130=3),AND(D130=3,E130=2)),C130,"")</f>
        <v/>
      </c>
    </row>
    <row r="131">
      <c r="A131" t="n">
        <v>3</v>
      </c>
      <c r="B131" t="n">
        <v>36</v>
      </c>
      <c r="C131">
        <f>SQRT((Scale_PCA_Mechanics!G4-Scale_PCA_Mechanics!G37)^2+(Scale_PCA_Mechanics!H4-Scale_PCA_Mechanics!H37)^2+(Scale_PCA_Mechanics!I4-Scale_PCA_Mechanics!I37)^2+(Scale_PCA_Mechanics!J4-Scale_PCA_Mechanics!J37)^2)</f>
        <v/>
      </c>
      <c r="D131">
        <f>INDEX(KMeans_6_2!AA2:AA51,A131)</f>
        <v/>
      </c>
      <c r="E131">
        <f>INDEX(KMeans_6_2!AA2:AA51,B131)</f>
        <v/>
      </c>
      <c r="O131">
        <f>IF(OR(AND(D131=1,E131=2),AND(D131=2,E131=1)),C131,"")</f>
        <v/>
      </c>
      <c r="P131">
        <f>IF(OR(AND(D131=1,E131=3),AND(D131=3,E131=1)),C131,"")</f>
        <v/>
      </c>
      <c r="Q131">
        <f>IF(OR(AND(D131=2,E131=3),AND(D131=3,E131=2)),C131,"")</f>
        <v/>
      </c>
    </row>
    <row r="132">
      <c r="A132" t="n">
        <v>3</v>
      </c>
      <c r="B132" t="n">
        <v>37</v>
      </c>
      <c r="C132">
        <f>SQRT((Scale_PCA_Mechanics!G4-Scale_PCA_Mechanics!G38)^2+(Scale_PCA_Mechanics!H4-Scale_PCA_Mechanics!H38)^2+(Scale_PCA_Mechanics!I4-Scale_PCA_Mechanics!I38)^2+(Scale_PCA_Mechanics!J4-Scale_PCA_Mechanics!J38)^2)</f>
        <v/>
      </c>
      <c r="D132">
        <f>INDEX(KMeans_6_2!AA2:AA51,A132)</f>
        <v/>
      </c>
      <c r="E132">
        <f>INDEX(KMeans_6_2!AA2:AA51,B132)</f>
        <v/>
      </c>
      <c r="O132">
        <f>IF(OR(AND(D132=1,E132=2),AND(D132=2,E132=1)),C132,"")</f>
        <v/>
      </c>
      <c r="P132">
        <f>IF(OR(AND(D132=1,E132=3),AND(D132=3,E132=1)),C132,"")</f>
        <v/>
      </c>
      <c r="Q132">
        <f>IF(OR(AND(D132=2,E132=3),AND(D132=3,E132=2)),C132,"")</f>
        <v/>
      </c>
    </row>
    <row r="133">
      <c r="A133" t="n">
        <v>3</v>
      </c>
      <c r="B133" t="n">
        <v>38</v>
      </c>
      <c r="C133">
        <f>SQRT((Scale_PCA_Mechanics!G4-Scale_PCA_Mechanics!G39)^2+(Scale_PCA_Mechanics!H4-Scale_PCA_Mechanics!H39)^2+(Scale_PCA_Mechanics!I4-Scale_PCA_Mechanics!I39)^2+(Scale_PCA_Mechanics!J4-Scale_PCA_Mechanics!J39)^2)</f>
        <v/>
      </c>
      <c r="D133">
        <f>INDEX(KMeans_6_2!AA2:AA51,A133)</f>
        <v/>
      </c>
      <c r="E133">
        <f>INDEX(KMeans_6_2!AA2:AA51,B133)</f>
        <v/>
      </c>
      <c r="O133">
        <f>IF(OR(AND(D133=1,E133=2),AND(D133=2,E133=1)),C133,"")</f>
        <v/>
      </c>
      <c r="P133">
        <f>IF(OR(AND(D133=1,E133=3),AND(D133=3,E133=1)),C133,"")</f>
        <v/>
      </c>
      <c r="Q133">
        <f>IF(OR(AND(D133=2,E133=3),AND(D133=3,E133=2)),C133,"")</f>
        <v/>
      </c>
    </row>
    <row r="134">
      <c r="A134" t="n">
        <v>3</v>
      </c>
      <c r="B134" t="n">
        <v>39</v>
      </c>
      <c r="C134">
        <f>SQRT((Scale_PCA_Mechanics!G4-Scale_PCA_Mechanics!G40)^2+(Scale_PCA_Mechanics!H4-Scale_PCA_Mechanics!H40)^2+(Scale_PCA_Mechanics!I4-Scale_PCA_Mechanics!I40)^2+(Scale_PCA_Mechanics!J4-Scale_PCA_Mechanics!J40)^2)</f>
        <v/>
      </c>
      <c r="D134">
        <f>INDEX(KMeans_6_2!AA2:AA51,A134)</f>
        <v/>
      </c>
      <c r="E134">
        <f>INDEX(KMeans_6_2!AA2:AA51,B134)</f>
        <v/>
      </c>
      <c r="O134">
        <f>IF(OR(AND(D134=1,E134=2),AND(D134=2,E134=1)),C134,"")</f>
        <v/>
      </c>
      <c r="P134">
        <f>IF(OR(AND(D134=1,E134=3),AND(D134=3,E134=1)),C134,"")</f>
        <v/>
      </c>
      <c r="Q134">
        <f>IF(OR(AND(D134=2,E134=3),AND(D134=3,E134=2)),C134,"")</f>
        <v/>
      </c>
    </row>
    <row r="135">
      <c r="A135" t="n">
        <v>3</v>
      </c>
      <c r="B135" t="n">
        <v>40</v>
      </c>
      <c r="C135">
        <f>SQRT((Scale_PCA_Mechanics!G4-Scale_PCA_Mechanics!G41)^2+(Scale_PCA_Mechanics!H4-Scale_PCA_Mechanics!H41)^2+(Scale_PCA_Mechanics!I4-Scale_PCA_Mechanics!I41)^2+(Scale_PCA_Mechanics!J4-Scale_PCA_Mechanics!J41)^2)</f>
        <v/>
      </c>
      <c r="D135">
        <f>INDEX(KMeans_6_2!AA2:AA51,A135)</f>
        <v/>
      </c>
      <c r="E135">
        <f>INDEX(KMeans_6_2!AA2:AA51,B135)</f>
        <v/>
      </c>
      <c r="O135">
        <f>IF(OR(AND(D135=1,E135=2),AND(D135=2,E135=1)),C135,"")</f>
        <v/>
      </c>
      <c r="P135">
        <f>IF(OR(AND(D135=1,E135=3),AND(D135=3,E135=1)),C135,"")</f>
        <v/>
      </c>
      <c r="Q135">
        <f>IF(OR(AND(D135=2,E135=3),AND(D135=3,E135=2)),C135,"")</f>
        <v/>
      </c>
    </row>
    <row r="136">
      <c r="A136" t="n">
        <v>3</v>
      </c>
      <c r="B136" t="n">
        <v>41</v>
      </c>
      <c r="C136">
        <f>SQRT((Scale_PCA_Mechanics!G4-Scale_PCA_Mechanics!G42)^2+(Scale_PCA_Mechanics!H4-Scale_PCA_Mechanics!H42)^2+(Scale_PCA_Mechanics!I4-Scale_PCA_Mechanics!I42)^2+(Scale_PCA_Mechanics!J4-Scale_PCA_Mechanics!J42)^2)</f>
        <v/>
      </c>
      <c r="D136">
        <f>INDEX(KMeans_6_2!AA2:AA51,A136)</f>
        <v/>
      </c>
      <c r="E136">
        <f>INDEX(KMeans_6_2!AA2:AA51,B136)</f>
        <v/>
      </c>
      <c r="O136">
        <f>IF(OR(AND(D136=1,E136=2),AND(D136=2,E136=1)),C136,"")</f>
        <v/>
      </c>
      <c r="P136">
        <f>IF(OR(AND(D136=1,E136=3),AND(D136=3,E136=1)),C136,"")</f>
        <v/>
      </c>
      <c r="Q136">
        <f>IF(OR(AND(D136=2,E136=3),AND(D136=3,E136=2)),C136,"")</f>
        <v/>
      </c>
    </row>
    <row r="137">
      <c r="A137" t="n">
        <v>3</v>
      </c>
      <c r="B137" t="n">
        <v>42</v>
      </c>
      <c r="C137">
        <f>SQRT((Scale_PCA_Mechanics!G4-Scale_PCA_Mechanics!G43)^2+(Scale_PCA_Mechanics!H4-Scale_PCA_Mechanics!H43)^2+(Scale_PCA_Mechanics!I4-Scale_PCA_Mechanics!I43)^2+(Scale_PCA_Mechanics!J4-Scale_PCA_Mechanics!J43)^2)</f>
        <v/>
      </c>
      <c r="D137">
        <f>INDEX(KMeans_6_2!AA2:AA51,A137)</f>
        <v/>
      </c>
      <c r="E137">
        <f>INDEX(KMeans_6_2!AA2:AA51,B137)</f>
        <v/>
      </c>
      <c r="O137">
        <f>IF(OR(AND(D137=1,E137=2),AND(D137=2,E137=1)),C137,"")</f>
        <v/>
      </c>
      <c r="P137">
        <f>IF(OR(AND(D137=1,E137=3),AND(D137=3,E137=1)),C137,"")</f>
        <v/>
      </c>
      <c r="Q137">
        <f>IF(OR(AND(D137=2,E137=3),AND(D137=3,E137=2)),C137,"")</f>
        <v/>
      </c>
    </row>
    <row r="138">
      <c r="A138" t="n">
        <v>3</v>
      </c>
      <c r="B138" t="n">
        <v>43</v>
      </c>
      <c r="C138">
        <f>SQRT((Scale_PCA_Mechanics!G4-Scale_PCA_Mechanics!G44)^2+(Scale_PCA_Mechanics!H4-Scale_PCA_Mechanics!H44)^2+(Scale_PCA_Mechanics!I4-Scale_PCA_Mechanics!I44)^2+(Scale_PCA_Mechanics!J4-Scale_PCA_Mechanics!J44)^2)</f>
        <v/>
      </c>
      <c r="D138">
        <f>INDEX(KMeans_6_2!AA2:AA51,A138)</f>
        <v/>
      </c>
      <c r="E138">
        <f>INDEX(KMeans_6_2!AA2:AA51,B138)</f>
        <v/>
      </c>
      <c r="O138">
        <f>IF(OR(AND(D138=1,E138=2),AND(D138=2,E138=1)),C138,"")</f>
        <v/>
      </c>
      <c r="P138">
        <f>IF(OR(AND(D138=1,E138=3),AND(D138=3,E138=1)),C138,"")</f>
        <v/>
      </c>
      <c r="Q138">
        <f>IF(OR(AND(D138=2,E138=3),AND(D138=3,E138=2)),C138,"")</f>
        <v/>
      </c>
    </row>
    <row r="139">
      <c r="A139" t="n">
        <v>3</v>
      </c>
      <c r="B139" t="n">
        <v>44</v>
      </c>
      <c r="C139">
        <f>SQRT((Scale_PCA_Mechanics!G4-Scale_PCA_Mechanics!G45)^2+(Scale_PCA_Mechanics!H4-Scale_PCA_Mechanics!H45)^2+(Scale_PCA_Mechanics!I4-Scale_PCA_Mechanics!I45)^2+(Scale_PCA_Mechanics!J4-Scale_PCA_Mechanics!J45)^2)</f>
        <v/>
      </c>
      <c r="D139">
        <f>INDEX(KMeans_6_2!AA2:AA51,A139)</f>
        <v/>
      </c>
      <c r="E139">
        <f>INDEX(KMeans_6_2!AA2:AA51,B139)</f>
        <v/>
      </c>
      <c r="O139">
        <f>IF(OR(AND(D139=1,E139=2),AND(D139=2,E139=1)),C139,"")</f>
        <v/>
      </c>
      <c r="P139">
        <f>IF(OR(AND(D139=1,E139=3),AND(D139=3,E139=1)),C139,"")</f>
        <v/>
      </c>
      <c r="Q139">
        <f>IF(OR(AND(D139=2,E139=3),AND(D139=3,E139=2)),C139,"")</f>
        <v/>
      </c>
    </row>
    <row r="140">
      <c r="A140" t="n">
        <v>3</v>
      </c>
      <c r="B140" t="n">
        <v>45</v>
      </c>
      <c r="C140">
        <f>SQRT((Scale_PCA_Mechanics!G4-Scale_PCA_Mechanics!G46)^2+(Scale_PCA_Mechanics!H4-Scale_PCA_Mechanics!H46)^2+(Scale_PCA_Mechanics!I4-Scale_PCA_Mechanics!I46)^2+(Scale_PCA_Mechanics!J4-Scale_PCA_Mechanics!J46)^2)</f>
        <v/>
      </c>
      <c r="D140">
        <f>INDEX(KMeans_6_2!AA2:AA51,A140)</f>
        <v/>
      </c>
      <c r="E140">
        <f>INDEX(KMeans_6_2!AA2:AA51,B140)</f>
        <v/>
      </c>
      <c r="O140">
        <f>IF(OR(AND(D140=1,E140=2),AND(D140=2,E140=1)),C140,"")</f>
        <v/>
      </c>
      <c r="P140">
        <f>IF(OR(AND(D140=1,E140=3),AND(D140=3,E140=1)),C140,"")</f>
        <v/>
      </c>
      <c r="Q140">
        <f>IF(OR(AND(D140=2,E140=3),AND(D140=3,E140=2)),C140,"")</f>
        <v/>
      </c>
    </row>
    <row r="141">
      <c r="A141" t="n">
        <v>3</v>
      </c>
      <c r="B141" t="n">
        <v>46</v>
      </c>
      <c r="C141">
        <f>SQRT((Scale_PCA_Mechanics!G4-Scale_PCA_Mechanics!G47)^2+(Scale_PCA_Mechanics!H4-Scale_PCA_Mechanics!H47)^2+(Scale_PCA_Mechanics!I4-Scale_PCA_Mechanics!I47)^2+(Scale_PCA_Mechanics!J4-Scale_PCA_Mechanics!J47)^2)</f>
        <v/>
      </c>
      <c r="D141">
        <f>INDEX(KMeans_6_2!AA2:AA51,A141)</f>
        <v/>
      </c>
      <c r="E141">
        <f>INDEX(KMeans_6_2!AA2:AA51,B141)</f>
        <v/>
      </c>
      <c r="O141">
        <f>IF(OR(AND(D141=1,E141=2),AND(D141=2,E141=1)),C141,"")</f>
        <v/>
      </c>
      <c r="P141">
        <f>IF(OR(AND(D141=1,E141=3),AND(D141=3,E141=1)),C141,"")</f>
        <v/>
      </c>
      <c r="Q141">
        <f>IF(OR(AND(D141=2,E141=3),AND(D141=3,E141=2)),C141,"")</f>
        <v/>
      </c>
    </row>
    <row r="142">
      <c r="A142" t="n">
        <v>3</v>
      </c>
      <c r="B142" t="n">
        <v>47</v>
      </c>
      <c r="C142">
        <f>SQRT((Scale_PCA_Mechanics!G4-Scale_PCA_Mechanics!G48)^2+(Scale_PCA_Mechanics!H4-Scale_PCA_Mechanics!H48)^2+(Scale_PCA_Mechanics!I4-Scale_PCA_Mechanics!I48)^2+(Scale_PCA_Mechanics!J4-Scale_PCA_Mechanics!J48)^2)</f>
        <v/>
      </c>
      <c r="D142">
        <f>INDEX(KMeans_6_2!AA2:AA51,A142)</f>
        <v/>
      </c>
      <c r="E142">
        <f>INDEX(KMeans_6_2!AA2:AA51,B142)</f>
        <v/>
      </c>
      <c r="O142">
        <f>IF(OR(AND(D142=1,E142=2),AND(D142=2,E142=1)),C142,"")</f>
        <v/>
      </c>
      <c r="P142">
        <f>IF(OR(AND(D142=1,E142=3),AND(D142=3,E142=1)),C142,"")</f>
        <v/>
      </c>
      <c r="Q142">
        <f>IF(OR(AND(D142=2,E142=3),AND(D142=3,E142=2)),C142,"")</f>
        <v/>
      </c>
    </row>
    <row r="143">
      <c r="A143" t="n">
        <v>3</v>
      </c>
      <c r="B143" t="n">
        <v>48</v>
      </c>
      <c r="C143">
        <f>SQRT((Scale_PCA_Mechanics!G4-Scale_PCA_Mechanics!G49)^2+(Scale_PCA_Mechanics!H4-Scale_PCA_Mechanics!H49)^2+(Scale_PCA_Mechanics!I4-Scale_PCA_Mechanics!I49)^2+(Scale_PCA_Mechanics!J4-Scale_PCA_Mechanics!J49)^2)</f>
        <v/>
      </c>
      <c r="D143">
        <f>INDEX(KMeans_6_2!AA2:AA51,A143)</f>
        <v/>
      </c>
      <c r="E143">
        <f>INDEX(KMeans_6_2!AA2:AA51,B143)</f>
        <v/>
      </c>
      <c r="O143">
        <f>IF(OR(AND(D143=1,E143=2),AND(D143=2,E143=1)),C143,"")</f>
        <v/>
      </c>
      <c r="P143">
        <f>IF(OR(AND(D143=1,E143=3),AND(D143=3,E143=1)),C143,"")</f>
        <v/>
      </c>
      <c r="Q143">
        <f>IF(OR(AND(D143=2,E143=3),AND(D143=3,E143=2)),C143,"")</f>
        <v/>
      </c>
    </row>
    <row r="144">
      <c r="A144" t="n">
        <v>3</v>
      </c>
      <c r="B144" t="n">
        <v>49</v>
      </c>
      <c r="C144">
        <f>SQRT((Scale_PCA_Mechanics!G4-Scale_PCA_Mechanics!G50)^2+(Scale_PCA_Mechanics!H4-Scale_PCA_Mechanics!H50)^2+(Scale_PCA_Mechanics!I4-Scale_PCA_Mechanics!I50)^2+(Scale_PCA_Mechanics!J4-Scale_PCA_Mechanics!J50)^2)</f>
        <v/>
      </c>
      <c r="D144">
        <f>INDEX(KMeans_6_2!AA2:AA51,A144)</f>
        <v/>
      </c>
      <c r="E144">
        <f>INDEX(KMeans_6_2!AA2:AA51,B144)</f>
        <v/>
      </c>
      <c r="O144">
        <f>IF(OR(AND(D144=1,E144=2),AND(D144=2,E144=1)),C144,"")</f>
        <v/>
      </c>
      <c r="P144">
        <f>IF(OR(AND(D144=1,E144=3),AND(D144=3,E144=1)),C144,"")</f>
        <v/>
      </c>
      <c r="Q144">
        <f>IF(OR(AND(D144=2,E144=3),AND(D144=3,E144=2)),C144,"")</f>
        <v/>
      </c>
    </row>
    <row r="145">
      <c r="A145" t="n">
        <v>3</v>
      </c>
      <c r="B145" t="n">
        <v>50</v>
      </c>
      <c r="C145">
        <f>SQRT((Scale_PCA_Mechanics!G4-Scale_PCA_Mechanics!G51)^2+(Scale_PCA_Mechanics!H4-Scale_PCA_Mechanics!H51)^2+(Scale_PCA_Mechanics!I4-Scale_PCA_Mechanics!I51)^2+(Scale_PCA_Mechanics!J4-Scale_PCA_Mechanics!J51)^2)</f>
        <v/>
      </c>
      <c r="D145">
        <f>INDEX(KMeans_6_2!AA2:AA51,A145)</f>
        <v/>
      </c>
      <c r="E145">
        <f>INDEX(KMeans_6_2!AA2:AA51,B145)</f>
        <v/>
      </c>
      <c r="O145">
        <f>IF(OR(AND(D145=1,E145=2),AND(D145=2,E145=1)),C145,"")</f>
        <v/>
      </c>
      <c r="P145">
        <f>IF(OR(AND(D145=1,E145=3),AND(D145=3,E145=1)),C145,"")</f>
        <v/>
      </c>
      <c r="Q145">
        <f>IF(OR(AND(D145=2,E145=3),AND(D145=3,E145=2)),C145,"")</f>
        <v/>
      </c>
    </row>
    <row r="146">
      <c r="A146" t="n">
        <v>4</v>
      </c>
      <c r="B146" t="n">
        <v>5</v>
      </c>
      <c r="C146">
        <f>SQRT((Scale_PCA_Mechanics!G5-Scale_PCA_Mechanics!G6)^2+(Scale_PCA_Mechanics!H5-Scale_PCA_Mechanics!H6)^2+(Scale_PCA_Mechanics!I5-Scale_PCA_Mechanics!I6)^2+(Scale_PCA_Mechanics!J5-Scale_PCA_Mechanics!J6)^2)</f>
        <v/>
      </c>
      <c r="D146">
        <f>INDEX(KMeans_6_2!AA2:AA51,A146)</f>
        <v/>
      </c>
      <c r="E146">
        <f>INDEX(KMeans_6_2!AA2:AA51,B146)</f>
        <v/>
      </c>
      <c r="O146">
        <f>IF(OR(AND(D146=1,E146=2),AND(D146=2,E146=1)),C146,"")</f>
        <v/>
      </c>
      <c r="P146">
        <f>IF(OR(AND(D146=1,E146=3),AND(D146=3,E146=1)),C146,"")</f>
        <v/>
      </c>
      <c r="Q146">
        <f>IF(OR(AND(D146=2,E146=3),AND(D146=3,E146=2)),C146,"")</f>
        <v/>
      </c>
    </row>
    <row r="147">
      <c r="A147" t="n">
        <v>4</v>
      </c>
      <c r="B147" t="n">
        <v>6</v>
      </c>
      <c r="C147">
        <f>SQRT((Scale_PCA_Mechanics!G5-Scale_PCA_Mechanics!G7)^2+(Scale_PCA_Mechanics!H5-Scale_PCA_Mechanics!H7)^2+(Scale_PCA_Mechanics!I5-Scale_PCA_Mechanics!I7)^2+(Scale_PCA_Mechanics!J5-Scale_PCA_Mechanics!J7)^2)</f>
        <v/>
      </c>
      <c r="D147">
        <f>INDEX(KMeans_6_2!AA2:AA51,A147)</f>
        <v/>
      </c>
      <c r="E147">
        <f>INDEX(KMeans_6_2!AA2:AA51,B147)</f>
        <v/>
      </c>
      <c r="O147">
        <f>IF(OR(AND(D147=1,E147=2),AND(D147=2,E147=1)),C147,"")</f>
        <v/>
      </c>
      <c r="P147">
        <f>IF(OR(AND(D147=1,E147=3),AND(D147=3,E147=1)),C147,"")</f>
        <v/>
      </c>
      <c r="Q147">
        <f>IF(OR(AND(D147=2,E147=3),AND(D147=3,E147=2)),C147,"")</f>
        <v/>
      </c>
    </row>
    <row r="148">
      <c r="A148" t="n">
        <v>4</v>
      </c>
      <c r="B148" t="n">
        <v>7</v>
      </c>
      <c r="C148">
        <f>SQRT((Scale_PCA_Mechanics!G5-Scale_PCA_Mechanics!G8)^2+(Scale_PCA_Mechanics!H5-Scale_PCA_Mechanics!H8)^2+(Scale_PCA_Mechanics!I5-Scale_PCA_Mechanics!I8)^2+(Scale_PCA_Mechanics!J5-Scale_PCA_Mechanics!J8)^2)</f>
        <v/>
      </c>
      <c r="D148">
        <f>INDEX(KMeans_6_2!AA2:AA51,A148)</f>
        <v/>
      </c>
      <c r="E148">
        <f>INDEX(KMeans_6_2!AA2:AA51,B148)</f>
        <v/>
      </c>
      <c r="O148">
        <f>IF(OR(AND(D148=1,E148=2),AND(D148=2,E148=1)),C148,"")</f>
        <v/>
      </c>
      <c r="P148">
        <f>IF(OR(AND(D148=1,E148=3),AND(D148=3,E148=1)),C148,"")</f>
        <v/>
      </c>
      <c r="Q148">
        <f>IF(OR(AND(D148=2,E148=3),AND(D148=3,E148=2)),C148,"")</f>
        <v/>
      </c>
    </row>
    <row r="149">
      <c r="A149" t="n">
        <v>4</v>
      </c>
      <c r="B149" t="n">
        <v>8</v>
      </c>
      <c r="C149">
        <f>SQRT((Scale_PCA_Mechanics!G5-Scale_PCA_Mechanics!G9)^2+(Scale_PCA_Mechanics!H5-Scale_PCA_Mechanics!H9)^2+(Scale_PCA_Mechanics!I5-Scale_PCA_Mechanics!I9)^2+(Scale_PCA_Mechanics!J5-Scale_PCA_Mechanics!J9)^2)</f>
        <v/>
      </c>
      <c r="D149">
        <f>INDEX(KMeans_6_2!AA2:AA51,A149)</f>
        <v/>
      </c>
      <c r="E149">
        <f>INDEX(KMeans_6_2!AA2:AA51,B149)</f>
        <v/>
      </c>
      <c r="O149">
        <f>IF(OR(AND(D149=1,E149=2),AND(D149=2,E149=1)),C149,"")</f>
        <v/>
      </c>
      <c r="P149">
        <f>IF(OR(AND(D149=1,E149=3),AND(D149=3,E149=1)),C149,"")</f>
        <v/>
      </c>
      <c r="Q149">
        <f>IF(OR(AND(D149=2,E149=3),AND(D149=3,E149=2)),C149,"")</f>
        <v/>
      </c>
    </row>
    <row r="150">
      <c r="A150" t="n">
        <v>4</v>
      </c>
      <c r="B150" t="n">
        <v>9</v>
      </c>
      <c r="C150">
        <f>SQRT((Scale_PCA_Mechanics!G5-Scale_PCA_Mechanics!G10)^2+(Scale_PCA_Mechanics!H5-Scale_PCA_Mechanics!H10)^2+(Scale_PCA_Mechanics!I5-Scale_PCA_Mechanics!I10)^2+(Scale_PCA_Mechanics!J5-Scale_PCA_Mechanics!J10)^2)</f>
        <v/>
      </c>
      <c r="D150">
        <f>INDEX(KMeans_6_2!AA2:AA51,A150)</f>
        <v/>
      </c>
      <c r="E150">
        <f>INDEX(KMeans_6_2!AA2:AA51,B150)</f>
        <v/>
      </c>
      <c r="O150">
        <f>IF(OR(AND(D150=1,E150=2),AND(D150=2,E150=1)),C150,"")</f>
        <v/>
      </c>
      <c r="P150">
        <f>IF(OR(AND(D150=1,E150=3),AND(D150=3,E150=1)),C150,"")</f>
        <v/>
      </c>
      <c r="Q150">
        <f>IF(OR(AND(D150=2,E150=3),AND(D150=3,E150=2)),C150,"")</f>
        <v/>
      </c>
    </row>
    <row r="151">
      <c r="A151" t="n">
        <v>4</v>
      </c>
      <c r="B151" t="n">
        <v>10</v>
      </c>
      <c r="C151">
        <f>SQRT((Scale_PCA_Mechanics!G5-Scale_PCA_Mechanics!G11)^2+(Scale_PCA_Mechanics!H5-Scale_PCA_Mechanics!H11)^2+(Scale_PCA_Mechanics!I5-Scale_PCA_Mechanics!I11)^2+(Scale_PCA_Mechanics!J5-Scale_PCA_Mechanics!J11)^2)</f>
        <v/>
      </c>
      <c r="D151">
        <f>INDEX(KMeans_6_2!AA2:AA51,A151)</f>
        <v/>
      </c>
      <c r="E151">
        <f>INDEX(KMeans_6_2!AA2:AA51,B151)</f>
        <v/>
      </c>
      <c r="O151">
        <f>IF(OR(AND(D151=1,E151=2),AND(D151=2,E151=1)),C151,"")</f>
        <v/>
      </c>
      <c r="P151">
        <f>IF(OR(AND(D151=1,E151=3),AND(D151=3,E151=1)),C151,"")</f>
        <v/>
      </c>
      <c r="Q151">
        <f>IF(OR(AND(D151=2,E151=3),AND(D151=3,E151=2)),C151,"")</f>
        <v/>
      </c>
    </row>
    <row r="152">
      <c r="A152" t="n">
        <v>4</v>
      </c>
      <c r="B152" t="n">
        <v>11</v>
      </c>
      <c r="C152">
        <f>SQRT((Scale_PCA_Mechanics!G5-Scale_PCA_Mechanics!G12)^2+(Scale_PCA_Mechanics!H5-Scale_PCA_Mechanics!H12)^2+(Scale_PCA_Mechanics!I5-Scale_PCA_Mechanics!I12)^2+(Scale_PCA_Mechanics!J5-Scale_PCA_Mechanics!J12)^2)</f>
        <v/>
      </c>
      <c r="D152">
        <f>INDEX(KMeans_6_2!AA2:AA51,A152)</f>
        <v/>
      </c>
      <c r="E152">
        <f>INDEX(KMeans_6_2!AA2:AA51,B152)</f>
        <v/>
      </c>
      <c r="O152">
        <f>IF(OR(AND(D152=1,E152=2),AND(D152=2,E152=1)),C152,"")</f>
        <v/>
      </c>
      <c r="P152">
        <f>IF(OR(AND(D152=1,E152=3),AND(D152=3,E152=1)),C152,"")</f>
        <v/>
      </c>
      <c r="Q152">
        <f>IF(OR(AND(D152=2,E152=3),AND(D152=3,E152=2)),C152,"")</f>
        <v/>
      </c>
    </row>
    <row r="153">
      <c r="A153" t="n">
        <v>4</v>
      </c>
      <c r="B153" t="n">
        <v>12</v>
      </c>
      <c r="C153">
        <f>SQRT((Scale_PCA_Mechanics!G5-Scale_PCA_Mechanics!G13)^2+(Scale_PCA_Mechanics!H5-Scale_PCA_Mechanics!H13)^2+(Scale_PCA_Mechanics!I5-Scale_PCA_Mechanics!I13)^2+(Scale_PCA_Mechanics!J5-Scale_PCA_Mechanics!J13)^2)</f>
        <v/>
      </c>
      <c r="D153">
        <f>INDEX(KMeans_6_2!AA2:AA51,A153)</f>
        <v/>
      </c>
      <c r="E153">
        <f>INDEX(KMeans_6_2!AA2:AA51,B153)</f>
        <v/>
      </c>
      <c r="O153">
        <f>IF(OR(AND(D153=1,E153=2),AND(D153=2,E153=1)),C153,"")</f>
        <v/>
      </c>
      <c r="P153">
        <f>IF(OR(AND(D153=1,E153=3),AND(D153=3,E153=1)),C153,"")</f>
        <v/>
      </c>
      <c r="Q153">
        <f>IF(OR(AND(D153=2,E153=3),AND(D153=3,E153=2)),C153,"")</f>
        <v/>
      </c>
    </row>
    <row r="154">
      <c r="A154" t="n">
        <v>4</v>
      </c>
      <c r="B154" t="n">
        <v>13</v>
      </c>
      <c r="C154">
        <f>SQRT((Scale_PCA_Mechanics!G5-Scale_PCA_Mechanics!G14)^2+(Scale_PCA_Mechanics!H5-Scale_PCA_Mechanics!H14)^2+(Scale_PCA_Mechanics!I5-Scale_PCA_Mechanics!I14)^2+(Scale_PCA_Mechanics!J5-Scale_PCA_Mechanics!J14)^2)</f>
        <v/>
      </c>
      <c r="D154">
        <f>INDEX(KMeans_6_2!AA2:AA51,A154)</f>
        <v/>
      </c>
      <c r="E154">
        <f>INDEX(KMeans_6_2!AA2:AA51,B154)</f>
        <v/>
      </c>
      <c r="O154">
        <f>IF(OR(AND(D154=1,E154=2),AND(D154=2,E154=1)),C154,"")</f>
        <v/>
      </c>
      <c r="P154">
        <f>IF(OR(AND(D154=1,E154=3),AND(D154=3,E154=1)),C154,"")</f>
        <v/>
      </c>
      <c r="Q154">
        <f>IF(OR(AND(D154=2,E154=3),AND(D154=3,E154=2)),C154,"")</f>
        <v/>
      </c>
    </row>
    <row r="155">
      <c r="A155" t="n">
        <v>4</v>
      </c>
      <c r="B155" t="n">
        <v>14</v>
      </c>
      <c r="C155">
        <f>SQRT((Scale_PCA_Mechanics!G5-Scale_PCA_Mechanics!G15)^2+(Scale_PCA_Mechanics!H5-Scale_PCA_Mechanics!H15)^2+(Scale_PCA_Mechanics!I5-Scale_PCA_Mechanics!I15)^2+(Scale_PCA_Mechanics!J5-Scale_PCA_Mechanics!J15)^2)</f>
        <v/>
      </c>
      <c r="D155">
        <f>INDEX(KMeans_6_2!AA2:AA51,A155)</f>
        <v/>
      </c>
      <c r="E155">
        <f>INDEX(KMeans_6_2!AA2:AA51,B155)</f>
        <v/>
      </c>
      <c r="O155">
        <f>IF(OR(AND(D155=1,E155=2),AND(D155=2,E155=1)),C155,"")</f>
        <v/>
      </c>
      <c r="P155">
        <f>IF(OR(AND(D155=1,E155=3),AND(D155=3,E155=1)),C155,"")</f>
        <v/>
      </c>
      <c r="Q155">
        <f>IF(OR(AND(D155=2,E155=3),AND(D155=3,E155=2)),C155,"")</f>
        <v/>
      </c>
    </row>
    <row r="156">
      <c r="A156" t="n">
        <v>4</v>
      </c>
      <c r="B156" t="n">
        <v>15</v>
      </c>
      <c r="C156">
        <f>SQRT((Scale_PCA_Mechanics!G5-Scale_PCA_Mechanics!G16)^2+(Scale_PCA_Mechanics!H5-Scale_PCA_Mechanics!H16)^2+(Scale_PCA_Mechanics!I5-Scale_PCA_Mechanics!I16)^2+(Scale_PCA_Mechanics!J5-Scale_PCA_Mechanics!J16)^2)</f>
        <v/>
      </c>
      <c r="D156">
        <f>INDEX(KMeans_6_2!AA2:AA51,A156)</f>
        <v/>
      </c>
      <c r="E156">
        <f>INDEX(KMeans_6_2!AA2:AA51,B156)</f>
        <v/>
      </c>
      <c r="O156">
        <f>IF(OR(AND(D156=1,E156=2),AND(D156=2,E156=1)),C156,"")</f>
        <v/>
      </c>
      <c r="P156">
        <f>IF(OR(AND(D156=1,E156=3),AND(D156=3,E156=1)),C156,"")</f>
        <v/>
      </c>
      <c r="Q156">
        <f>IF(OR(AND(D156=2,E156=3),AND(D156=3,E156=2)),C156,"")</f>
        <v/>
      </c>
    </row>
    <row r="157">
      <c r="A157" t="n">
        <v>4</v>
      </c>
      <c r="B157" t="n">
        <v>16</v>
      </c>
      <c r="C157">
        <f>SQRT((Scale_PCA_Mechanics!G5-Scale_PCA_Mechanics!G17)^2+(Scale_PCA_Mechanics!H5-Scale_PCA_Mechanics!H17)^2+(Scale_PCA_Mechanics!I5-Scale_PCA_Mechanics!I17)^2+(Scale_PCA_Mechanics!J5-Scale_PCA_Mechanics!J17)^2)</f>
        <v/>
      </c>
      <c r="D157">
        <f>INDEX(KMeans_6_2!AA2:AA51,A157)</f>
        <v/>
      </c>
      <c r="E157">
        <f>INDEX(KMeans_6_2!AA2:AA51,B157)</f>
        <v/>
      </c>
      <c r="O157">
        <f>IF(OR(AND(D157=1,E157=2),AND(D157=2,E157=1)),C157,"")</f>
        <v/>
      </c>
      <c r="P157">
        <f>IF(OR(AND(D157=1,E157=3),AND(D157=3,E157=1)),C157,"")</f>
        <v/>
      </c>
      <c r="Q157">
        <f>IF(OR(AND(D157=2,E157=3),AND(D157=3,E157=2)),C157,"")</f>
        <v/>
      </c>
    </row>
    <row r="158">
      <c r="A158" t="n">
        <v>4</v>
      </c>
      <c r="B158" t="n">
        <v>17</v>
      </c>
      <c r="C158">
        <f>SQRT((Scale_PCA_Mechanics!G5-Scale_PCA_Mechanics!G18)^2+(Scale_PCA_Mechanics!H5-Scale_PCA_Mechanics!H18)^2+(Scale_PCA_Mechanics!I5-Scale_PCA_Mechanics!I18)^2+(Scale_PCA_Mechanics!J5-Scale_PCA_Mechanics!J18)^2)</f>
        <v/>
      </c>
      <c r="D158">
        <f>INDEX(KMeans_6_2!AA2:AA51,A158)</f>
        <v/>
      </c>
      <c r="E158">
        <f>INDEX(KMeans_6_2!AA2:AA51,B158)</f>
        <v/>
      </c>
      <c r="O158">
        <f>IF(OR(AND(D158=1,E158=2),AND(D158=2,E158=1)),C158,"")</f>
        <v/>
      </c>
      <c r="P158">
        <f>IF(OR(AND(D158=1,E158=3),AND(D158=3,E158=1)),C158,"")</f>
        <v/>
      </c>
      <c r="Q158">
        <f>IF(OR(AND(D158=2,E158=3),AND(D158=3,E158=2)),C158,"")</f>
        <v/>
      </c>
    </row>
    <row r="159">
      <c r="A159" t="n">
        <v>4</v>
      </c>
      <c r="B159" t="n">
        <v>18</v>
      </c>
      <c r="C159">
        <f>SQRT((Scale_PCA_Mechanics!G5-Scale_PCA_Mechanics!G19)^2+(Scale_PCA_Mechanics!H5-Scale_PCA_Mechanics!H19)^2+(Scale_PCA_Mechanics!I5-Scale_PCA_Mechanics!I19)^2+(Scale_PCA_Mechanics!J5-Scale_PCA_Mechanics!J19)^2)</f>
        <v/>
      </c>
      <c r="D159">
        <f>INDEX(KMeans_6_2!AA2:AA51,A159)</f>
        <v/>
      </c>
      <c r="E159">
        <f>INDEX(KMeans_6_2!AA2:AA51,B159)</f>
        <v/>
      </c>
      <c r="O159">
        <f>IF(OR(AND(D159=1,E159=2),AND(D159=2,E159=1)),C159,"")</f>
        <v/>
      </c>
      <c r="P159">
        <f>IF(OR(AND(D159=1,E159=3),AND(D159=3,E159=1)),C159,"")</f>
        <v/>
      </c>
      <c r="Q159">
        <f>IF(OR(AND(D159=2,E159=3),AND(D159=3,E159=2)),C159,"")</f>
        <v/>
      </c>
    </row>
    <row r="160">
      <c r="A160" t="n">
        <v>4</v>
      </c>
      <c r="B160" t="n">
        <v>19</v>
      </c>
      <c r="C160">
        <f>SQRT((Scale_PCA_Mechanics!G5-Scale_PCA_Mechanics!G20)^2+(Scale_PCA_Mechanics!H5-Scale_PCA_Mechanics!H20)^2+(Scale_PCA_Mechanics!I5-Scale_PCA_Mechanics!I20)^2+(Scale_PCA_Mechanics!J5-Scale_PCA_Mechanics!J20)^2)</f>
        <v/>
      </c>
      <c r="D160">
        <f>INDEX(KMeans_6_2!AA2:AA51,A160)</f>
        <v/>
      </c>
      <c r="E160">
        <f>INDEX(KMeans_6_2!AA2:AA51,B160)</f>
        <v/>
      </c>
      <c r="O160">
        <f>IF(OR(AND(D160=1,E160=2),AND(D160=2,E160=1)),C160,"")</f>
        <v/>
      </c>
      <c r="P160">
        <f>IF(OR(AND(D160=1,E160=3),AND(D160=3,E160=1)),C160,"")</f>
        <v/>
      </c>
      <c r="Q160">
        <f>IF(OR(AND(D160=2,E160=3),AND(D160=3,E160=2)),C160,"")</f>
        <v/>
      </c>
    </row>
    <row r="161">
      <c r="A161" t="n">
        <v>4</v>
      </c>
      <c r="B161" t="n">
        <v>20</v>
      </c>
      <c r="C161">
        <f>SQRT((Scale_PCA_Mechanics!G5-Scale_PCA_Mechanics!G21)^2+(Scale_PCA_Mechanics!H5-Scale_PCA_Mechanics!H21)^2+(Scale_PCA_Mechanics!I5-Scale_PCA_Mechanics!I21)^2+(Scale_PCA_Mechanics!J5-Scale_PCA_Mechanics!J21)^2)</f>
        <v/>
      </c>
      <c r="D161">
        <f>INDEX(KMeans_6_2!AA2:AA51,A161)</f>
        <v/>
      </c>
      <c r="E161">
        <f>INDEX(KMeans_6_2!AA2:AA51,B161)</f>
        <v/>
      </c>
      <c r="O161">
        <f>IF(OR(AND(D161=1,E161=2),AND(D161=2,E161=1)),C161,"")</f>
        <v/>
      </c>
      <c r="P161">
        <f>IF(OR(AND(D161=1,E161=3),AND(D161=3,E161=1)),C161,"")</f>
        <v/>
      </c>
      <c r="Q161">
        <f>IF(OR(AND(D161=2,E161=3),AND(D161=3,E161=2)),C161,"")</f>
        <v/>
      </c>
    </row>
    <row r="162">
      <c r="A162" t="n">
        <v>4</v>
      </c>
      <c r="B162" t="n">
        <v>21</v>
      </c>
      <c r="C162">
        <f>SQRT((Scale_PCA_Mechanics!G5-Scale_PCA_Mechanics!G22)^2+(Scale_PCA_Mechanics!H5-Scale_PCA_Mechanics!H22)^2+(Scale_PCA_Mechanics!I5-Scale_PCA_Mechanics!I22)^2+(Scale_PCA_Mechanics!J5-Scale_PCA_Mechanics!J22)^2)</f>
        <v/>
      </c>
      <c r="D162">
        <f>INDEX(KMeans_6_2!AA2:AA51,A162)</f>
        <v/>
      </c>
      <c r="E162">
        <f>INDEX(KMeans_6_2!AA2:AA51,B162)</f>
        <v/>
      </c>
      <c r="O162">
        <f>IF(OR(AND(D162=1,E162=2),AND(D162=2,E162=1)),C162,"")</f>
        <v/>
      </c>
      <c r="P162">
        <f>IF(OR(AND(D162=1,E162=3),AND(D162=3,E162=1)),C162,"")</f>
        <v/>
      </c>
      <c r="Q162">
        <f>IF(OR(AND(D162=2,E162=3),AND(D162=3,E162=2)),C162,"")</f>
        <v/>
      </c>
    </row>
    <row r="163">
      <c r="A163" t="n">
        <v>4</v>
      </c>
      <c r="B163" t="n">
        <v>22</v>
      </c>
      <c r="C163">
        <f>SQRT((Scale_PCA_Mechanics!G5-Scale_PCA_Mechanics!G23)^2+(Scale_PCA_Mechanics!H5-Scale_PCA_Mechanics!H23)^2+(Scale_PCA_Mechanics!I5-Scale_PCA_Mechanics!I23)^2+(Scale_PCA_Mechanics!J5-Scale_PCA_Mechanics!J23)^2)</f>
        <v/>
      </c>
      <c r="D163">
        <f>INDEX(KMeans_6_2!AA2:AA51,A163)</f>
        <v/>
      </c>
      <c r="E163">
        <f>INDEX(KMeans_6_2!AA2:AA51,B163)</f>
        <v/>
      </c>
      <c r="O163">
        <f>IF(OR(AND(D163=1,E163=2),AND(D163=2,E163=1)),C163,"")</f>
        <v/>
      </c>
      <c r="P163">
        <f>IF(OR(AND(D163=1,E163=3),AND(D163=3,E163=1)),C163,"")</f>
        <v/>
      </c>
      <c r="Q163">
        <f>IF(OR(AND(D163=2,E163=3),AND(D163=3,E163=2)),C163,"")</f>
        <v/>
      </c>
    </row>
    <row r="164">
      <c r="A164" t="n">
        <v>4</v>
      </c>
      <c r="B164" t="n">
        <v>23</v>
      </c>
      <c r="C164">
        <f>SQRT((Scale_PCA_Mechanics!G5-Scale_PCA_Mechanics!G24)^2+(Scale_PCA_Mechanics!H5-Scale_PCA_Mechanics!H24)^2+(Scale_PCA_Mechanics!I5-Scale_PCA_Mechanics!I24)^2+(Scale_PCA_Mechanics!J5-Scale_PCA_Mechanics!J24)^2)</f>
        <v/>
      </c>
      <c r="D164">
        <f>INDEX(KMeans_6_2!AA2:AA51,A164)</f>
        <v/>
      </c>
      <c r="E164">
        <f>INDEX(KMeans_6_2!AA2:AA51,B164)</f>
        <v/>
      </c>
      <c r="O164">
        <f>IF(OR(AND(D164=1,E164=2),AND(D164=2,E164=1)),C164,"")</f>
        <v/>
      </c>
      <c r="P164">
        <f>IF(OR(AND(D164=1,E164=3),AND(D164=3,E164=1)),C164,"")</f>
        <v/>
      </c>
      <c r="Q164">
        <f>IF(OR(AND(D164=2,E164=3),AND(D164=3,E164=2)),C164,"")</f>
        <v/>
      </c>
    </row>
    <row r="165">
      <c r="A165" t="n">
        <v>4</v>
      </c>
      <c r="B165" t="n">
        <v>24</v>
      </c>
      <c r="C165">
        <f>SQRT((Scale_PCA_Mechanics!G5-Scale_PCA_Mechanics!G25)^2+(Scale_PCA_Mechanics!H5-Scale_PCA_Mechanics!H25)^2+(Scale_PCA_Mechanics!I5-Scale_PCA_Mechanics!I25)^2+(Scale_PCA_Mechanics!J5-Scale_PCA_Mechanics!J25)^2)</f>
        <v/>
      </c>
      <c r="D165">
        <f>INDEX(KMeans_6_2!AA2:AA51,A165)</f>
        <v/>
      </c>
      <c r="E165">
        <f>INDEX(KMeans_6_2!AA2:AA51,B165)</f>
        <v/>
      </c>
      <c r="O165">
        <f>IF(OR(AND(D165=1,E165=2),AND(D165=2,E165=1)),C165,"")</f>
        <v/>
      </c>
      <c r="P165">
        <f>IF(OR(AND(D165=1,E165=3),AND(D165=3,E165=1)),C165,"")</f>
        <v/>
      </c>
      <c r="Q165">
        <f>IF(OR(AND(D165=2,E165=3),AND(D165=3,E165=2)),C165,"")</f>
        <v/>
      </c>
    </row>
    <row r="166">
      <c r="A166" t="n">
        <v>4</v>
      </c>
      <c r="B166" t="n">
        <v>25</v>
      </c>
      <c r="C166">
        <f>SQRT((Scale_PCA_Mechanics!G5-Scale_PCA_Mechanics!G26)^2+(Scale_PCA_Mechanics!H5-Scale_PCA_Mechanics!H26)^2+(Scale_PCA_Mechanics!I5-Scale_PCA_Mechanics!I26)^2+(Scale_PCA_Mechanics!J5-Scale_PCA_Mechanics!J26)^2)</f>
        <v/>
      </c>
      <c r="D166">
        <f>INDEX(KMeans_6_2!AA2:AA51,A166)</f>
        <v/>
      </c>
      <c r="E166">
        <f>INDEX(KMeans_6_2!AA2:AA51,B166)</f>
        <v/>
      </c>
      <c r="O166">
        <f>IF(OR(AND(D166=1,E166=2),AND(D166=2,E166=1)),C166,"")</f>
        <v/>
      </c>
      <c r="P166">
        <f>IF(OR(AND(D166=1,E166=3),AND(D166=3,E166=1)),C166,"")</f>
        <v/>
      </c>
      <c r="Q166">
        <f>IF(OR(AND(D166=2,E166=3),AND(D166=3,E166=2)),C166,"")</f>
        <v/>
      </c>
    </row>
    <row r="167">
      <c r="A167" t="n">
        <v>4</v>
      </c>
      <c r="B167" t="n">
        <v>26</v>
      </c>
      <c r="C167">
        <f>SQRT((Scale_PCA_Mechanics!G5-Scale_PCA_Mechanics!G27)^2+(Scale_PCA_Mechanics!H5-Scale_PCA_Mechanics!H27)^2+(Scale_PCA_Mechanics!I5-Scale_PCA_Mechanics!I27)^2+(Scale_PCA_Mechanics!J5-Scale_PCA_Mechanics!J27)^2)</f>
        <v/>
      </c>
      <c r="D167">
        <f>INDEX(KMeans_6_2!AA2:AA51,A167)</f>
        <v/>
      </c>
      <c r="E167">
        <f>INDEX(KMeans_6_2!AA2:AA51,B167)</f>
        <v/>
      </c>
      <c r="O167">
        <f>IF(OR(AND(D167=1,E167=2),AND(D167=2,E167=1)),C167,"")</f>
        <v/>
      </c>
      <c r="P167">
        <f>IF(OR(AND(D167=1,E167=3),AND(D167=3,E167=1)),C167,"")</f>
        <v/>
      </c>
      <c r="Q167">
        <f>IF(OR(AND(D167=2,E167=3),AND(D167=3,E167=2)),C167,"")</f>
        <v/>
      </c>
    </row>
    <row r="168">
      <c r="A168" t="n">
        <v>4</v>
      </c>
      <c r="B168" t="n">
        <v>27</v>
      </c>
      <c r="C168">
        <f>SQRT((Scale_PCA_Mechanics!G5-Scale_PCA_Mechanics!G28)^2+(Scale_PCA_Mechanics!H5-Scale_PCA_Mechanics!H28)^2+(Scale_PCA_Mechanics!I5-Scale_PCA_Mechanics!I28)^2+(Scale_PCA_Mechanics!J5-Scale_PCA_Mechanics!J28)^2)</f>
        <v/>
      </c>
      <c r="D168">
        <f>INDEX(KMeans_6_2!AA2:AA51,A168)</f>
        <v/>
      </c>
      <c r="E168">
        <f>INDEX(KMeans_6_2!AA2:AA51,B168)</f>
        <v/>
      </c>
      <c r="O168">
        <f>IF(OR(AND(D168=1,E168=2),AND(D168=2,E168=1)),C168,"")</f>
        <v/>
      </c>
      <c r="P168">
        <f>IF(OR(AND(D168=1,E168=3),AND(D168=3,E168=1)),C168,"")</f>
        <v/>
      </c>
      <c r="Q168">
        <f>IF(OR(AND(D168=2,E168=3),AND(D168=3,E168=2)),C168,"")</f>
        <v/>
      </c>
    </row>
    <row r="169">
      <c r="A169" t="n">
        <v>4</v>
      </c>
      <c r="B169" t="n">
        <v>28</v>
      </c>
      <c r="C169">
        <f>SQRT((Scale_PCA_Mechanics!G5-Scale_PCA_Mechanics!G29)^2+(Scale_PCA_Mechanics!H5-Scale_PCA_Mechanics!H29)^2+(Scale_PCA_Mechanics!I5-Scale_PCA_Mechanics!I29)^2+(Scale_PCA_Mechanics!J5-Scale_PCA_Mechanics!J29)^2)</f>
        <v/>
      </c>
      <c r="D169">
        <f>INDEX(KMeans_6_2!AA2:AA51,A169)</f>
        <v/>
      </c>
      <c r="E169">
        <f>INDEX(KMeans_6_2!AA2:AA51,B169)</f>
        <v/>
      </c>
      <c r="O169">
        <f>IF(OR(AND(D169=1,E169=2),AND(D169=2,E169=1)),C169,"")</f>
        <v/>
      </c>
      <c r="P169">
        <f>IF(OR(AND(D169=1,E169=3),AND(D169=3,E169=1)),C169,"")</f>
        <v/>
      </c>
      <c r="Q169">
        <f>IF(OR(AND(D169=2,E169=3),AND(D169=3,E169=2)),C169,"")</f>
        <v/>
      </c>
    </row>
    <row r="170">
      <c r="A170" t="n">
        <v>4</v>
      </c>
      <c r="B170" t="n">
        <v>29</v>
      </c>
      <c r="C170">
        <f>SQRT((Scale_PCA_Mechanics!G5-Scale_PCA_Mechanics!G30)^2+(Scale_PCA_Mechanics!H5-Scale_PCA_Mechanics!H30)^2+(Scale_PCA_Mechanics!I5-Scale_PCA_Mechanics!I30)^2+(Scale_PCA_Mechanics!J5-Scale_PCA_Mechanics!J30)^2)</f>
        <v/>
      </c>
      <c r="D170">
        <f>INDEX(KMeans_6_2!AA2:AA51,A170)</f>
        <v/>
      </c>
      <c r="E170">
        <f>INDEX(KMeans_6_2!AA2:AA51,B170)</f>
        <v/>
      </c>
      <c r="O170">
        <f>IF(OR(AND(D170=1,E170=2),AND(D170=2,E170=1)),C170,"")</f>
        <v/>
      </c>
      <c r="P170">
        <f>IF(OR(AND(D170=1,E170=3),AND(D170=3,E170=1)),C170,"")</f>
        <v/>
      </c>
      <c r="Q170">
        <f>IF(OR(AND(D170=2,E170=3),AND(D170=3,E170=2)),C170,"")</f>
        <v/>
      </c>
    </row>
    <row r="171">
      <c r="A171" t="n">
        <v>4</v>
      </c>
      <c r="B171" t="n">
        <v>30</v>
      </c>
      <c r="C171">
        <f>SQRT((Scale_PCA_Mechanics!G5-Scale_PCA_Mechanics!G31)^2+(Scale_PCA_Mechanics!H5-Scale_PCA_Mechanics!H31)^2+(Scale_PCA_Mechanics!I5-Scale_PCA_Mechanics!I31)^2+(Scale_PCA_Mechanics!J5-Scale_PCA_Mechanics!J31)^2)</f>
        <v/>
      </c>
      <c r="D171">
        <f>INDEX(KMeans_6_2!AA2:AA51,A171)</f>
        <v/>
      </c>
      <c r="E171">
        <f>INDEX(KMeans_6_2!AA2:AA51,B171)</f>
        <v/>
      </c>
      <c r="O171">
        <f>IF(OR(AND(D171=1,E171=2),AND(D171=2,E171=1)),C171,"")</f>
        <v/>
      </c>
      <c r="P171">
        <f>IF(OR(AND(D171=1,E171=3),AND(D171=3,E171=1)),C171,"")</f>
        <v/>
      </c>
      <c r="Q171">
        <f>IF(OR(AND(D171=2,E171=3),AND(D171=3,E171=2)),C171,"")</f>
        <v/>
      </c>
    </row>
    <row r="172">
      <c r="A172" t="n">
        <v>4</v>
      </c>
      <c r="B172" t="n">
        <v>31</v>
      </c>
      <c r="C172">
        <f>SQRT((Scale_PCA_Mechanics!G5-Scale_PCA_Mechanics!G32)^2+(Scale_PCA_Mechanics!H5-Scale_PCA_Mechanics!H32)^2+(Scale_PCA_Mechanics!I5-Scale_PCA_Mechanics!I32)^2+(Scale_PCA_Mechanics!J5-Scale_PCA_Mechanics!J32)^2)</f>
        <v/>
      </c>
      <c r="D172">
        <f>INDEX(KMeans_6_2!AA2:AA51,A172)</f>
        <v/>
      </c>
      <c r="E172">
        <f>INDEX(KMeans_6_2!AA2:AA51,B172)</f>
        <v/>
      </c>
      <c r="O172">
        <f>IF(OR(AND(D172=1,E172=2),AND(D172=2,E172=1)),C172,"")</f>
        <v/>
      </c>
      <c r="P172">
        <f>IF(OR(AND(D172=1,E172=3),AND(D172=3,E172=1)),C172,"")</f>
        <v/>
      </c>
      <c r="Q172">
        <f>IF(OR(AND(D172=2,E172=3),AND(D172=3,E172=2)),C172,"")</f>
        <v/>
      </c>
    </row>
    <row r="173">
      <c r="A173" t="n">
        <v>4</v>
      </c>
      <c r="B173" t="n">
        <v>32</v>
      </c>
      <c r="C173">
        <f>SQRT((Scale_PCA_Mechanics!G5-Scale_PCA_Mechanics!G33)^2+(Scale_PCA_Mechanics!H5-Scale_PCA_Mechanics!H33)^2+(Scale_PCA_Mechanics!I5-Scale_PCA_Mechanics!I33)^2+(Scale_PCA_Mechanics!J5-Scale_PCA_Mechanics!J33)^2)</f>
        <v/>
      </c>
      <c r="D173">
        <f>INDEX(KMeans_6_2!AA2:AA51,A173)</f>
        <v/>
      </c>
      <c r="E173">
        <f>INDEX(KMeans_6_2!AA2:AA51,B173)</f>
        <v/>
      </c>
      <c r="O173">
        <f>IF(OR(AND(D173=1,E173=2),AND(D173=2,E173=1)),C173,"")</f>
        <v/>
      </c>
      <c r="P173">
        <f>IF(OR(AND(D173=1,E173=3),AND(D173=3,E173=1)),C173,"")</f>
        <v/>
      </c>
      <c r="Q173">
        <f>IF(OR(AND(D173=2,E173=3),AND(D173=3,E173=2)),C173,"")</f>
        <v/>
      </c>
    </row>
    <row r="174">
      <c r="A174" t="n">
        <v>4</v>
      </c>
      <c r="B174" t="n">
        <v>33</v>
      </c>
      <c r="C174">
        <f>SQRT((Scale_PCA_Mechanics!G5-Scale_PCA_Mechanics!G34)^2+(Scale_PCA_Mechanics!H5-Scale_PCA_Mechanics!H34)^2+(Scale_PCA_Mechanics!I5-Scale_PCA_Mechanics!I34)^2+(Scale_PCA_Mechanics!J5-Scale_PCA_Mechanics!J34)^2)</f>
        <v/>
      </c>
      <c r="D174">
        <f>INDEX(KMeans_6_2!AA2:AA51,A174)</f>
        <v/>
      </c>
      <c r="E174">
        <f>INDEX(KMeans_6_2!AA2:AA51,B174)</f>
        <v/>
      </c>
      <c r="O174">
        <f>IF(OR(AND(D174=1,E174=2),AND(D174=2,E174=1)),C174,"")</f>
        <v/>
      </c>
      <c r="P174">
        <f>IF(OR(AND(D174=1,E174=3),AND(D174=3,E174=1)),C174,"")</f>
        <v/>
      </c>
      <c r="Q174">
        <f>IF(OR(AND(D174=2,E174=3),AND(D174=3,E174=2)),C174,"")</f>
        <v/>
      </c>
    </row>
    <row r="175">
      <c r="A175" t="n">
        <v>4</v>
      </c>
      <c r="B175" t="n">
        <v>34</v>
      </c>
      <c r="C175">
        <f>SQRT((Scale_PCA_Mechanics!G5-Scale_PCA_Mechanics!G35)^2+(Scale_PCA_Mechanics!H5-Scale_PCA_Mechanics!H35)^2+(Scale_PCA_Mechanics!I5-Scale_PCA_Mechanics!I35)^2+(Scale_PCA_Mechanics!J5-Scale_PCA_Mechanics!J35)^2)</f>
        <v/>
      </c>
      <c r="D175">
        <f>INDEX(KMeans_6_2!AA2:AA51,A175)</f>
        <v/>
      </c>
      <c r="E175">
        <f>INDEX(KMeans_6_2!AA2:AA51,B175)</f>
        <v/>
      </c>
      <c r="O175">
        <f>IF(OR(AND(D175=1,E175=2),AND(D175=2,E175=1)),C175,"")</f>
        <v/>
      </c>
      <c r="P175">
        <f>IF(OR(AND(D175=1,E175=3),AND(D175=3,E175=1)),C175,"")</f>
        <v/>
      </c>
      <c r="Q175">
        <f>IF(OR(AND(D175=2,E175=3),AND(D175=3,E175=2)),C175,"")</f>
        <v/>
      </c>
    </row>
    <row r="176">
      <c r="A176" t="n">
        <v>4</v>
      </c>
      <c r="B176" t="n">
        <v>35</v>
      </c>
      <c r="C176">
        <f>SQRT((Scale_PCA_Mechanics!G5-Scale_PCA_Mechanics!G36)^2+(Scale_PCA_Mechanics!H5-Scale_PCA_Mechanics!H36)^2+(Scale_PCA_Mechanics!I5-Scale_PCA_Mechanics!I36)^2+(Scale_PCA_Mechanics!J5-Scale_PCA_Mechanics!J36)^2)</f>
        <v/>
      </c>
      <c r="D176">
        <f>INDEX(KMeans_6_2!AA2:AA51,A176)</f>
        <v/>
      </c>
      <c r="E176">
        <f>INDEX(KMeans_6_2!AA2:AA51,B176)</f>
        <v/>
      </c>
      <c r="O176">
        <f>IF(OR(AND(D176=1,E176=2),AND(D176=2,E176=1)),C176,"")</f>
        <v/>
      </c>
      <c r="P176">
        <f>IF(OR(AND(D176=1,E176=3),AND(D176=3,E176=1)),C176,"")</f>
        <v/>
      </c>
      <c r="Q176">
        <f>IF(OR(AND(D176=2,E176=3),AND(D176=3,E176=2)),C176,"")</f>
        <v/>
      </c>
    </row>
    <row r="177">
      <c r="A177" t="n">
        <v>4</v>
      </c>
      <c r="B177" t="n">
        <v>36</v>
      </c>
      <c r="C177">
        <f>SQRT((Scale_PCA_Mechanics!G5-Scale_PCA_Mechanics!G37)^2+(Scale_PCA_Mechanics!H5-Scale_PCA_Mechanics!H37)^2+(Scale_PCA_Mechanics!I5-Scale_PCA_Mechanics!I37)^2+(Scale_PCA_Mechanics!J5-Scale_PCA_Mechanics!J37)^2)</f>
        <v/>
      </c>
      <c r="D177">
        <f>INDEX(KMeans_6_2!AA2:AA51,A177)</f>
        <v/>
      </c>
      <c r="E177">
        <f>INDEX(KMeans_6_2!AA2:AA51,B177)</f>
        <v/>
      </c>
      <c r="O177">
        <f>IF(OR(AND(D177=1,E177=2),AND(D177=2,E177=1)),C177,"")</f>
        <v/>
      </c>
      <c r="P177">
        <f>IF(OR(AND(D177=1,E177=3),AND(D177=3,E177=1)),C177,"")</f>
        <v/>
      </c>
      <c r="Q177">
        <f>IF(OR(AND(D177=2,E177=3),AND(D177=3,E177=2)),C177,"")</f>
        <v/>
      </c>
    </row>
    <row r="178">
      <c r="A178" t="n">
        <v>4</v>
      </c>
      <c r="B178" t="n">
        <v>37</v>
      </c>
      <c r="C178">
        <f>SQRT((Scale_PCA_Mechanics!G5-Scale_PCA_Mechanics!G38)^2+(Scale_PCA_Mechanics!H5-Scale_PCA_Mechanics!H38)^2+(Scale_PCA_Mechanics!I5-Scale_PCA_Mechanics!I38)^2+(Scale_PCA_Mechanics!J5-Scale_PCA_Mechanics!J38)^2)</f>
        <v/>
      </c>
      <c r="D178">
        <f>INDEX(KMeans_6_2!AA2:AA51,A178)</f>
        <v/>
      </c>
      <c r="E178">
        <f>INDEX(KMeans_6_2!AA2:AA51,B178)</f>
        <v/>
      </c>
      <c r="O178">
        <f>IF(OR(AND(D178=1,E178=2),AND(D178=2,E178=1)),C178,"")</f>
        <v/>
      </c>
      <c r="P178">
        <f>IF(OR(AND(D178=1,E178=3),AND(D178=3,E178=1)),C178,"")</f>
        <v/>
      </c>
      <c r="Q178">
        <f>IF(OR(AND(D178=2,E178=3),AND(D178=3,E178=2)),C178,"")</f>
        <v/>
      </c>
    </row>
    <row r="179">
      <c r="A179" t="n">
        <v>4</v>
      </c>
      <c r="B179" t="n">
        <v>38</v>
      </c>
      <c r="C179">
        <f>SQRT((Scale_PCA_Mechanics!G5-Scale_PCA_Mechanics!G39)^2+(Scale_PCA_Mechanics!H5-Scale_PCA_Mechanics!H39)^2+(Scale_PCA_Mechanics!I5-Scale_PCA_Mechanics!I39)^2+(Scale_PCA_Mechanics!J5-Scale_PCA_Mechanics!J39)^2)</f>
        <v/>
      </c>
      <c r="D179">
        <f>INDEX(KMeans_6_2!AA2:AA51,A179)</f>
        <v/>
      </c>
      <c r="E179">
        <f>INDEX(KMeans_6_2!AA2:AA51,B179)</f>
        <v/>
      </c>
      <c r="O179">
        <f>IF(OR(AND(D179=1,E179=2),AND(D179=2,E179=1)),C179,"")</f>
        <v/>
      </c>
      <c r="P179">
        <f>IF(OR(AND(D179=1,E179=3),AND(D179=3,E179=1)),C179,"")</f>
        <v/>
      </c>
      <c r="Q179">
        <f>IF(OR(AND(D179=2,E179=3),AND(D179=3,E179=2)),C179,"")</f>
        <v/>
      </c>
    </row>
    <row r="180">
      <c r="A180" t="n">
        <v>4</v>
      </c>
      <c r="B180" t="n">
        <v>39</v>
      </c>
      <c r="C180">
        <f>SQRT((Scale_PCA_Mechanics!G5-Scale_PCA_Mechanics!G40)^2+(Scale_PCA_Mechanics!H5-Scale_PCA_Mechanics!H40)^2+(Scale_PCA_Mechanics!I5-Scale_PCA_Mechanics!I40)^2+(Scale_PCA_Mechanics!J5-Scale_PCA_Mechanics!J40)^2)</f>
        <v/>
      </c>
      <c r="D180">
        <f>INDEX(KMeans_6_2!AA2:AA51,A180)</f>
        <v/>
      </c>
      <c r="E180">
        <f>INDEX(KMeans_6_2!AA2:AA51,B180)</f>
        <v/>
      </c>
      <c r="O180">
        <f>IF(OR(AND(D180=1,E180=2),AND(D180=2,E180=1)),C180,"")</f>
        <v/>
      </c>
      <c r="P180">
        <f>IF(OR(AND(D180=1,E180=3),AND(D180=3,E180=1)),C180,"")</f>
        <v/>
      </c>
      <c r="Q180">
        <f>IF(OR(AND(D180=2,E180=3),AND(D180=3,E180=2)),C180,"")</f>
        <v/>
      </c>
    </row>
    <row r="181">
      <c r="A181" t="n">
        <v>4</v>
      </c>
      <c r="B181" t="n">
        <v>40</v>
      </c>
      <c r="C181">
        <f>SQRT((Scale_PCA_Mechanics!G5-Scale_PCA_Mechanics!G41)^2+(Scale_PCA_Mechanics!H5-Scale_PCA_Mechanics!H41)^2+(Scale_PCA_Mechanics!I5-Scale_PCA_Mechanics!I41)^2+(Scale_PCA_Mechanics!J5-Scale_PCA_Mechanics!J41)^2)</f>
        <v/>
      </c>
      <c r="D181">
        <f>INDEX(KMeans_6_2!AA2:AA51,A181)</f>
        <v/>
      </c>
      <c r="E181">
        <f>INDEX(KMeans_6_2!AA2:AA51,B181)</f>
        <v/>
      </c>
      <c r="O181">
        <f>IF(OR(AND(D181=1,E181=2),AND(D181=2,E181=1)),C181,"")</f>
        <v/>
      </c>
      <c r="P181">
        <f>IF(OR(AND(D181=1,E181=3),AND(D181=3,E181=1)),C181,"")</f>
        <v/>
      </c>
      <c r="Q181">
        <f>IF(OR(AND(D181=2,E181=3),AND(D181=3,E181=2)),C181,"")</f>
        <v/>
      </c>
    </row>
    <row r="182">
      <c r="A182" t="n">
        <v>4</v>
      </c>
      <c r="B182" t="n">
        <v>41</v>
      </c>
      <c r="C182">
        <f>SQRT((Scale_PCA_Mechanics!G5-Scale_PCA_Mechanics!G42)^2+(Scale_PCA_Mechanics!H5-Scale_PCA_Mechanics!H42)^2+(Scale_PCA_Mechanics!I5-Scale_PCA_Mechanics!I42)^2+(Scale_PCA_Mechanics!J5-Scale_PCA_Mechanics!J42)^2)</f>
        <v/>
      </c>
      <c r="D182">
        <f>INDEX(KMeans_6_2!AA2:AA51,A182)</f>
        <v/>
      </c>
      <c r="E182">
        <f>INDEX(KMeans_6_2!AA2:AA51,B182)</f>
        <v/>
      </c>
      <c r="O182">
        <f>IF(OR(AND(D182=1,E182=2),AND(D182=2,E182=1)),C182,"")</f>
        <v/>
      </c>
      <c r="P182">
        <f>IF(OR(AND(D182=1,E182=3),AND(D182=3,E182=1)),C182,"")</f>
        <v/>
      </c>
      <c r="Q182">
        <f>IF(OR(AND(D182=2,E182=3),AND(D182=3,E182=2)),C182,"")</f>
        <v/>
      </c>
    </row>
    <row r="183">
      <c r="A183" t="n">
        <v>4</v>
      </c>
      <c r="B183" t="n">
        <v>42</v>
      </c>
      <c r="C183">
        <f>SQRT((Scale_PCA_Mechanics!G5-Scale_PCA_Mechanics!G43)^2+(Scale_PCA_Mechanics!H5-Scale_PCA_Mechanics!H43)^2+(Scale_PCA_Mechanics!I5-Scale_PCA_Mechanics!I43)^2+(Scale_PCA_Mechanics!J5-Scale_PCA_Mechanics!J43)^2)</f>
        <v/>
      </c>
      <c r="D183">
        <f>INDEX(KMeans_6_2!AA2:AA51,A183)</f>
        <v/>
      </c>
      <c r="E183">
        <f>INDEX(KMeans_6_2!AA2:AA51,B183)</f>
        <v/>
      </c>
      <c r="O183">
        <f>IF(OR(AND(D183=1,E183=2),AND(D183=2,E183=1)),C183,"")</f>
        <v/>
      </c>
      <c r="P183">
        <f>IF(OR(AND(D183=1,E183=3),AND(D183=3,E183=1)),C183,"")</f>
        <v/>
      </c>
      <c r="Q183">
        <f>IF(OR(AND(D183=2,E183=3),AND(D183=3,E183=2)),C183,"")</f>
        <v/>
      </c>
    </row>
    <row r="184">
      <c r="A184" t="n">
        <v>4</v>
      </c>
      <c r="B184" t="n">
        <v>43</v>
      </c>
      <c r="C184">
        <f>SQRT((Scale_PCA_Mechanics!G5-Scale_PCA_Mechanics!G44)^2+(Scale_PCA_Mechanics!H5-Scale_PCA_Mechanics!H44)^2+(Scale_PCA_Mechanics!I5-Scale_PCA_Mechanics!I44)^2+(Scale_PCA_Mechanics!J5-Scale_PCA_Mechanics!J44)^2)</f>
        <v/>
      </c>
      <c r="D184">
        <f>INDEX(KMeans_6_2!AA2:AA51,A184)</f>
        <v/>
      </c>
      <c r="E184">
        <f>INDEX(KMeans_6_2!AA2:AA51,B184)</f>
        <v/>
      </c>
      <c r="O184">
        <f>IF(OR(AND(D184=1,E184=2),AND(D184=2,E184=1)),C184,"")</f>
        <v/>
      </c>
      <c r="P184">
        <f>IF(OR(AND(D184=1,E184=3),AND(D184=3,E184=1)),C184,"")</f>
        <v/>
      </c>
      <c r="Q184">
        <f>IF(OR(AND(D184=2,E184=3),AND(D184=3,E184=2)),C184,"")</f>
        <v/>
      </c>
    </row>
    <row r="185">
      <c r="A185" t="n">
        <v>4</v>
      </c>
      <c r="B185" t="n">
        <v>44</v>
      </c>
      <c r="C185">
        <f>SQRT((Scale_PCA_Mechanics!G5-Scale_PCA_Mechanics!G45)^2+(Scale_PCA_Mechanics!H5-Scale_PCA_Mechanics!H45)^2+(Scale_PCA_Mechanics!I5-Scale_PCA_Mechanics!I45)^2+(Scale_PCA_Mechanics!J5-Scale_PCA_Mechanics!J45)^2)</f>
        <v/>
      </c>
      <c r="D185">
        <f>INDEX(KMeans_6_2!AA2:AA51,A185)</f>
        <v/>
      </c>
      <c r="E185">
        <f>INDEX(KMeans_6_2!AA2:AA51,B185)</f>
        <v/>
      </c>
      <c r="O185">
        <f>IF(OR(AND(D185=1,E185=2),AND(D185=2,E185=1)),C185,"")</f>
        <v/>
      </c>
      <c r="P185">
        <f>IF(OR(AND(D185=1,E185=3),AND(D185=3,E185=1)),C185,"")</f>
        <v/>
      </c>
      <c r="Q185">
        <f>IF(OR(AND(D185=2,E185=3),AND(D185=3,E185=2)),C185,"")</f>
        <v/>
      </c>
    </row>
    <row r="186">
      <c r="A186" t="n">
        <v>4</v>
      </c>
      <c r="B186" t="n">
        <v>45</v>
      </c>
      <c r="C186">
        <f>SQRT((Scale_PCA_Mechanics!G5-Scale_PCA_Mechanics!G46)^2+(Scale_PCA_Mechanics!H5-Scale_PCA_Mechanics!H46)^2+(Scale_PCA_Mechanics!I5-Scale_PCA_Mechanics!I46)^2+(Scale_PCA_Mechanics!J5-Scale_PCA_Mechanics!J46)^2)</f>
        <v/>
      </c>
      <c r="D186">
        <f>INDEX(KMeans_6_2!AA2:AA51,A186)</f>
        <v/>
      </c>
      <c r="E186">
        <f>INDEX(KMeans_6_2!AA2:AA51,B186)</f>
        <v/>
      </c>
      <c r="O186">
        <f>IF(OR(AND(D186=1,E186=2),AND(D186=2,E186=1)),C186,"")</f>
        <v/>
      </c>
      <c r="P186">
        <f>IF(OR(AND(D186=1,E186=3),AND(D186=3,E186=1)),C186,"")</f>
        <v/>
      </c>
      <c r="Q186">
        <f>IF(OR(AND(D186=2,E186=3),AND(D186=3,E186=2)),C186,"")</f>
        <v/>
      </c>
    </row>
    <row r="187">
      <c r="A187" t="n">
        <v>4</v>
      </c>
      <c r="B187" t="n">
        <v>46</v>
      </c>
      <c r="C187">
        <f>SQRT((Scale_PCA_Mechanics!G5-Scale_PCA_Mechanics!G47)^2+(Scale_PCA_Mechanics!H5-Scale_PCA_Mechanics!H47)^2+(Scale_PCA_Mechanics!I5-Scale_PCA_Mechanics!I47)^2+(Scale_PCA_Mechanics!J5-Scale_PCA_Mechanics!J47)^2)</f>
        <v/>
      </c>
      <c r="D187">
        <f>INDEX(KMeans_6_2!AA2:AA51,A187)</f>
        <v/>
      </c>
      <c r="E187">
        <f>INDEX(KMeans_6_2!AA2:AA51,B187)</f>
        <v/>
      </c>
      <c r="O187">
        <f>IF(OR(AND(D187=1,E187=2),AND(D187=2,E187=1)),C187,"")</f>
        <v/>
      </c>
      <c r="P187">
        <f>IF(OR(AND(D187=1,E187=3),AND(D187=3,E187=1)),C187,"")</f>
        <v/>
      </c>
      <c r="Q187">
        <f>IF(OR(AND(D187=2,E187=3),AND(D187=3,E187=2)),C187,"")</f>
        <v/>
      </c>
    </row>
    <row r="188">
      <c r="A188" t="n">
        <v>4</v>
      </c>
      <c r="B188" t="n">
        <v>47</v>
      </c>
      <c r="C188">
        <f>SQRT((Scale_PCA_Mechanics!G5-Scale_PCA_Mechanics!G48)^2+(Scale_PCA_Mechanics!H5-Scale_PCA_Mechanics!H48)^2+(Scale_PCA_Mechanics!I5-Scale_PCA_Mechanics!I48)^2+(Scale_PCA_Mechanics!J5-Scale_PCA_Mechanics!J48)^2)</f>
        <v/>
      </c>
      <c r="D188">
        <f>INDEX(KMeans_6_2!AA2:AA51,A188)</f>
        <v/>
      </c>
      <c r="E188">
        <f>INDEX(KMeans_6_2!AA2:AA51,B188)</f>
        <v/>
      </c>
      <c r="O188">
        <f>IF(OR(AND(D188=1,E188=2),AND(D188=2,E188=1)),C188,"")</f>
        <v/>
      </c>
      <c r="P188">
        <f>IF(OR(AND(D188=1,E188=3),AND(D188=3,E188=1)),C188,"")</f>
        <v/>
      </c>
      <c r="Q188">
        <f>IF(OR(AND(D188=2,E188=3),AND(D188=3,E188=2)),C188,"")</f>
        <v/>
      </c>
    </row>
    <row r="189">
      <c r="A189" t="n">
        <v>4</v>
      </c>
      <c r="B189" t="n">
        <v>48</v>
      </c>
      <c r="C189">
        <f>SQRT((Scale_PCA_Mechanics!G5-Scale_PCA_Mechanics!G49)^2+(Scale_PCA_Mechanics!H5-Scale_PCA_Mechanics!H49)^2+(Scale_PCA_Mechanics!I5-Scale_PCA_Mechanics!I49)^2+(Scale_PCA_Mechanics!J5-Scale_PCA_Mechanics!J49)^2)</f>
        <v/>
      </c>
      <c r="D189">
        <f>INDEX(KMeans_6_2!AA2:AA51,A189)</f>
        <v/>
      </c>
      <c r="E189">
        <f>INDEX(KMeans_6_2!AA2:AA51,B189)</f>
        <v/>
      </c>
      <c r="O189">
        <f>IF(OR(AND(D189=1,E189=2),AND(D189=2,E189=1)),C189,"")</f>
        <v/>
      </c>
      <c r="P189">
        <f>IF(OR(AND(D189=1,E189=3),AND(D189=3,E189=1)),C189,"")</f>
        <v/>
      </c>
      <c r="Q189">
        <f>IF(OR(AND(D189=2,E189=3),AND(D189=3,E189=2)),C189,"")</f>
        <v/>
      </c>
    </row>
    <row r="190">
      <c r="A190" t="n">
        <v>4</v>
      </c>
      <c r="B190" t="n">
        <v>49</v>
      </c>
      <c r="C190">
        <f>SQRT((Scale_PCA_Mechanics!G5-Scale_PCA_Mechanics!G50)^2+(Scale_PCA_Mechanics!H5-Scale_PCA_Mechanics!H50)^2+(Scale_PCA_Mechanics!I5-Scale_PCA_Mechanics!I50)^2+(Scale_PCA_Mechanics!J5-Scale_PCA_Mechanics!J50)^2)</f>
        <v/>
      </c>
      <c r="D190">
        <f>INDEX(KMeans_6_2!AA2:AA51,A190)</f>
        <v/>
      </c>
      <c r="E190">
        <f>INDEX(KMeans_6_2!AA2:AA51,B190)</f>
        <v/>
      </c>
      <c r="O190">
        <f>IF(OR(AND(D190=1,E190=2),AND(D190=2,E190=1)),C190,"")</f>
        <v/>
      </c>
      <c r="P190">
        <f>IF(OR(AND(D190=1,E190=3),AND(D190=3,E190=1)),C190,"")</f>
        <v/>
      </c>
      <c r="Q190">
        <f>IF(OR(AND(D190=2,E190=3),AND(D190=3,E190=2)),C190,"")</f>
        <v/>
      </c>
    </row>
    <row r="191">
      <c r="A191" t="n">
        <v>4</v>
      </c>
      <c r="B191" t="n">
        <v>50</v>
      </c>
      <c r="C191">
        <f>SQRT((Scale_PCA_Mechanics!G5-Scale_PCA_Mechanics!G51)^2+(Scale_PCA_Mechanics!H5-Scale_PCA_Mechanics!H51)^2+(Scale_PCA_Mechanics!I5-Scale_PCA_Mechanics!I51)^2+(Scale_PCA_Mechanics!J5-Scale_PCA_Mechanics!J51)^2)</f>
        <v/>
      </c>
      <c r="D191">
        <f>INDEX(KMeans_6_2!AA2:AA51,A191)</f>
        <v/>
      </c>
      <c r="E191">
        <f>INDEX(KMeans_6_2!AA2:AA51,B191)</f>
        <v/>
      </c>
      <c r="O191">
        <f>IF(OR(AND(D191=1,E191=2),AND(D191=2,E191=1)),C191,"")</f>
        <v/>
      </c>
      <c r="P191">
        <f>IF(OR(AND(D191=1,E191=3),AND(D191=3,E191=1)),C191,"")</f>
        <v/>
      </c>
      <c r="Q191">
        <f>IF(OR(AND(D191=2,E191=3),AND(D191=3,E191=2)),C191,"")</f>
        <v/>
      </c>
    </row>
    <row r="192">
      <c r="A192" t="n">
        <v>5</v>
      </c>
      <c r="B192" t="n">
        <v>6</v>
      </c>
      <c r="C192">
        <f>SQRT((Scale_PCA_Mechanics!G6-Scale_PCA_Mechanics!G7)^2+(Scale_PCA_Mechanics!H6-Scale_PCA_Mechanics!H7)^2+(Scale_PCA_Mechanics!I6-Scale_PCA_Mechanics!I7)^2+(Scale_PCA_Mechanics!J6-Scale_PCA_Mechanics!J7)^2)</f>
        <v/>
      </c>
      <c r="D192">
        <f>INDEX(KMeans_6_2!AA2:AA51,A192)</f>
        <v/>
      </c>
      <c r="E192">
        <f>INDEX(KMeans_6_2!AA2:AA51,B192)</f>
        <v/>
      </c>
      <c r="O192">
        <f>IF(OR(AND(D192=1,E192=2),AND(D192=2,E192=1)),C192,"")</f>
        <v/>
      </c>
      <c r="P192">
        <f>IF(OR(AND(D192=1,E192=3),AND(D192=3,E192=1)),C192,"")</f>
        <v/>
      </c>
      <c r="Q192">
        <f>IF(OR(AND(D192=2,E192=3),AND(D192=3,E192=2)),C192,"")</f>
        <v/>
      </c>
    </row>
    <row r="193">
      <c r="A193" t="n">
        <v>5</v>
      </c>
      <c r="B193" t="n">
        <v>7</v>
      </c>
      <c r="C193">
        <f>SQRT((Scale_PCA_Mechanics!G6-Scale_PCA_Mechanics!G8)^2+(Scale_PCA_Mechanics!H6-Scale_PCA_Mechanics!H8)^2+(Scale_PCA_Mechanics!I6-Scale_PCA_Mechanics!I8)^2+(Scale_PCA_Mechanics!J6-Scale_PCA_Mechanics!J8)^2)</f>
        <v/>
      </c>
      <c r="D193">
        <f>INDEX(KMeans_6_2!AA2:AA51,A193)</f>
        <v/>
      </c>
      <c r="E193">
        <f>INDEX(KMeans_6_2!AA2:AA51,B193)</f>
        <v/>
      </c>
      <c r="O193">
        <f>IF(OR(AND(D193=1,E193=2),AND(D193=2,E193=1)),C193,"")</f>
        <v/>
      </c>
      <c r="P193">
        <f>IF(OR(AND(D193=1,E193=3),AND(D193=3,E193=1)),C193,"")</f>
        <v/>
      </c>
      <c r="Q193">
        <f>IF(OR(AND(D193=2,E193=3),AND(D193=3,E193=2)),C193,"")</f>
        <v/>
      </c>
    </row>
    <row r="194">
      <c r="A194" t="n">
        <v>5</v>
      </c>
      <c r="B194" t="n">
        <v>8</v>
      </c>
      <c r="C194">
        <f>SQRT((Scale_PCA_Mechanics!G6-Scale_PCA_Mechanics!G9)^2+(Scale_PCA_Mechanics!H6-Scale_PCA_Mechanics!H9)^2+(Scale_PCA_Mechanics!I6-Scale_PCA_Mechanics!I9)^2+(Scale_PCA_Mechanics!J6-Scale_PCA_Mechanics!J9)^2)</f>
        <v/>
      </c>
      <c r="D194">
        <f>INDEX(KMeans_6_2!AA2:AA51,A194)</f>
        <v/>
      </c>
      <c r="E194">
        <f>INDEX(KMeans_6_2!AA2:AA51,B194)</f>
        <v/>
      </c>
      <c r="O194">
        <f>IF(OR(AND(D194=1,E194=2),AND(D194=2,E194=1)),C194,"")</f>
        <v/>
      </c>
      <c r="P194">
        <f>IF(OR(AND(D194=1,E194=3),AND(D194=3,E194=1)),C194,"")</f>
        <v/>
      </c>
      <c r="Q194">
        <f>IF(OR(AND(D194=2,E194=3),AND(D194=3,E194=2)),C194,"")</f>
        <v/>
      </c>
    </row>
    <row r="195">
      <c r="A195" t="n">
        <v>5</v>
      </c>
      <c r="B195" t="n">
        <v>9</v>
      </c>
      <c r="C195">
        <f>SQRT((Scale_PCA_Mechanics!G6-Scale_PCA_Mechanics!G10)^2+(Scale_PCA_Mechanics!H6-Scale_PCA_Mechanics!H10)^2+(Scale_PCA_Mechanics!I6-Scale_PCA_Mechanics!I10)^2+(Scale_PCA_Mechanics!J6-Scale_PCA_Mechanics!J10)^2)</f>
        <v/>
      </c>
      <c r="D195">
        <f>INDEX(KMeans_6_2!AA2:AA51,A195)</f>
        <v/>
      </c>
      <c r="E195">
        <f>INDEX(KMeans_6_2!AA2:AA51,B195)</f>
        <v/>
      </c>
      <c r="O195">
        <f>IF(OR(AND(D195=1,E195=2),AND(D195=2,E195=1)),C195,"")</f>
        <v/>
      </c>
      <c r="P195">
        <f>IF(OR(AND(D195=1,E195=3),AND(D195=3,E195=1)),C195,"")</f>
        <v/>
      </c>
      <c r="Q195">
        <f>IF(OR(AND(D195=2,E195=3),AND(D195=3,E195=2)),C195,"")</f>
        <v/>
      </c>
    </row>
    <row r="196">
      <c r="A196" t="n">
        <v>5</v>
      </c>
      <c r="B196" t="n">
        <v>10</v>
      </c>
      <c r="C196">
        <f>SQRT((Scale_PCA_Mechanics!G6-Scale_PCA_Mechanics!G11)^2+(Scale_PCA_Mechanics!H6-Scale_PCA_Mechanics!H11)^2+(Scale_PCA_Mechanics!I6-Scale_PCA_Mechanics!I11)^2+(Scale_PCA_Mechanics!J6-Scale_PCA_Mechanics!J11)^2)</f>
        <v/>
      </c>
      <c r="D196">
        <f>INDEX(KMeans_6_2!AA2:AA51,A196)</f>
        <v/>
      </c>
      <c r="E196">
        <f>INDEX(KMeans_6_2!AA2:AA51,B196)</f>
        <v/>
      </c>
      <c r="O196">
        <f>IF(OR(AND(D196=1,E196=2),AND(D196=2,E196=1)),C196,"")</f>
        <v/>
      </c>
      <c r="P196">
        <f>IF(OR(AND(D196=1,E196=3),AND(D196=3,E196=1)),C196,"")</f>
        <v/>
      </c>
      <c r="Q196">
        <f>IF(OR(AND(D196=2,E196=3),AND(D196=3,E196=2)),C196,"")</f>
        <v/>
      </c>
    </row>
    <row r="197">
      <c r="A197" t="n">
        <v>5</v>
      </c>
      <c r="B197" t="n">
        <v>11</v>
      </c>
      <c r="C197">
        <f>SQRT((Scale_PCA_Mechanics!G6-Scale_PCA_Mechanics!G12)^2+(Scale_PCA_Mechanics!H6-Scale_PCA_Mechanics!H12)^2+(Scale_PCA_Mechanics!I6-Scale_PCA_Mechanics!I12)^2+(Scale_PCA_Mechanics!J6-Scale_PCA_Mechanics!J12)^2)</f>
        <v/>
      </c>
      <c r="D197">
        <f>INDEX(KMeans_6_2!AA2:AA51,A197)</f>
        <v/>
      </c>
      <c r="E197">
        <f>INDEX(KMeans_6_2!AA2:AA51,B197)</f>
        <v/>
      </c>
      <c r="O197">
        <f>IF(OR(AND(D197=1,E197=2),AND(D197=2,E197=1)),C197,"")</f>
        <v/>
      </c>
      <c r="P197">
        <f>IF(OR(AND(D197=1,E197=3),AND(D197=3,E197=1)),C197,"")</f>
        <v/>
      </c>
      <c r="Q197">
        <f>IF(OR(AND(D197=2,E197=3),AND(D197=3,E197=2)),C197,"")</f>
        <v/>
      </c>
    </row>
    <row r="198">
      <c r="A198" t="n">
        <v>5</v>
      </c>
      <c r="B198" t="n">
        <v>12</v>
      </c>
      <c r="C198">
        <f>SQRT((Scale_PCA_Mechanics!G6-Scale_PCA_Mechanics!G13)^2+(Scale_PCA_Mechanics!H6-Scale_PCA_Mechanics!H13)^2+(Scale_PCA_Mechanics!I6-Scale_PCA_Mechanics!I13)^2+(Scale_PCA_Mechanics!J6-Scale_PCA_Mechanics!J13)^2)</f>
        <v/>
      </c>
      <c r="D198">
        <f>INDEX(KMeans_6_2!AA2:AA51,A198)</f>
        <v/>
      </c>
      <c r="E198">
        <f>INDEX(KMeans_6_2!AA2:AA51,B198)</f>
        <v/>
      </c>
      <c r="O198">
        <f>IF(OR(AND(D198=1,E198=2),AND(D198=2,E198=1)),C198,"")</f>
        <v/>
      </c>
      <c r="P198">
        <f>IF(OR(AND(D198=1,E198=3),AND(D198=3,E198=1)),C198,"")</f>
        <v/>
      </c>
      <c r="Q198">
        <f>IF(OR(AND(D198=2,E198=3),AND(D198=3,E198=2)),C198,"")</f>
        <v/>
      </c>
    </row>
    <row r="199">
      <c r="A199" t="n">
        <v>5</v>
      </c>
      <c r="B199" t="n">
        <v>13</v>
      </c>
      <c r="C199">
        <f>SQRT((Scale_PCA_Mechanics!G6-Scale_PCA_Mechanics!G14)^2+(Scale_PCA_Mechanics!H6-Scale_PCA_Mechanics!H14)^2+(Scale_PCA_Mechanics!I6-Scale_PCA_Mechanics!I14)^2+(Scale_PCA_Mechanics!J6-Scale_PCA_Mechanics!J14)^2)</f>
        <v/>
      </c>
      <c r="D199">
        <f>INDEX(KMeans_6_2!AA2:AA51,A199)</f>
        <v/>
      </c>
      <c r="E199">
        <f>INDEX(KMeans_6_2!AA2:AA51,B199)</f>
        <v/>
      </c>
      <c r="O199">
        <f>IF(OR(AND(D199=1,E199=2),AND(D199=2,E199=1)),C199,"")</f>
        <v/>
      </c>
      <c r="P199">
        <f>IF(OR(AND(D199=1,E199=3),AND(D199=3,E199=1)),C199,"")</f>
        <v/>
      </c>
      <c r="Q199">
        <f>IF(OR(AND(D199=2,E199=3),AND(D199=3,E199=2)),C199,"")</f>
        <v/>
      </c>
    </row>
    <row r="200">
      <c r="A200" t="n">
        <v>5</v>
      </c>
      <c r="B200" t="n">
        <v>14</v>
      </c>
      <c r="C200">
        <f>SQRT((Scale_PCA_Mechanics!G6-Scale_PCA_Mechanics!G15)^2+(Scale_PCA_Mechanics!H6-Scale_PCA_Mechanics!H15)^2+(Scale_PCA_Mechanics!I6-Scale_PCA_Mechanics!I15)^2+(Scale_PCA_Mechanics!J6-Scale_PCA_Mechanics!J15)^2)</f>
        <v/>
      </c>
      <c r="D200">
        <f>INDEX(KMeans_6_2!AA2:AA51,A200)</f>
        <v/>
      </c>
      <c r="E200">
        <f>INDEX(KMeans_6_2!AA2:AA51,B200)</f>
        <v/>
      </c>
      <c r="O200">
        <f>IF(OR(AND(D200=1,E200=2),AND(D200=2,E200=1)),C200,"")</f>
        <v/>
      </c>
      <c r="P200">
        <f>IF(OR(AND(D200=1,E200=3),AND(D200=3,E200=1)),C200,"")</f>
        <v/>
      </c>
      <c r="Q200">
        <f>IF(OR(AND(D200=2,E200=3),AND(D200=3,E200=2)),C200,"")</f>
        <v/>
      </c>
    </row>
    <row r="201">
      <c r="A201" t="n">
        <v>5</v>
      </c>
      <c r="B201" t="n">
        <v>15</v>
      </c>
      <c r="C201">
        <f>SQRT((Scale_PCA_Mechanics!G6-Scale_PCA_Mechanics!G16)^2+(Scale_PCA_Mechanics!H6-Scale_PCA_Mechanics!H16)^2+(Scale_PCA_Mechanics!I6-Scale_PCA_Mechanics!I16)^2+(Scale_PCA_Mechanics!J6-Scale_PCA_Mechanics!J16)^2)</f>
        <v/>
      </c>
      <c r="D201">
        <f>INDEX(KMeans_6_2!AA2:AA51,A201)</f>
        <v/>
      </c>
      <c r="E201">
        <f>INDEX(KMeans_6_2!AA2:AA51,B201)</f>
        <v/>
      </c>
      <c r="O201">
        <f>IF(OR(AND(D201=1,E201=2),AND(D201=2,E201=1)),C201,"")</f>
        <v/>
      </c>
      <c r="P201">
        <f>IF(OR(AND(D201=1,E201=3),AND(D201=3,E201=1)),C201,"")</f>
        <v/>
      </c>
      <c r="Q201">
        <f>IF(OR(AND(D201=2,E201=3),AND(D201=3,E201=2)),C201,"")</f>
        <v/>
      </c>
    </row>
    <row r="202">
      <c r="A202" t="n">
        <v>5</v>
      </c>
      <c r="B202" t="n">
        <v>16</v>
      </c>
      <c r="C202">
        <f>SQRT((Scale_PCA_Mechanics!G6-Scale_PCA_Mechanics!G17)^2+(Scale_PCA_Mechanics!H6-Scale_PCA_Mechanics!H17)^2+(Scale_PCA_Mechanics!I6-Scale_PCA_Mechanics!I17)^2+(Scale_PCA_Mechanics!J6-Scale_PCA_Mechanics!J17)^2)</f>
        <v/>
      </c>
      <c r="D202">
        <f>INDEX(KMeans_6_2!AA2:AA51,A202)</f>
        <v/>
      </c>
      <c r="E202">
        <f>INDEX(KMeans_6_2!AA2:AA51,B202)</f>
        <v/>
      </c>
      <c r="O202">
        <f>IF(OR(AND(D202=1,E202=2),AND(D202=2,E202=1)),C202,"")</f>
        <v/>
      </c>
      <c r="P202">
        <f>IF(OR(AND(D202=1,E202=3),AND(D202=3,E202=1)),C202,"")</f>
        <v/>
      </c>
      <c r="Q202">
        <f>IF(OR(AND(D202=2,E202=3),AND(D202=3,E202=2)),C202,"")</f>
        <v/>
      </c>
    </row>
    <row r="203">
      <c r="A203" t="n">
        <v>5</v>
      </c>
      <c r="B203" t="n">
        <v>17</v>
      </c>
      <c r="C203">
        <f>SQRT((Scale_PCA_Mechanics!G6-Scale_PCA_Mechanics!G18)^2+(Scale_PCA_Mechanics!H6-Scale_PCA_Mechanics!H18)^2+(Scale_PCA_Mechanics!I6-Scale_PCA_Mechanics!I18)^2+(Scale_PCA_Mechanics!J6-Scale_PCA_Mechanics!J18)^2)</f>
        <v/>
      </c>
      <c r="D203">
        <f>INDEX(KMeans_6_2!AA2:AA51,A203)</f>
        <v/>
      </c>
      <c r="E203">
        <f>INDEX(KMeans_6_2!AA2:AA51,B203)</f>
        <v/>
      </c>
      <c r="O203">
        <f>IF(OR(AND(D203=1,E203=2),AND(D203=2,E203=1)),C203,"")</f>
        <v/>
      </c>
      <c r="P203">
        <f>IF(OR(AND(D203=1,E203=3),AND(D203=3,E203=1)),C203,"")</f>
        <v/>
      </c>
      <c r="Q203">
        <f>IF(OR(AND(D203=2,E203=3),AND(D203=3,E203=2)),C203,"")</f>
        <v/>
      </c>
    </row>
    <row r="204">
      <c r="A204" t="n">
        <v>5</v>
      </c>
      <c r="B204" t="n">
        <v>18</v>
      </c>
      <c r="C204">
        <f>SQRT((Scale_PCA_Mechanics!G6-Scale_PCA_Mechanics!G19)^2+(Scale_PCA_Mechanics!H6-Scale_PCA_Mechanics!H19)^2+(Scale_PCA_Mechanics!I6-Scale_PCA_Mechanics!I19)^2+(Scale_PCA_Mechanics!J6-Scale_PCA_Mechanics!J19)^2)</f>
        <v/>
      </c>
      <c r="D204">
        <f>INDEX(KMeans_6_2!AA2:AA51,A204)</f>
        <v/>
      </c>
      <c r="E204">
        <f>INDEX(KMeans_6_2!AA2:AA51,B204)</f>
        <v/>
      </c>
      <c r="O204">
        <f>IF(OR(AND(D204=1,E204=2),AND(D204=2,E204=1)),C204,"")</f>
        <v/>
      </c>
      <c r="P204">
        <f>IF(OR(AND(D204=1,E204=3),AND(D204=3,E204=1)),C204,"")</f>
        <v/>
      </c>
      <c r="Q204">
        <f>IF(OR(AND(D204=2,E204=3),AND(D204=3,E204=2)),C204,"")</f>
        <v/>
      </c>
    </row>
    <row r="205">
      <c r="A205" t="n">
        <v>5</v>
      </c>
      <c r="B205" t="n">
        <v>19</v>
      </c>
      <c r="C205">
        <f>SQRT((Scale_PCA_Mechanics!G6-Scale_PCA_Mechanics!G20)^2+(Scale_PCA_Mechanics!H6-Scale_PCA_Mechanics!H20)^2+(Scale_PCA_Mechanics!I6-Scale_PCA_Mechanics!I20)^2+(Scale_PCA_Mechanics!J6-Scale_PCA_Mechanics!J20)^2)</f>
        <v/>
      </c>
      <c r="D205">
        <f>INDEX(KMeans_6_2!AA2:AA51,A205)</f>
        <v/>
      </c>
      <c r="E205">
        <f>INDEX(KMeans_6_2!AA2:AA51,B205)</f>
        <v/>
      </c>
      <c r="O205">
        <f>IF(OR(AND(D205=1,E205=2),AND(D205=2,E205=1)),C205,"")</f>
        <v/>
      </c>
      <c r="P205">
        <f>IF(OR(AND(D205=1,E205=3),AND(D205=3,E205=1)),C205,"")</f>
        <v/>
      </c>
      <c r="Q205">
        <f>IF(OR(AND(D205=2,E205=3),AND(D205=3,E205=2)),C205,"")</f>
        <v/>
      </c>
    </row>
    <row r="206">
      <c r="A206" t="n">
        <v>5</v>
      </c>
      <c r="B206" t="n">
        <v>20</v>
      </c>
      <c r="C206">
        <f>SQRT((Scale_PCA_Mechanics!G6-Scale_PCA_Mechanics!G21)^2+(Scale_PCA_Mechanics!H6-Scale_PCA_Mechanics!H21)^2+(Scale_PCA_Mechanics!I6-Scale_PCA_Mechanics!I21)^2+(Scale_PCA_Mechanics!J6-Scale_PCA_Mechanics!J21)^2)</f>
        <v/>
      </c>
      <c r="D206">
        <f>INDEX(KMeans_6_2!AA2:AA51,A206)</f>
        <v/>
      </c>
      <c r="E206">
        <f>INDEX(KMeans_6_2!AA2:AA51,B206)</f>
        <v/>
      </c>
      <c r="O206">
        <f>IF(OR(AND(D206=1,E206=2),AND(D206=2,E206=1)),C206,"")</f>
        <v/>
      </c>
      <c r="P206">
        <f>IF(OR(AND(D206=1,E206=3),AND(D206=3,E206=1)),C206,"")</f>
        <v/>
      </c>
      <c r="Q206">
        <f>IF(OR(AND(D206=2,E206=3),AND(D206=3,E206=2)),C206,"")</f>
        <v/>
      </c>
    </row>
    <row r="207">
      <c r="A207" t="n">
        <v>5</v>
      </c>
      <c r="B207" t="n">
        <v>21</v>
      </c>
      <c r="C207">
        <f>SQRT((Scale_PCA_Mechanics!G6-Scale_PCA_Mechanics!G22)^2+(Scale_PCA_Mechanics!H6-Scale_PCA_Mechanics!H22)^2+(Scale_PCA_Mechanics!I6-Scale_PCA_Mechanics!I22)^2+(Scale_PCA_Mechanics!J6-Scale_PCA_Mechanics!J22)^2)</f>
        <v/>
      </c>
      <c r="D207">
        <f>INDEX(KMeans_6_2!AA2:AA51,A207)</f>
        <v/>
      </c>
      <c r="E207">
        <f>INDEX(KMeans_6_2!AA2:AA51,B207)</f>
        <v/>
      </c>
      <c r="O207">
        <f>IF(OR(AND(D207=1,E207=2),AND(D207=2,E207=1)),C207,"")</f>
        <v/>
      </c>
      <c r="P207">
        <f>IF(OR(AND(D207=1,E207=3),AND(D207=3,E207=1)),C207,"")</f>
        <v/>
      </c>
      <c r="Q207">
        <f>IF(OR(AND(D207=2,E207=3),AND(D207=3,E207=2)),C207,"")</f>
        <v/>
      </c>
    </row>
    <row r="208">
      <c r="A208" t="n">
        <v>5</v>
      </c>
      <c r="B208" t="n">
        <v>22</v>
      </c>
      <c r="C208">
        <f>SQRT((Scale_PCA_Mechanics!G6-Scale_PCA_Mechanics!G23)^2+(Scale_PCA_Mechanics!H6-Scale_PCA_Mechanics!H23)^2+(Scale_PCA_Mechanics!I6-Scale_PCA_Mechanics!I23)^2+(Scale_PCA_Mechanics!J6-Scale_PCA_Mechanics!J23)^2)</f>
        <v/>
      </c>
      <c r="D208">
        <f>INDEX(KMeans_6_2!AA2:AA51,A208)</f>
        <v/>
      </c>
      <c r="E208">
        <f>INDEX(KMeans_6_2!AA2:AA51,B208)</f>
        <v/>
      </c>
      <c r="O208">
        <f>IF(OR(AND(D208=1,E208=2),AND(D208=2,E208=1)),C208,"")</f>
        <v/>
      </c>
      <c r="P208">
        <f>IF(OR(AND(D208=1,E208=3),AND(D208=3,E208=1)),C208,"")</f>
        <v/>
      </c>
      <c r="Q208">
        <f>IF(OR(AND(D208=2,E208=3),AND(D208=3,E208=2)),C208,"")</f>
        <v/>
      </c>
    </row>
    <row r="209">
      <c r="A209" t="n">
        <v>5</v>
      </c>
      <c r="B209" t="n">
        <v>23</v>
      </c>
      <c r="C209">
        <f>SQRT((Scale_PCA_Mechanics!G6-Scale_PCA_Mechanics!G24)^2+(Scale_PCA_Mechanics!H6-Scale_PCA_Mechanics!H24)^2+(Scale_PCA_Mechanics!I6-Scale_PCA_Mechanics!I24)^2+(Scale_PCA_Mechanics!J6-Scale_PCA_Mechanics!J24)^2)</f>
        <v/>
      </c>
      <c r="D209">
        <f>INDEX(KMeans_6_2!AA2:AA51,A209)</f>
        <v/>
      </c>
      <c r="E209">
        <f>INDEX(KMeans_6_2!AA2:AA51,B209)</f>
        <v/>
      </c>
      <c r="O209">
        <f>IF(OR(AND(D209=1,E209=2),AND(D209=2,E209=1)),C209,"")</f>
        <v/>
      </c>
      <c r="P209">
        <f>IF(OR(AND(D209=1,E209=3),AND(D209=3,E209=1)),C209,"")</f>
        <v/>
      </c>
      <c r="Q209">
        <f>IF(OR(AND(D209=2,E209=3),AND(D209=3,E209=2)),C209,"")</f>
        <v/>
      </c>
    </row>
    <row r="210">
      <c r="A210" t="n">
        <v>5</v>
      </c>
      <c r="B210" t="n">
        <v>24</v>
      </c>
      <c r="C210">
        <f>SQRT((Scale_PCA_Mechanics!G6-Scale_PCA_Mechanics!G25)^2+(Scale_PCA_Mechanics!H6-Scale_PCA_Mechanics!H25)^2+(Scale_PCA_Mechanics!I6-Scale_PCA_Mechanics!I25)^2+(Scale_PCA_Mechanics!J6-Scale_PCA_Mechanics!J25)^2)</f>
        <v/>
      </c>
      <c r="D210">
        <f>INDEX(KMeans_6_2!AA2:AA51,A210)</f>
        <v/>
      </c>
      <c r="E210">
        <f>INDEX(KMeans_6_2!AA2:AA51,B210)</f>
        <v/>
      </c>
      <c r="O210">
        <f>IF(OR(AND(D210=1,E210=2),AND(D210=2,E210=1)),C210,"")</f>
        <v/>
      </c>
      <c r="P210">
        <f>IF(OR(AND(D210=1,E210=3),AND(D210=3,E210=1)),C210,"")</f>
        <v/>
      </c>
      <c r="Q210">
        <f>IF(OR(AND(D210=2,E210=3),AND(D210=3,E210=2)),C210,"")</f>
        <v/>
      </c>
    </row>
    <row r="211">
      <c r="A211" t="n">
        <v>5</v>
      </c>
      <c r="B211" t="n">
        <v>25</v>
      </c>
      <c r="C211">
        <f>SQRT((Scale_PCA_Mechanics!G6-Scale_PCA_Mechanics!G26)^2+(Scale_PCA_Mechanics!H6-Scale_PCA_Mechanics!H26)^2+(Scale_PCA_Mechanics!I6-Scale_PCA_Mechanics!I26)^2+(Scale_PCA_Mechanics!J6-Scale_PCA_Mechanics!J26)^2)</f>
        <v/>
      </c>
      <c r="D211">
        <f>INDEX(KMeans_6_2!AA2:AA51,A211)</f>
        <v/>
      </c>
      <c r="E211">
        <f>INDEX(KMeans_6_2!AA2:AA51,B211)</f>
        <v/>
      </c>
      <c r="O211">
        <f>IF(OR(AND(D211=1,E211=2),AND(D211=2,E211=1)),C211,"")</f>
        <v/>
      </c>
      <c r="P211">
        <f>IF(OR(AND(D211=1,E211=3),AND(D211=3,E211=1)),C211,"")</f>
        <v/>
      </c>
      <c r="Q211">
        <f>IF(OR(AND(D211=2,E211=3),AND(D211=3,E211=2)),C211,"")</f>
        <v/>
      </c>
    </row>
    <row r="212">
      <c r="A212" t="n">
        <v>5</v>
      </c>
      <c r="B212" t="n">
        <v>26</v>
      </c>
      <c r="C212">
        <f>SQRT((Scale_PCA_Mechanics!G6-Scale_PCA_Mechanics!G27)^2+(Scale_PCA_Mechanics!H6-Scale_PCA_Mechanics!H27)^2+(Scale_PCA_Mechanics!I6-Scale_PCA_Mechanics!I27)^2+(Scale_PCA_Mechanics!J6-Scale_PCA_Mechanics!J27)^2)</f>
        <v/>
      </c>
      <c r="D212">
        <f>INDEX(KMeans_6_2!AA2:AA51,A212)</f>
        <v/>
      </c>
      <c r="E212">
        <f>INDEX(KMeans_6_2!AA2:AA51,B212)</f>
        <v/>
      </c>
      <c r="O212">
        <f>IF(OR(AND(D212=1,E212=2),AND(D212=2,E212=1)),C212,"")</f>
        <v/>
      </c>
      <c r="P212">
        <f>IF(OR(AND(D212=1,E212=3),AND(D212=3,E212=1)),C212,"")</f>
        <v/>
      </c>
      <c r="Q212">
        <f>IF(OR(AND(D212=2,E212=3),AND(D212=3,E212=2)),C212,"")</f>
        <v/>
      </c>
    </row>
    <row r="213">
      <c r="A213" t="n">
        <v>5</v>
      </c>
      <c r="B213" t="n">
        <v>27</v>
      </c>
      <c r="C213">
        <f>SQRT((Scale_PCA_Mechanics!G6-Scale_PCA_Mechanics!G28)^2+(Scale_PCA_Mechanics!H6-Scale_PCA_Mechanics!H28)^2+(Scale_PCA_Mechanics!I6-Scale_PCA_Mechanics!I28)^2+(Scale_PCA_Mechanics!J6-Scale_PCA_Mechanics!J28)^2)</f>
        <v/>
      </c>
      <c r="D213">
        <f>INDEX(KMeans_6_2!AA2:AA51,A213)</f>
        <v/>
      </c>
      <c r="E213">
        <f>INDEX(KMeans_6_2!AA2:AA51,B213)</f>
        <v/>
      </c>
      <c r="O213">
        <f>IF(OR(AND(D213=1,E213=2),AND(D213=2,E213=1)),C213,"")</f>
        <v/>
      </c>
      <c r="P213">
        <f>IF(OR(AND(D213=1,E213=3),AND(D213=3,E213=1)),C213,"")</f>
        <v/>
      </c>
      <c r="Q213">
        <f>IF(OR(AND(D213=2,E213=3),AND(D213=3,E213=2)),C213,"")</f>
        <v/>
      </c>
    </row>
    <row r="214">
      <c r="A214" t="n">
        <v>5</v>
      </c>
      <c r="B214" t="n">
        <v>28</v>
      </c>
      <c r="C214">
        <f>SQRT((Scale_PCA_Mechanics!G6-Scale_PCA_Mechanics!G29)^2+(Scale_PCA_Mechanics!H6-Scale_PCA_Mechanics!H29)^2+(Scale_PCA_Mechanics!I6-Scale_PCA_Mechanics!I29)^2+(Scale_PCA_Mechanics!J6-Scale_PCA_Mechanics!J29)^2)</f>
        <v/>
      </c>
      <c r="D214">
        <f>INDEX(KMeans_6_2!AA2:AA51,A214)</f>
        <v/>
      </c>
      <c r="E214">
        <f>INDEX(KMeans_6_2!AA2:AA51,B214)</f>
        <v/>
      </c>
      <c r="O214">
        <f>IF(OR(AND(D214=1,E214=2),AND(D214=2,E214=1)),C214,"")</f>
        <v/>
      </c>
      <c r="P214">
        <f>IF(OR(AND(D214=1,E214=3),AND(D214=3,E214=1)),C214,"")</f>
        <v/>
      </c>
      <c r="Q214">
        <f>IF(OR(AND(D214=2,E214=3),AND(D214=3,E214=2)),C214,"")</f>
        <v/>
      </c>
    </row>
    <row r="215">
      <c r="A215" t="n">
        <v>5</v>
      </c>
      <c r="B215" t="n">
        <v>29</v>
      </c>
      <c r="C215">
        <f>SQRT((Scale_PCA_Mechanics!G6-Scale_PCA_Mechanics!G30)^2+(Scale_PCA_Mechanics!H6-Scale_PCA_Mechanics!H30)^2+(Scale_PCA_Mechanics!I6-Scale_PCA_Mechanics!I30)^2+(Scale_PCA_Mechanics!J6-Scale_PCA_Mechanics!J30)^2)</f>
        <v/>
      </c>
      <c r="D215">
        <f>INDEX(KMeans_6_2!AA2:AA51,A215)</f>
        <v/>
      </c>
      <c r="E215">
        <f>INDEX(KMeans_6_2!AA2:AA51,B215)</f>
        <v/>
      </c>
      <c r="O215">
        <f>IF(OR(AND(D215=1,E215=2),AND(D215=2,E215=1)),C215,"")</f>
        <v/>
      </c>
      <c r="P215">
        <f>IF(OR(AND(D215=1,E215=3),AND(D215=3,E215=1)),C215,"")</f>
        <v/>
      </c>
      <c r="Q215">
        <f>IF(OR(AND(D215=2,E215=3),AND(D215=3,E215=2)),C215,"")</f>
        <v/>
      </c>
    </row>
    <row r="216">
      <c r="A216" t="n">
        <v>5</v>
      </c>
      <c r="B216" t="n">
        <v>30</v>
      </c>
      <c r="C216">
        <f>SQRT((Scale_PCA_Mechanics!G6-Scale_PCA_Mechanics!G31)^2+(Scale_PCA_Mechanics!H6-Scale_PCA_Mechanics!H31)^2+(Scale_PCA_Mechanics!I6-Scale_PCA_Mechanics!I31)^2+(Scale_PCA_Mechanics!J6-Scale_PCA_Mechanics!J31)^2)</f>
        <v/>
      </c>
      <c r="D216">
        <f>INDEX(KMeans_6_2!AA2:AA51,A216)</f>
        <v/>
      </c>
      <c r="E216">
        <f>INDEX(KMeans_6_2!AA2:AA51,B216)</f>
        <v/>
      </c>
      <c r="O216">
        <f>IF(OR(AND(D216=1,E216=2),AND(D216=2,E216=1)),C216,"")</f>
        <v/>
      </c>
      <c r="P216">
        <f>IF(OR(AND(D216=1,E216=3),AND(D216=3,E216=1)),C216,"")</f>
        <v/>
      </c>
      <c r="Q216">
        <f>IF(OR(AND(D216=2,E216=3),AND(D216=3,E216=2)),C216,"")</f>
        <v/>
      </c>
    </row>
    <row r="217">
      <c r="A217" t="n">
        <v>5</v>
      </c>
      <c r="B217" t="n">
        <v>31</v>
      </c>
      <c r="C217">
        <f>SQRT((Scale_PCA_Mechanics!G6-Scale_PCA_Mechanics!G32)^2+(Scale_PCA_Mechanics!H6-Scale_PCA_Mechanics!H32)^2+(Scale_PCA_Mechanics!I6-Scale_PCA_Mechanics!I32)^2+(Scale_PCA_Mechanics!J6-Scale_PCA_Mechanics!J32)^2)</f>
        <v/>
      </c>
      <c r="D217">
        <f>INDEX(KMeans_6_2!AA2:AA51,A217)</f>
        <v/>
      </c>
      <c r="E217">
        <f>INDEX(KMeans_6_2!AA2:AA51,B217)</f>
        <v/>
      </c>
      <c r="O217">
        <f>IF(OR(AND(D217=1,E217=2),AND(D217=2,E217=1)),C217,"")</f>
        <v/>
      </c>
      <c r="P217">
        <f>IF(OR(AND(D217=1,E217=3),AND(D217=3,E217=1)),C217,"")</f>
        <v/>
      </c>
      <c r="Q217">
        <f>IF(OR(AND(D217=2,E217=3),AND(D217=3,E217=2)),C217,"")</f>
        <v/>
      </c>
    </row>
    <row r="218">
      <c r="A218" t="n">
        <v>5</v>
      </c>
      <c r="B218" t="n">
        <v>32</v>
      </c>
      <c r="C218">
        <f>SQRT((Scale_PCA_Mechanics!G6-Scale_PCA_Mechanics!G33)^2+(Scale_PCA_Mechanics!H6-Scale_PCA_Mechanics!H33)^2+(Scale_PCA_Mechanics!I6-Scale_PCA_Mechanics!I33)^2+(Scale_PCA_Mechanics!J6-Scale_PCA_Mechanics!J33)^2)</f>
        <v/>
      </c>
      <c r="D218">
        <f>INDEX(KMeans_6_2!AA2:AA51,A218)</f>
        <v/>
      </c>
      <c r="E218">
        <f>INDEX(KMeans_6_2!AA2:AA51,B218)</f>
        <v/>
      </c>
      <c r="O218">
        <f>IF(OR(AND(D218=1,E218=2),AND(D218=2,E218=1)),C218,"")</f>
        <v/>
      </c>
      <c r="P218">
        <f>IF(OR(AND(D218=1,E218=3),AND(D218=3,E218=1)),C218,"")</f>
        <v/>
      </c>
      <c r="Q218">
        <f>IF(OR(AND(D218=2,E218=3),AND(D218=3,E218=2)),C218,"")</f>
        <v/>
      </c>
    </row>
    <row r="219">
      <c r="A219" t="n">
        <v>5</v>
      </c>
      <c r="B219" t="n">
        <v>33</v>
      </c>
      <c r="C219">
        <f>SQRT((Scale_PCA_Mechanics!G6-Scale_PCA_Mechanics!G34)^2+(Scale_PCA_Mechanics!H6-Scale_PCA_Mechanics!H34)^2+(Scale_PCA_Mechanics!I6-Scale_PCA_Mechanics!I34)^2+(Scale_PCA_Mechanics!J6-Scale_PCA_Mechanics!J34)^2)</f>
        <v/>
      </c>
      <c r="D219">
        <f>INDEX(KMeans_6_2!AA2:AA51,A219)</f>
        <v/>
      </c>
      <c r="E219">
        <f>INDEX(KMeans_6_2!AA2:AA51,B219)</f>
        <v/>
      </c>
      <c r="O219">
        <f>IF(OR(AND(D219=1,E219=2),AND(D219=2,E219=1)),C219,"")</f>
        <v/>
      </c>
      <c r="P219">
        <f>IF(OR(AND(D219=1,E219=3),AND(D219=3,E219=1)),C219,"")</f>
        <v/>
      </c>
      <c r="Q219">
        <f>IF(OR(AND(D219=2,E219=3),AND(D219=3,E219=2)),C219,"")</f>
        <v/>
      </c>
    </row>
    <row r="220">
      <c r="A220" t="n">
        <v>5</v>
      </c>
      <c r="B220" t="n">
        <v>34</v>
      </c>
      <c r="C220">
        <f>SQRT((Scale_PCA_Mechanics!G6-Scale_PCA_Mechanics!G35)^2+(Scale_PCA_Mechanics!H6-Scale_PCA_Mechanics!H35)^2+(Scale_PCA_Mechanics!I6-Scale_PCA_Mechanics!I35)^2+(Scale_PCA_Mechanics!J6-Scale_PCA_Mechanics!J35)^2)</f>
        <v/>
      </c>
      <c r="D220">
        <f>INDEX(KMeans_6_2!AA2:AA51,A220)</f>
        <v/>
      </c>
      <c r="E220">
        <f>INDEX(KMeans_6_2!AA2:AA51,B220)</f>
        <v/>
      </c>
      <c r="O220">
        <f>IF(OR(AND(D220=1,E220=2),AND(D220=2,E220=1)),C220,"")</f>
        <v/>
      </c>
      <c r="P220">
        <f>IF(OR(AND(D220=1,E220=3),AND(D220=3,E220=1)),C220,"")</f>
        <v/>
      </c>
      <c r="Q220">
        <f>IF(OR(AND(D220=2,E220=3),AND(D220=3,E220=2)),C220,"")</f>
        <v/>
      </c>
    </row>
    <row r="221">
      <c r="A221" t="n">
        <v>5</v>
      </c>
      <c r="B221" t="n">
        <v>35</v>
      </c>
      <c r="C221">
        <f>SQRT((Scale_PCA_Mechanics!G6-Scale_PCA_Mechanics!G36)^2+(Scale_PCA_Mechanics!H6-Scale_PCA_Mechanics!H36)^2+(Scale_PCA_Mechanics!I6-Scale_PCA_Mechanics!I36)^2+(Scale_PCA_Mechanics!J6-Scale_PCA_Mechanics!J36)^2)</f>
        <v/>
      </c>
      <c r="D221">
        <f>INDEX(KMeans_6_2!AA2:AA51,A221)</f>
        <v/>
      </c>
      <c r="E221">
        <f>INDEX(KMeans_6_2!AA2:AA51,B221)</f>
        <v/>
      </c>
      <c r="O221">
        <f>IF(OR(AND(D221=1,E221=2),AND(D221=2,E221=1)),C221,"")</f>
        <v/>
      </c>
      <c r="P221">
        <f>IF(OR(AND(D221=1,E221=3),AND(D221=3,E221=1)),C221,"")</f>
        <v/>
      </c>
      <c r="Q221">
        <f>IF(OR(AND(D221=2,E221=3),AND(D221=3,E221=2)),C221,"")</f>
        <v/>
      </c>
    </row>
    <row r="222">
      <c r="A222" t="n">
        <v>5</v>
      </c>
      <c r="B222" t="n">
        <v>36</v>
      </c>
      <c r="C222">
        <f>SQRT((Scale_PCA_Mechanics!G6-Scale_PCA_Mechanics!G37)^2+(Scale_PCA_Mechanics!H6-Scale_PCA_Mechanics!H37)^2+(Scale_PCA_Mechanics!I6-Scale_PCA_Mechanics!I37)^2+(Scale_PCA_Mechanics!J6-Scale_PCA_Mechanics!J37)^2)</f>
        <v/>
      </c>
      <c r="D222">
        <f>INDEX(KMeans_6_2!AA2:AA51,A222)</f>
        <v/>
      </c>
      <c r="E222">
        <f>INDEX(KMeans_6_2!AA2:AA51,B222)</f>
        <v/>
      </c>
      <c r="O222">
        <f>IF(OR(AND(D222=1,E222=2),AND(D222=2,E222=1)),C222,"")</f>
        <v/>
      </c>
      <c r="P222">
        <f>IF(OR(AND(D222=1,E222=3),AND(D222=3,E222=1)),C222,"")</f>
        <v/>
      </c>
      <c r="Q222">
        <f>IF(OR(AND(D222=2,E222=3),AND(D222=3,E222=2)),C222,"")</f>
        <v/>
      </c>
    </row>
    <row r="223">
      <c r="A223" t="n">
        <v>5</v>
      </c>
      <c r="B223" t="n">
        <v>37</v>
      </c>
      <c r="C223">
        <f>SQRT((Scale_PCA_Mechanics!G6-Scale_PCA_Mechanics!G38)^2+(Scale_PCA_Mechanics!H6-Scale_PCA_Mechanics!H38)^2+(Scale_PCA_Mechanics!I6-Scale_PCA_Mechanics!I38)^2+(Scale_PCA_Mechanics!J6-Scale_PCA_Mechanics!J38)^2)</f>
        <v/>
      </c>
      <c r="D223">
        <f>INDEX(KMeans_6_2!AA2:AA51,A223)</f>
        <v/>
      </c>
      <c r="E223">
        <f>INDEX(KMeans_6_2!AA2:AA51,B223)</f>
        <v/>
      </c>
      <c r="O223">
        <f>IF(OR(AND(D223=1,E223=2),AND(D223=2,E223=1)),C223,"")</f>
        <v/>
      </c>
      <c r="P223">
        <f>IF(OR(AND(D223=1,E223=3),AND(D223=3,E223=1)),C223,"")</f>
        <v/>
      </c>
      <c r="Q223">
        <f>IF(OR(AND(D223=2,E223=3),AND(D223=3,E223=2)),C223,"")</f>
        <v/>
      </c>
    </row>
    <row r="224">
      <c r="A224" t="n">
        <v>5</v>
      </c>
      <c r="B224" t="n">
        <v>38</v>
      </c>
      <c r="C224">
        <f>SQRT((Scale_PCA_Mechanics!G6-Scale_PCA_Mechanics!G39)^2+(Scale_PCA_Mechanics!H6-Scale_PCA_Mechanics!H39)^2+(Scale_PCA_Mechanics!I6-Scale_PCA_Mechanics!I39)^2+(Scale_PCA_Mechanics!J6-Scale_PCA_Mechanics!J39)^2)</f>
        <v/>
      </c>
      <c r="D224">
        <f>INDEX(KMeans_6_2!AA2:AA51,A224)</f>
        <v/>
      </c>
      <c r="E224">
        <f>INDEX(KMeans_6_2!AA2:AA51,B224)</f>
        <v/>
      </c>
      <c r="O224">
        <f>IF(OR(AND(D224=1,E224=2),AND(D224=2,E224=1)),C224,"")</f>
        <v/>
      </c>
      <c r="P224">
        <f>IF(OR(AND(D224=1,E224=3),AND(D224=3,E224=1)),C224,"")</f>
        <v/>
      </c>
      <c r="Q224">
        <f>IF(OR(AND(D224=2,E224=3),AND(D224=3,E224=2)),C224,"")</f>
        <v/>
      </c>
    </row>
    <row r="225">
      <c r="A225" t="n">
        <v>5</v>
      </c>
      <c r="B225" t="n">
        <v>39</v>
      </c>
      <c r="C225">
        <f>SQRT((Scale_PCA_Mechanics!G6-Scale_PCA_Mechanics!G40)^2+(Scale_PCA_Mechanics!H6-Scale_PCA_Mechanics!H40)^2+(Scale_PCA_Mechanics!I6-Scale_PCA_Mechanics!I40)^2+(Scale_PCA_Mechanics!J6-Scale_PCA_Mechanics!J40)^2)</f>
        <v/>
      </c>
      <c r="D225">
        <f>INDEX(KMeans_6_2!AA2:AA51,A225)</f>
        <v/>
      </c>
      <c r="E225">
        <f>INDEX(KMeans_6_2!AA2:AA51,B225)</f>
        <v/>
      </c>
      <c r="O225">
        <f>IF(OR(AND(D225=1,E225=2),AND(D225=2,E225=1)),C225,"")</f>
        <v/>
      </c>
      <c r="P225">
        <f>IF(OR(AND(D225=1,E225=3),AND(D225=3,E225=1)),C225,"")</f>
        <v/>
      </c>
      <c r="Q225">
        <f>IF(OR(AND(D225=2,E225=3),AND(D225=3,E225=2)),C225,"")</f>
        <v/>
      </c>
    </row>
    <row r="226">
      <c r="A226" t="n">
        <v>5</v>
      </c>
      <c r="B226" t="n">
        <v>40</v>
      </c>
      <c r="C226">
        <f>SQRT((Scale_PCA_Mechanics!G6-Scale_PCA_Mechanics!G41)^2+(Scale_PCA_Mechanics!H6-Scale_PCA_Mechanics!H41)^2+(Scale_PCA_Mechanics!I6-Scale_PCA_Mechanics!I41)^2+(Scale_PCA_Mechanics!J6-Scale_PCA_Mechanics!J41)^2)</f>
        <v/>
      </c>
      <c r="D226">
        <f>INDEX(KMeans_6_2!AA2:AA51,A226)</f>
        <v/>
      </c>
      <c r="E226">
        <f>INDEX(KMeans_6_2!AA2:AA51,B226)</f>
        <v/>
      </c>
      <c r="O226">
        <f>IF(OR(AND(D226=1,E226=2),AND(D226=2,E226=1)),C226,"")</f>
        <v/>
      </c>
      <c r="P226">
        <f>IF(OR(AND(D226=1,E226=3),AND(D226=3,E226=1)),C226,"")</f>
        <v/>
      </c>
      <c r="Q226">
        <f>IF(OR(AND(D226=2,E226=3),AND(D226=3,E226=2)),C226,"")</f>
        <v/>
      </c>
    </row>
    <row r="227">
      <c r="A227" t="n">
        <v>5</v>
      </c>
      <c r="B227" t="n">
        <v>41</v>
      </c>
      <c r="C227">
        <f>SQRT((Scale_PCA_Mechanics!G6-Scale_PCA_Mechanics!G42)^2+(Scale_PCA_Mechanics!H6-Scale_PCA_Mechanics!H42)^2+(Scale_PCA_Mechanics!I6-Scale_PCA_Mechanics!I42)^2+(Scale_PCA_Mechanics!J6-Scale_PCA_Mechanics!J42)^2)</f>
        <v/>
      </c>
      <c r="D227">
        <f>INDEX(KMeans_6_2!AA2:AA51,A227)</f>
        <v/>
      </c>
      <c r="E227">
        <f>INDEX(KMeans_6_2!AA2:AA51,B227)</f>
        <v/>
      </c>
      <c r="O227">
        <f>IF(OR(AND(D227=1,E227=2),AND(D227=2,E227=1)),C227,"")</f>
        <v/>
      </c>
      <c r="P227">
        <f>IF(OR(AND(D227=1,E227=3),AND(D227=3,E227=1)),C227,"")</f>
        <v/>
      </c>
      <c r="Q227">
        <f>IF(OR(AND(D227=2,E227=3),AND(D227=3,E227=2)),C227,"")</f>
        <v/>
      </c>
    </row>
    <row r="228">
      <c r="A228" t="n">
        <v>5</v>
      </c>
      <c r="B228" t="n">
        <v>42</v>
      </c>
      <c r="C228">
        <f>SQRT((Scale_PCA_Mechanics!G6-Scale_PCA_Mechanics!G43)^2+(Scale_PCA_Mechanics!H6-Scale_PCA_Mechanics!H43)^2+(Scale_PCA_Mechanics!I6-Scale_PCA_Mechanics!I43)^2+(Scale_PCA_Mechanics!J6-Scale_PCA_Mechanics!J43)^2)</f>
        <v/>
      </c>
      <c r="D228">
        <f>INDEX(KMeans_6_2!AA2:AA51,A228)</f>
        <v/>
      </c>
      <c r="E228">
        <f>INDEX(KMeans_6_2!AA2:AA51,B228)</f>
        <v/>
      </c>
      <c r="O228">
        <f>IF(OR(AND(D228=1,E228=2),AND(D228=2,E228=1)),C228,"")</f>
        <v/>
      </c>
      <c r="P228">
        <f>IF(OR(AND(D228=1,E228=3),AND(D228=3,E228=1)),C228,"")</f>
        <v/>
      </c>
      <c r="Q228">
        <f>IF(OR(AND(D228=2,E228=3),AND(D228=3,E228=2)),C228,"")</f>
        <v/>
      </c>
    </row>
    <row r="229">
      <c r="A229" t="n">
        <v>5</v>
      </c>
      <c r="B229" t="n">
        <v>43</v>
      </c>
      <c r="C229">
        <f>SQRT((Scale_PCA_Mechanics!G6-Scale_PCA_Mechanics!G44)^2+(Scale_PCA_Mechanics!H6-Scale_PCA_Mechanics!H44)^2+(Scale_PCA_Mechanics!I6-Scale_PCA_Mechanics!I44)^2+(Scale_PCA_Mechanics!J6-Scale_PCA_Mechanics!J44)^2)</f>
        <v/>
      </c>
      <c r="D229">
        <f>INDEX(KMeans_6_2!AA2:AA51,A229)</f>
        <v/>
      </c>
      <c r="E229">
        <f>INDEX(KMeans_6_2!AA2:AA51,B229)</f>
        <v/>
      </c>
      <c r="O229">
        <f>IF(OR(AND(D229=1,E229=2),AND(D229=2,E229=1)),C229,"")</f>
        <v/>
      </c>
      <c r="P229">
        <f>IF(OR(AND(D229=1,E229=3),AND(D229=3,E229=1)),C229,"")</f>
        <v/>
      </c>
      <c r="Q229">
        <f>IF(OR(AND(D229=2,E229=3),AND(D229=3,E229=2)),C229,"")</f>
        <v/>
      </c>
    </row>
    <row r="230">
      <c r="A230" t="n">
        <v>5</v>
      </c>
      <c r="B230" t="n">
        <v>44</v>
      </c>
      <c r="C230">
        <f>SQRT((Scale_PCA_Mechanics!G6-Scale_PCA_Mechanics!G45)^2+(Scale_PCA_Mechanics!H6-Scale_PCA_Mechanics!H45)^2+(Scale_PCA_Mechanics!I6-Scale_PCA_Mechanics!I45)^2+(Scale_PCA_Mechanics!J6-Scale_PCA_Mechanics!J45)^2)</f>
        <v/>
      </c>
      <c r="D230">
        <f>INDEX(KMeans_6_2!AA2:AA51,A230)</f>
        <v/>
      </c>
      <c r="E230">
        <f>INDEX(KMeans_6_2!AA2:AA51,B230)</f>
        <v/>
      </c>
      <c r="O230">
        <f>IF(OR(AND(D230=1,E230=2),AND(D230=2,E230=1)),C230,"")</f>
        <v/>
      </c>
      <c r="P230">
        <f>IF(OR(AND(D230=1,E230=3),AND(D230=3,E230=1)),C230,"")</f>
        <v/>
      </c>
      <c r="Q230">
        <f>IF(OR(AND(D230=2,E230=3),AND(D230=3,E230=2)),C230,"")</f>
        <v/>
      </c>
    </row>
    <row r="231">
      <c r="A231" t="n">
        <v>5</v>
      </c>
      <c r="B231" t="n">
        <v>45</v>
      </c>
      <c r="C231">
        <f>SQRT((Scale_PCA_Mechanics!G6-Scale_PCA_Mechanics!G46)^2+(Scale_PCA_Mechanics!H6-Scale_PCA_Mechanics!H46)^2+(Scale_PCA_Mechanics!I6-Scale_PCA_Mechanics!I46)^2+(Scale_PCA_Mechanics!J6-Scale_PCA_Mechanics!J46)^2)</f>
        <v/>
      </c>
      <c r="D231">
        <f>INDEX(KMeans_6_2!AA2:AA51,A231)</f>
        <v/>
      </c>
      <c r="E231">
        <f>INDEX(KMeans_6_2!AA2:AA51,B231)</f>
        <v/>
      </c>
      <c r="O231">
        <f>IF(OR(AND(D231=1,E231=2),AND(D231=2,E231=1)),C231,"")</f>
        <v/>
      </c>
      <c r="P231">
        <f>IF(OR(AND(D231=1,E231=3),AND(D231=3,E231=1)),C231,"")</f>
        <v/>
      </c>
      <c r="Q231">
        <f>IF(OR(AND(D231=2,E231=3),AND(D231=3,E231=2)),C231,"")</f>
        <v/>
      </c>
    </row>
    <row r="232">
      <c r="A232" t="n">
        <v>5</v>
      </c>
      <c r="B232" t="n">
        <v>46</v>
      </c>
      <c r="C232">
        <f>SQRT((Scale_PCA_Mechanics!G6-Scale_PCA_Mechanics!G47)^2+(Scale_PCA_Mechanics!H6-Scale_PCA_Mechanics!H47)^2+(Scale_PCA_Mechanics!I6-Scale_PCA_Mechanics!I47)^2+(Scale_PCA_Mechanics!J6-Scale_PCA_Mechanics!J47)^2)</f>
        <v/>
      </c>
      <c r="D232">
        <f>INDEX(KMeans_6_2!AA2:AA51,A232)</f>
        <v/>
      </c>
      <c r="E232">
        <f>INDEX(KMeans_6_2!AA2:AA51,B232)</f>
        <v/>
      </c>
      <c r="O232">
        <f>IF(OR(AND(D232=1,E232=2),AND(D232=2,E232=1)),C232,"")</f>
        <v/>
      </c>
      <c r="P232">
        <f>IF(OR(AND(D232=1,E232=3),AND(D232=3,E232=1)),C232,"")</f>
        <v/>
      </c>
      <c r="Q232">
        <f>IF(OR(AND(D232=2,E232=3),AND(D232=3,E232=2)),C232,"")</f>
        <v/>
      </c>
    </row>
    <row r="233">
      <c r="A233" t="n">
        <v>5</v>
      </c>
      <c r="B233" t="n">
        <v>47</v>
      </c>
      <c r="C233">
        <f>SQRT((Scale_PCA_Mechanics!G6-Scale_PCA_Mechanics!G48)^2+(Scale_PCA_Mechanics!H6-Scale_PCA_Mechanics!H48)^2+(Scale_PCA_Mechanics!I6-Scale_PCA_Mechanics!I48)^2+(Scale_PCA_Mechanics!J6-Scale_PCA_Mechanics!J48)^2)</f>
        <v/>
      </c>
      <c r="D233">
        <f>INDEX(KMeans_6_2!AA2:AA51,A233)</f>
        <v/>
      </c>
      <c r="E233">
        <f>INDEX(KMeans_6_2!AA2:AA51,B233)</f>
        <v/>
      </c>
      <c r="O233">
        <f>IF(OR(AND(D233=1,E233=2),AND(D233=2,E233=1)),C233,"")</f>
        <v/>
      </c>
      <c r="P233">
        <f>IF(OR(AND(D233=1,E233=3),AND(D233=3,E233=1)),C233,"")</f>
        <v/>
      </c>
      <c r="Q233">
        <f>IF(OR(AND(D233=2,E233=3),AND(D233=3,E233=2)),C233,"")</f>
        <v/>
      </c>
    </row>
    <row r="234">
      <c r="A234" t="n">
        <v>5</v>
      </c>
      <c r="B234" t="n">
        <v>48</v>
      </c>
      <c r="C234">
        <f>SQRT((Scale_PCA_Mechanics!G6-Scale_PCA_Mechanics!G49)^2+(Scale_PCA_Mechanics!H6-Scale_PCA_Mechanics!H49)^2+(Scale_PCA_Mechanics!I6-Scale_PCA_Mechanics!I49)^2+(Scale_PCA_Mechanics!J6-Scale_PCA_Mechanics!J49)^2)</f>
        <v/>
      </c>
      <c r="D234">
        <f>INDEX(KMeans_6_2!AA2:AA51,A234)</f>
        <v/>
      </c>
      <c r="E234">
        <f>INDEX(KMeans_6_2!AA2:AA51,B234)</f>
        <v/>
      </c>
      <c r="O234">
        <f>IF(OR(AND(D234=1,E234=2),AND(D234=2,E234=1)),C234,"")</f>
        <v/>
      </c>
      <c r="P234">
        <f>IF(OR(AND(D234=1,E234=3),AND(D234=3,E234=1)),C234,"")</f>
        <v/>
      </c>
      <c r="Q234">
        <f>IF(OR(AND(D234=2,E234=3),AND(D234=3,E234=2)),C234,"")</f>
        <v/>
      </c>
    </row>
    <row r="235">
      <c r="A235" t="n">
        <v>5</v>
      </c>
      <c r="B235" t="n">
        <v>49</v>
      </c>
      <c r="C235">
        <f>SQRT((Scale_PCA_Mechanics!G6-Scale_PCA_Mechanics!G50)^2+(Scale_PCA_Mechanics!H6-Scale_PCA_Mechanics!H50)^2+(Scale_PCA_Mechanics!I6-Scale_PCA_Mechanics!I50)^2+(Scale_PCA_Mechanics!J6-Scale_PCA_Mechanics!J50)^2)</f>
        <v/>
      </c>
      <c r="D235">
        <f>INDEX(KMeans_6_2!AA2:AA51,A235)</f>
        <v/>
      </c>
      <c r="E235">
        <f>INDEX(KMeans_6_2!AA2:AA51,B235)</f>
        <v/>
      </c>
      <c r="O235">
        <f>IF(OR(AND(D235=1,E235=2),AND(D235=2,E235=1)),C235,"")</f>
        <v/>
      </c>
      <c r="P235">
        <f>IF(OR(AND(D235=1,E235=3),AND(D235=3,E235=1)),C235,"")</f>
        <v/>
      </c>
      <c r="Q235">
        <f>IF(OR(AND(D235=2,E235=3),AND(D235=3,E235=2)),C235,"")</f>
        <v/>
      </c>
    </row>
    <row r="236">
      <c r="A236" t="n">
        <v>5</v>
      </c>
      <c r="B236" t="n">
        <v>50</v>
      </c>
      <c r="C236">
        <f>SQRT((Scale_PCA_Mechanics!G6-Scale_PCA_Mechanics!G51)^2+(Scale_PCA_Mechanics!H6-Scale_PCA_Mechanics!H51)^2+(Scale_PCA_Mechanics!I6-Scale_PCA_Mechanics!I51)^2+(Scale_PCA_Mechanics!J6-Scale_PCA_Mechanics!J51)^2)</f>
        <v/>
      </c>
      <c r="D236">
        <f>INDEX(KMeans_6_2!AA2:AA51,A236)</f>
        <v/>
      </c>
      <c r="E236">
        <f>INDEX(KMeans_6_2!AA2:AA51,B236)</f>
        <v/>
      </c>
      <c r="O236">
        <f>IF(OR(AND(D236=1,E236=2),AND(D236=2,E236=1)),C236,"")</f>
        <v/>
      </c>
      <c r="P236">
        <f>IF(OR(AND(D236=1,E236=3),AND(D236=3,E236=1)),C236,"")</f>
        <v/>
      </c>
      <c r="Q236">
        <f>IF(OR(AND(D236=2,E236=3),AND(D236=3,E236=2)),C236,"")</f>
        <v/>
      </c>
    </row>
    <row r="237">
      <c r="A237" t="n">
        <v>6</v>
      </c>
      <c r="B237" t="n">
        <v>7</v>
      </c>
      <c r="C237">
        <f>SQRT((Scale_PCA_Mechanics!G7-Scale_PCA_Mechanics!G8)^2+(Scale_PCA_Mechanics!H7-Scale_PCA_Mechanics!H8)^2+(Scale_PCA_Mechanics!I7-Scale_PCA_Mechanics!I8)^2+(Scale_PCA_Mechanics!J7-Scale_PCA_Mechanics!J8)^2)</f>
        <v/>
      </c>
      <c r="D237">
        <f>INDEX(KMeans_6_2!AA2:AA51,A237)</f>
        <v/>
      </c>
      <c r="E237">
        <f>INDEX(KMeans_6_2!AA2:AA51,B237)</f>
        <v/>
      </c>
      <c r="O237">
        <f>IF(OR(AND(D237=1,E237=2),AND(D237=2,E237=1)),C237,"")</f>
        <v/>
      </c>
      <c r="P237">
        <f>IF(OR(AND(D237=1,E237=3),AND(D237=3,E237=1)),C237,"")</f>
        <v/>
      </c>
      <c r="Q237">
        <f>IF(OR(AND(D237=2,E237=3),AND(D237=3,E237=2)),C237,"")</f>
        <v/>
      </c>
    </row>
    <row r="238">
      <c r="A238" t="n">
        <v>6</v>
      </c>
      <c r="B238" t="n">
        <v>8</v>
      </c>
      <c r="C238">
        <f>SQRT((Scale_PCA_Mechanics!G7-Scale_PCA_Mechanics!G9)^2+(Scale_PCA_Mechanics!H7-Scale_PCA_Mechanics!H9)^2+(Scale_PCA_Mechanics!I7-Scale_PCA_Mechanics!I9)^2+(Scale_PCA_Mechanics!J7-Scale_PCA_Mechanics!J9)^2)</f>
        <v/>
      </c>
      <c r="D238">
        <f>INDEX(KMeans_6_2!AA2:AA51,A238)</f>
        <v/>
      </c>
      <c r="E238">
        <f>INDEX(KMeans_6_2!AA2:AA51,B238)</f>
        <v/>
      </c>
      <c r="O238">
        <f>IF(OR(AND(D238=1,E238=2),AND(D238=2,E238=1)),C238,"")</f>
        <v/>
      </c>
      <c r="P238">
        <f>IF(OR(AND(D238=1,E238=3),AND(D238=3,E238=1)),C238,"")</f>
        <v/>
      </c>
      <c r="Q238">
        <f>IF(OR(AND(D238=2,E238=3),AND(D238=3,E238=2)),C238,"")</f>
        <v/>
      </c>
    </row>
    <row r="239">
      <c r="A239" t="n">
        <v>6</v>
      </c>
      <c r="B239" t="n">
        <v>9</v>
      </c>
      <c r="C239">
        <f>SQRT((Scale_PCA_Mechanics!G7-Scale_PCA_Mechanics!G10)^2+(Scale_PCA_Mechanics!H7-Scale_PCA_Mechanics!H10)^2+(Scale_PCA_Mechanics!I7-Scale_PCA_Mechanics!I10)^2+(Scale_PCA_Mechanics!J7-Scale_PCA_Mechanics!J10)^2)</f>
        <v/>
      </c>
      <c r="D239">
        <f>INDEX(KMeans_6_2!AA2:AA51,A239)</f>
        <v/>
      </c>
      <c r="E239">
        <f>INDEX(KMeans_6_2!AA2:AA51,B239)</f>
        <v/>
      </c>
      <c r="O239">
        <f>IF(OR(AND(D239=1,E239=2),AND(D239=2,E239=1)),C239,"")</f>
        <v/>
      </c>
      <c r="P239">
        <f>IF(OR(AND(D239=1,E239=3),AND(D239=3,E239=1)),C239,"")</f>
        <v/>
      </c>
      <c r="Q239">
        <f>IF(OR(AND(D239=2,E239=3),AND(D239=3,E239=2)),C239,"")</f>
        <v/>
      </c>
    </row>
    <row r="240">
      <c r="A240" t="n">
        <v>6</v>
      </c>
      <c r="B240" t="n">
        <v>10</v>
      </c>
      <c r="C240">
        <f>SQRT((Scale_PCA_Mechanics!G7-Scale_PCA_Mechanics!G11)^2+(Scale_PCA_Mechanics!H7-Scale_PCA_Mechanics!H11)^2+(Scale_PCA_Mechanics!I7-Scale_PCA_Mechanics!I11)^2+(Scale_PCA_Mechanics!J7-Scale_PCA_Mechanics!J11)^2)</f>
        <v/>
      </c>
      <c r="D240">
        <f>INDEX(KMeans_6_2!AA2:AA51,A240)</f>
        <v/>
      </c>
      <c r="E240">
        <f>INDEX(KMeans_6_2!AA2:AA51,B240)</f>
        <v/>
      </c>
      <c r="O240">
        <f>IF(OR(AND(D240=1,E240=2),AND(D240=2,E240=1)),C240,"")</f>
        <v/>
      </c>
      <c r="P240">
        <f>IF(OR(AND(D240=1,E240=3),AND(D240=3,E240=1)),C240,"")</f>
        <v/>
      </c>
      <c r="Q240">
        <f>IF(OR(AND(D240=2,E240=3),AND(D240=3,E240=2)),C240,"")</f>
        <v/>
      </c>
    </row>
    <row r="241">
      <c r="A241" t="n">
        <v>6</v>
      </c>
      <c r="B241" t="n">
        <v>11</v>
      </c>
      <c r="C241">
        <f>SQRT((Scale_PCA_Mechanics!G7-Scale_PCA_Mechanics!G12)^2+(Scale_PCA_Mechanics!H7-Scale_PCA_Mechanics!H12)^2+(Scale_PCA_Mechanics!I7-Scale_PCA_Mechanics!I12)^2+(Scale_PCA_Mechanics!J7-Scale_PCA_Mechanics!J12)^2)</f>
        <v/>
      </c>
      <c r="D241">
        <f>INDEX(KMeans_6_2!AA2:AA51,A241)</f>
        <v/>
      </c>
      <c r="E241">
        <f>INDEX(KMeans_6_2!AA2:AA51,B241)</f>
        <v/>
      </c>
      <c r="O241">
        <f>IF(OR(AND(D241=1,E241=2),AND(D241=2,E241=1)),C241,"")</f>
        <v/>
      </c>
      <c r="P241">
        <f>IF(OR(AND(D241=1,E241=3),AND(D241=3,E241=1)),C241,"")</f>
        <v/>
      </c>
      <c r="Q241">
        <f>IF(OR(AND(D241=2,E241=3),AND(D241=3,E241=2)),C241,"")</f>
        <v/>
      </c>
    </row>
    <row r="242">
      <c r="A242" t="n">
        <v>6</v>
      </c>
      <c r="B242" t="n">
        <v>12</v>
      </c>
      <c r="C242">
        <f>SQRT((Scale_PCA_Mechanics!G7-Scale_PCA_Mechanics!G13)^2+(Scale_PCA_Mechanics!H7-Scale_PCA_Mechanics!H13)^2+(Scale_PCA_Mechanics!I7-Scale_PCA_Mechanics!I13)^2+(Scale_PCA_Mechanics!J7-Scale_PCA_Mechanics!J13)^2)</f>
        <v/>
      </c>
      <c r="D242">
        <f>INDEX(KMeans_6_2!AA2:AA51,A242)</f>
        <v/>
      </c>
      <c r="E242">
        <f>INDEX(KMeans_6_2!AA2:AA51,B242)</f>
        <v/>
      </c>
      <c r="O242">
        <f>IF(OR(AND(D242=1,E242=2),AND(D242=2,E242=1)),C242,"")</f>
        <v/>
      </c>
      <c r="P242">
        <f>IF(OR(AND(D242=1,E242=3),AND(D242=3,E242=1)),C242,"")</f>
        <v/>
      </c>
      <c r="Q242">
        <f>IF(OR(AND(D242=2,E242=3),AND(D242=3,E242=2)),C242,"")</f>
        <v/>
      </c>
    </row>
    <row r="243">
      <c r="A243" t="n">
        <v>6</v>
      </c>
      <c r="B243" t="n">
        <v>13</v>
      </c>
      <c r="C243">
        <f>SQRT((Scale_PCA_Mechanics!G7-Scale_PCA_Mechanics!G14)^2+(Scale_PCA_Mechanics!H7-Scale_PCA_Mechanics!H14)^2+(Scale_PCA_Mechanics!I7-Scale_PCA_Mechanics!I14)^2+(Scale_PCA_Mechanics!J7-Scale_PCA_Mechanics!J14)^2)</f>
        <v/>
      </c>
      <c r="D243">
        <f>INDEX(KMeans_6_2!AA2:AA51,A243)</f>
        <v/>
      </c>
      <c r="E243">
        <f>INDEX(KMeans_6_2!AA2:AA51,B243)</f>
        <v/>
      </c>
      <c r="O243">
        <f>IF(OR(AND(D243=1,E243=2),AND(D243=2,E243=1)),C243,"")</f>
        <v/>
      </c>
      <c r="P243">
        <f>IF(OR(AND(D243=1,E243=3),AND(D243=3,E243=1)),C243,"")</f>
        <v/>
      </c>
      <c r="Q243">
        <f>IF(OR(AND(D243=2,E243=3),AND(D243=3,E243=2)),C243,"")</f>
        <v/>
      </c>
    </row>
    <row r="244">
      <c r="A244" t="n">
        <v>6</v>
      </c>
      <c r="B244" t="n">
        <v>14</v>
      </c>
      <c r="C244">
        <f>SQRT((Scale_PCA_Mechanics!G7-Scale_PCA_Mechanics!G15)^2+(Scale_PCA_Mechanics!H7-Scale_PCA_Mechanics!H15)^2+(Scale_PCA_Mechanics!I7-Scale_PCA_Mechanics!I15)^2+(Scale_PCA_Mechanics!J7-Scale_PCA_Mechanics!J15)^2)</f>
        <v/>
      </c>
      <c r="D244">
        <f>INDEX(KMeans_6_2!AA2:AA51,A244)</f>
        <v/>
      </c>
      <c r="E244">
        <f>INDEX(KMeans_6_2!AA2:AA51,B244)</f>
        <v/>
      </c>
      <c r="O244">
        <f>IF(OR(AND(D244=1,E244=2),AND(D244=2,E244=1)),C244,"")</f>
        <v/>
      </c>
      <c r="P244">
        <f>IF(OR(AND(D244=1,E244=3),AND(D244=3,E244=1)),C244,"")</f>
        <v/>
      </c>
      <c r="Q244">
        <f>IF(OR(AND(D244=2,E244=3),AND(D244=3,E244=2)),C244,"")</f>
        <v/>
      </c>
    </row>
    <row r="245">
      <c r="A245" t="n">
        <v>6</v>
      </c>
      <c r="B245" t="n">
        <v>15</v>
      </c>
      <c r="C245">
        <f>SQRT((Scale_PCA_Mechanics!G7-Scale_PCA_Mechanics!G16)^2+(Scale_PCA_Mechanics!H7-Scale_PCA_Mechanics!H16)^2+(Scale_PCA_Mechanics!I7-Scale_PCA_Mechanics!I16)^2+(Scale_PCA_Mechanics!J7-Scale_PCA_Mechanics!J16)^2)</f>
        <v/>
      </c>
      <c r="D245">
        <f>INDEX(KMeans_6_2!AA2:AA51,A245)</f>
        <v/>
      </c>
      <c r="E245">
        <f>INDEX(KMeans_6_2!AA2:AA51,B245)</f>
        <v/>
      </c>
      <c r="O245">
        <f>IF(OR(AND(D245=1,E245=2),AND(D245=2,E245=1)),C245,"")</f>
        <v/>
      </c>
      <c r="P245">
        <f>IF(OR(AND(D245=1,E245=3),AND(D245=3,E245=1)),C245,"")</f>
        <v/>
      </c>
      <c r="Q245">
        <f>IF(OR(AND(D245=2,E245=3),AND(D245=3,E245=2)),C245,"")</f>
        <v/>
      </c>
    </row>
    <row r="246">
      <c r="A246" t="n">
        <v>6</v>
      </c>
      <c r="B246" t="n">
        <v>16</v>
      </c>
      <c r="C246">
        <f>SQRT((Scale_PCA_Mechanics!G7-Scale_PCA_Mechanics!G17)^2+(Scale_PCA_Mechanics!H7-Scale_PCA_Mechanics!H17)^2+(Scale_PCA_Mechanics!I7-Scale_PCA_Mechanics!I17)^2+(Scale_PCA_Mechanics!J7-Scale_PCA_Mechanics!J17)^2)</f>
        <v/>
      </c>
      <c r="D246">
        <f>INDEX(KMeans_6_2!AA2:AA51,A246)</f>
        <v/>
      </c>
      <c r="E246">
        <f>INDEX(KMeans_6_2!AA2:AA51,B246)</f>
        <v/>
      </c>
      <c r="O246">
        <f>IF(OR(AND(D246=1,E246=2),AND(D246=2,E246=1)),C246,"")</f>
        <v/>
      </c>
      <c r="P246">
        <f>IF(OR(AND(D246=1,E246=3),AND(D246=3,E246=1)),C246,"")</f>
        <v/>
      </c>
      <c r="Q246">
        <f>IF(OR(AND(D246=2,E246=3),AND(D246=3,E246=2)),C246,"")</f>
        <v/>
      </c>
    </row>
    <row r="247">
      <c r="A247" t="n">
        <v>6</v>
      </c>
      <c r="B247" t="n">
        <v>17</v>
      </c>
      <c r="C247">
        <f>SQRT((Scale_PCA_Mechanics!G7-Scale_PCA_Mechanics!G18)^2+(Scale_PCA_Mechanics!H7-Scale_PCA_Mechanics!H18)^2+(Scale_PCA_Mechanics!I7-Scale_PCA_Mechanics!I18)^2+(Scale_PCA_Mechanics!J7-Scale_PCA_Mechanics!J18)^2)</f>
        <v/>
      </c>
      <c r="D247">
        <f>INDEX(KMeans_6_2!AA2:AA51,A247)</f>
        <v/>
      </c>
      <c r="E247">
        <f>INDEX(KMeans_6_2!AA2:AA51,B247)</f>
        <v/>
      </c>
      <c r="O247">
        <f>IF(OR(AND(D247=1,E247=2),AND(D247=2,E247=1)),C247,"")</f>
        <v/>
      </c>
      <c r="P247">
        <f>IF(OR(AND(D247=1,E247=3),AND(D247=3,E247=1)),C247,"")</f>
        <v/>
      </c>
      <c r="Q247">
        <f>IF(OR(AND(D247=2,E247=3),AND(D247=3,E247=2)),C247,"")</f>
        <v/>
      </c>
    </row>
    <row r="248">
      <c r="A248" t="n">
        <v>6</v>
      </c>
      <c r="B248" t="n">
        <v>18</v>
      </c>
      <c r="C248">
        <f>SQRT((Scale_PCA_Mechanics!G7-Scale_PCA_Mechanics!G19)^2+(Scale_PCA_Mechanics!H7-Scale_PCA_Mechanics!H19)^2+(Scale_PCA_Mechanics!I7-Scale_PCA_Mechanics!I19)^2+(Scale_PCA_Mechanics!J7-Scale_PCA_Mechanics!J19)^2)</f>
        <v/>
      </c>
      <c r="D248">
        <f>INDEX(KMeans_6_2!AA2:AA51,A248)</f>
        <v/>
      </c>
      <c r="E248">
        <f>INDEX(KMeans_6_2!AA2:AA51,B248)</f>
        <v/>
      </c>
      <c r="O248">
        <f>IF(OR(AND(D248=1,E248=2),AND(D248=2,E248=1)),C248,"")</f>
        <v/>
      </c>
      <c r="P248">
        <f>IF(OR(AND(D248=1,E248=3),AND(D248=3,E248=1)),C248,"")</f>
        <v/>
      </c>
      <c r="Q248">
        <f>IF(OR(AND(D248=2,E248=3),AND(D248=3,E248=2)),C248,"")</f>
        <v/>
      </c>
    </row>
    <row r="249">
      <c r="A249" t="n">
        <v>6</v>
      </c>
      <c r="B249" t="n">
        <v>19</v>
      </c>
      <c r="C249">
        <f>SQRT((Scale_PCA_Mechanics!G7-Scale_PCA_Mechanics!G20)^2+(Scale_PCA_Mechanics!H7-Scale_PCA_Mechanics!H20)^2+(Scale_PCA_Mechanics!I7-Scale_PCA_Mechanics!I20)^2+(Scale_PCA_Mechanics!J7-Scale_PCA_Mechanics!J20)^2)</f>
        <v/>
      </c>
      <c r="D249">
        <f>INDEX(KMeans_6_2!AA2:AA51,A249)</f>
        <v/>
      </c>
      <c r="E249">
        <f>INDEX(KMeans_6_2!AA2:AA51,B249)</f>
        <v/>
      </c>
      <c r="O249">
        <f>IF(OR(AND(D249=1,E249=2),AND(D249=2,E249=1)),C249,"")</f>
        <v/>
      </c>
      <c r="P249">
        <f>IF(OR(AND(D249=1,E249=3),AND(D249=3,E249=1)),C249,"")</f>
        <v/>
      </c>
      <c r="Q249">
        <f>IF(OR(AND(D249=2,E249=3),AND(D249=3,E249=2)),C249,"")</f>
        <v/>
      </c>
    </row>
    <row r="250">
      <c r="A250" t="n">
        <v>6</v>
      </c>
      <c r="B250" t="n">
        <v>20</v>
      </c>
      <c r="C250">
        <f>SQRT((Scale_PCA_Mechanics!G7-Scale_PCA_Mechanics!G21)^2+(Scale_PCA_Mechanics!H7-Scale_PCA_Mechanics!H21)^2+(Scale_PCA_Mechanics!I7-Scale_PCA_Mechanics!I21)^2+(Scale_PCA_Mechanics!J7-Scale_PCA_Mechanics!J21)^2)</f>
        <v/>
      </c>
      <c r="D250">
        <f>INDEX(KMeans_6_2!AA2:AA51,A250)</f>
        <v/>
      </c>
      <c r="E250">
        <f>INDEX(KMeans_6_2!AA2:AA51,B250)</f>
        <v/>
      </c>
      <c r="O250">
        <f>IF(OR(AND(D250=1,E250=2),AND(D250=2,E250=1)),C250,"")</f>
        <v/>
      </c>
      <c r="P250">
        <f>IF(OR(AND(D250=1,E250=3),AND(D250=3,E250=1)),C250,"")</f>
        <v/>
      </c>
      <c r="Q250">
        <f>IF(OR(AND(D250=2,E250=3),AND(D250=3,E250=2)),C250,"")</f>
        <v/>
      </c>
    </row>
    <row r="251">
      <c r="A251" t="n">
        <v>6</v>
      </c>
      <c r="B251" t="n">
        <v>21</v>
      </c>
      <c r="C251">
        <f>SQRT((Scale_PCA_Mechanics!G7-Scale_PCA_Mechanics!G22)^2+(Scale_PCA_Mechanics!H7-Scale_PCA_Mechanics!H22)^2+(Scale_PCA_Mechanics!I7-Scale_PCA_Mechanics!I22)^2+(Scale_PCA_Mechanics!J7-Scale_PCA_Mechanics!J22)^2)</f>
        <v/>
      </c>
      <c r="D251">
        <f>INDEX(KMeans_6_2!AA2:AA51,A251)</f>
        <v/>
      </c>
      <c r="E251">
        <f>INDEX(KMeans_6_2!AA2:AA51,B251)</f>
        <v/>
      </c>
      <c r="O251">
        <f>IF(OR(AND(D251=1,E251=2),AND(D251=2,E251=1)),C251,"")</f>
        <v/>
      </c>
      <c r="P251">
        <f>IF(OR(AND(D251=1,E251=3),AND(D251=3,E251=1)),C251,"")</f>
        <v/>
      </c>
      <c r="Q251">
        <f>IF(OR(AND(D251=2,E251=3),AND(D251=3,E251=2)),C251,"")</f>
        <v/>
      </c>
    </row>
    <row r="252">
      <c r="A252" t="n">
        <v>6</v>
      </c>
      <c r="B252" t="n">
        <v>22</v>
      </c>
      <c r="C252">
        <f>SQRT((Scale_PCA_Mechanics!G7-Scale_PCA_Mechanics!G23)^2+(Scale_PCA_Mechanics!H7-Scale_PCA_Mechanics!H23)^2+(Scale_PCA_Mechanics!I7-Scale_PCA_Mechanics!I23)^2+(Scale_PCA_Mechanics!J7-Scale_PCA_Mechanics!J23)^2)</f>
        <v/>
      </c>
      <c r="D252">
        <f>INDEX(KMeans_6_2!AA2:AA51,A252)</f>
        <v/>
      </c>
      <c r="E252">
        <f>INDEX(KMeans_6_2!AA2:AA51,B252)</f>
        <v/>
      </c>
      <c r="O252">
        <f>IF(OR(AND(D252=1,E252=2),AND(D252=2,E252=1)),C252,"")</f>
        <v/>
      </c>
      <c r="P252">
        <f>IF(OR(AND(D252=1,E252=3),AND(D252=3,E252=1)),C252,"")</f>
        <v/>
      </c>
      <c r="Q252">
        <f>IF(OR(AND(D252=2,E252=3),AND(D252=3,E252=2)),C252,"")</f>
        <v/>
      </c>
    </row>
    <row r="253">
      <c r="A253" t="n">
        <v>6</v>
      </c>
      <c r="B253" t="n">
        <v>23</v>
      </c>
      <c r="C253">
        <f>SQRT((Scale_PCA_Mechanics!G7-Scale_PCA_Mechanics!G24)^2+(Scale_PCA_Mechanics!H7-Scale_PCA_Mechanics!H24)^2+(Scale_PCA_Mechanics!I7-Scale_PCA_Mechanics!I24)^2+(Scale_PCA_Mechanics!J7-Scale_PCA_Mechanics!J24)^2)</f>
        <v/>
      </c>
      <c r="D253">
        <f>INDEX(KMeans_6_2!AA2:AA51,A253)</f>
        <v/>
      </c>
      <c r="E253">
        <f>INDEX(KMeans_6_2!AA2:AA51,B253)</f>
        <v/>
      </c>
      <c r="O253">
        <f>IF(OR(AND(D253=1,E253=2),AND(D253=2,E253=1)),C253,"")</f>
        <v/>
      </c>
      <c r="P253">
        <f>IF(OR(AND(D253=1,E253=3),AND(D253=3,E253=1)),C253,"")</f>
        <v/>
      </c>
      <c r="Q253">
        <f>IF(OR(AND(D253=2,E253=3),AND(D253=3,E253=2)),C253,"")</f>
        <v/>
      </c>
    </row>
    <row r="254">
      <c r="A254" t="n">
        <v>6</v>
      </c>
      <c r="B254" t="n">
        <v>24</v>
      </c>
      <c r="C254">
        <f>SQRT((Scale_PCA_Mechanics!G7-Scale_PCA_Mechanics!G25)^2+(Scale_PCA_Mechanics!H7-Scale_PCA_Mechanics!H25)^2+(Scale_PCA_Mechanics!I7-Scale_PCA_Mechanics!I25)^2+(Scale_PCA_Mechanics!J7-Scale_PCA_Mechanics!J25)^2)</f>
        <v/>
      </c>
      <c r="D254">
        <f>INDEX(KMeans_6_2!AA2:AA51,A254)</f>
        <v/>
      </c>
      <c r="E254">
        <f>INDEX(KMeans_6_2!AA2:AA51,B254)</f>
        <v/>
      </c>
      <c r="O254">
        <f>IF(OR(AND(D254=1,E254=2),AND(D254=2,E254=1)),C254,"")</f>
        <v/>
      </c>
      <c r="P254">
        <f>IF(OR(AND(D254=1,E254=3),AND(D254=3,E254=1)),C254,"")</f>
        <v/>
      </c>
      <c r="Q254">
        <f>IF(OR(AND(D254=2,E254=3),AND(D254=3,E254=2)),C254,"")</f>
        <v/>
      </c>
    </row>
    <row r="255">
      <c r="A255" t="n">
        <v>6</v>
      </c>
      <c r="B255" t="n">
        <v>25</v>
      </c>
      <c r="C255">
        <f>SQRT((Scale_PCA_Mechanics!G7-Scale_PCA_Mechanics!G26)^2+(Scale_PCA_Mechanics!H7-Scale_PCA_Mechanics!H26)^2+(Scale_PCA_Mechanics!I7-Scale_PCA_Mechanics!I26)^2+(Scale_PCA_Mechanics!J7-Scale_PCA_Mechanics!J26)^2)</f>
        <v/>
      </c>
      <c r="D255">
        <f>INDEX(KMeans_6_2!AA2:AA51,A255)</f>
        <v/>
      </c>
      <c r="E255">
        <f>INDEX(KMeans_6_2!AA2:AA51,B255)</f>
        <v/>
      </c>
      <c r="O255">
        <f>IF(OR(AND(D255=1,E255=2),AND(D255=2,E255=1)),C255,"")</f>
        <v/>
      </c>
      <c r="P255">
        <f>IF(OR(AND(D255=1,E255=3),AND(D255=3,E255=1)),C255,"")</f>
        <v/>
      </c>
      <c r="Q255">
        <f>IF(OR(AND(D255=2,E255=3),AND(D255=3,E255=2)),C255,"")</f>
        <v/>
      </c>
    </row>
    <row r="256">
      <c r="A256" t="n">
        <v>6</v>
      </c>
      <c r="B256" t="n">
        <v>26</v>
      </c>
      <c r="C256">
        <f>SQRT((Scale_PCA_Mechanics!G7-Scale_PCA_Mechanics!G27)^2+(Scale_PCA_Mechanics!H7-Scale_PCA_Mechanics!H27)^2+(Scale_PCA_Mechanics!I7-Scale_PCA_Mechanics!I27)^2+(Scale_PCA_Mechanics!J7-Scale_PCA_Mechanics!J27)^2)</f>
        <v/>
      </c>
      <c r="D256">
        <f>INDEX(KMeans_6_2!AA2:AA51,A256)</f>
        <v/>
      </c>
      <c r="E256">
        <f>INDEX(KMeans_6_2!AA2:AA51,B256)</f>
        <v/>
      </c>
      <c r="O256">
        <f>IF(OR(AND(D256=1,E256=2),AND(D256=2,E256=1)),C256,"")</f>
        <v/>
      </c>
      <c r="P256">
        <f>IF(OR(AND(D256=1,E256=3),AND(D256=3,E256=1)),C256,"")</f>
        <v/>
      </c>
      <c r="Q256">
        <f>IF(OR(AND(D256=2,E256=3),AND(D256=3,E256=2)),C256,"")</f>
        <v/>
      </c>
    </row>
    <row r="257">
      <c r="A257" t="n">
        <v>6</v>
      </c>
      <c r="B257" t="n">
        <v>27</v>
      </c>
      <c r="C257">
        <f>SQRT((Scale_PCA_Mechanics!G7-Scale_PCA_Mechanics!G28)^2+(Scale_PCA_Mechanics!H7-Scale_PCA_Mechanics!H28)^2+(Scale_PCA_Mechanics!I7-Scale_PCA_Mechanics!I28)^2+(Scale_PCA_Mechanics!J7-Scale_PCA_Mechanics!J28)^2)</f>
        <v/>
      </c>
      <c r="D257">
        <f>INDEX(KMeans_6_2!AA2:AA51,A257)</f>
        <v/>
      </c>
      <c r="E257">
        <f>INDEX(KMeans_6_2!AA2:AA51,B257)</f>
        <v/>
      </c>
      <c r="O257">
        <f>IF(OR(AND(D257=1,E257=2),AND(D257=2,E257=1)),C257,"")</f>
        <v/>
      </c>
      <c r="P257">
        <f>IF(OR(AND(D257=1,E257=3),AND(D257=3,E257=1)),C257,"")</f>
        <v/>
      </c>
      <c r="Q257">
        <f>IF(OR(AND(D257=2,E257=3),AND(D257=3,E257=2)),C257,"")</f>
        <v/>
      </c>
    </row>
    <row r="258">
      <c r="A258" t="n">
        <v>6</v>
      </c>
      <c r="B258" t="n">
        <v>28</v>
      </c>
      <c r="C258">
        <f>SQRT((Scale_PCA_Mechanics!G7-Scale_PCA_Mechanics!G29)^2+(Scale_PCA_Mechanics!H7-Scale_PCA_Mechanics!H29)^2+(Scale_PCA_Mechanics!I7-Scale_PCA_Mechanics!I29)^2+(Scale_PCA_Mechanics!J7-Scale_PCA_Mechanics!J29)^2)</f>
        <v/>
      </c>
      <c r="D258">
        <f>INDEX(KMeans_6_2!AA2:AA51,A258)</f>
        <v/>
      </c>
      <c r="E258">
        <f>INDEX(KMeans_6_2!AA2:AA51,B258)</f>
        <v/>
      </c>
      <c r="O258">
        <f>IF(OR(AND(D258=1,E258=2),AND(D258=2,E258=1)),C258,"")</f>
        <v/>
      </c>
      <c r="P258">
        <f>IF(OR(AND(D258=1,E258=3),AND(D258=3,E258=1)),C258,"")</f>
        <v/>
      </c>
      <c r="Q258">
        <f>IF(OR(AND(D258=2,E258=3),AND(D258=3,E258=2)),C258,"")</f>
        <v/>
      </c>
    </row>
    <row r="259">
      <c r="A259" t="n">
        <v>6</v>
      </c>
      <c r="B259" t="n">
        <v>29</v>
      </c>
      <c r="C259">
        <f>SQRT((Scale_PCA_Mechanics!G7-Scale_PCA_Mechanics!G30)^2+(Scale_PCA_Mechanics!H7-Scale_PCA_Mechanics!H30)^2+(Scale_PCA_Mechanics!I7-Scale_PCA_Mechanics!I30)^2+(Scale_PCA_Mechanics!J7-Scale_PCA_Mechanics!J30)^2)</f>
        <v/>
      </c>
      <c r="D259">
        <f>INDEX(KMeans_6_2!AA2:AA51,A259)</f>
        <v/>
      </c>
      <c r="E259">
        <f>INDEX(KMeans_6_2!AA2:AA51,B259)</f>
        <v/>
      </c>
      <c r="O259">
        <f>IF(OR(AND(D259=1,E259=2),AND(D259=2,E259=1)),C259,"")</f>
        <v/>
      </c>
      <c r="P259">
        <f>IF(OR(AND(D259=1,E259=3),AND(D259=3,E259=1)),C259,"")</f>
        <v/>
      </c>
      <c r="Q259">
        <f>IF(OR(AND(D259=2,E259=3),AND(D259=3,E259=2)),C259,"")</f>
        <v/>
      </c>
    </row>
    <row r="260">
      <c r="A260" t="n">
        <v>6</v>
      </c>
      <c r="B260" t="n">
        <v>30</v>
      </c>
      <c r="C260">
        <f>SQRT((Scale_PCA_Mechanics!G7-Scale_PCA_Mechanics!G31)^2+(Scale_PCA_Mechanics!H7-Scale_PCA_Mechanics!H31)^2+(Scale_PCA_Mechanics!I7-Scale_PCA_Mechanics!I31)^2+(Scale_PCA_Mechanics!J7-Scale_PCA_Mechanics!J31)^2)</f>
        <v/>
      </c>
      <c r="D260">
        <f>INDEX(KMeans_6_2!AA2:AA51,A260)</f>
        <v/>
      </c>
      <c r="E260">
        <f>INDEX(KMeans_6_2!AA2:AA51,B260)</f>
        <v/>
      </c>
      <c r="O260">
        <f>IF(OR(AND(D260=1,E260=2),AND(D260=2,E260=1)),C260,"")</f>
        <v/>
      </c>
      <c r="P260">
        <f>IF(OR(AND(D260=1,E260=3),AND(D260=3,E260=1)),C260,"")</f>
        <v/>
      </c>
      <c r="Q260">
        <f>IF(OR(AND(D260=2,E260=3),AND(D260=3,E260=2)),C260,"")</f>
        <v/>
      </c>
    </row>
    <row r="261">
      <c r="A261" t="n">
        <v>6</v>
      </c>
      <c r="B261" t="n">
        <v>31</v>
      </c>
      <c r="C261">
        <f>SQRT((Scale_PCA_Mechanics!G7-Scale_PCA_Mechanics!G32)^2+(Scale_PCA_Mechanics!H7-Scale_PCA_Mechanics!H32)^2+(Scale_PCA_Mechanics!I7-Scale_PCA_Mechanics!I32)^2+(Scale_PCA_Mechanics!J7-Scale_PCA_Mechanics!J32)^2)</f>
        <v/>
      </c>
      <c r="D261">
        <f>INDEX(KMeans_6_2!AA2:AA51,A261)</f>
        <v/>
      </c>
      <c r="E261">
        <f>INDEX(KMeans_6_2!AA2:AA51,B261)</f>
        <v/>
      </c>
      <c r="O261">
        <f>IF(OR(AND(D261=1,E261=2),AND(D261=2,E261=1)),C261,"")</f>
        <v/>
      </c>
      <c r="P261">
        <f>IF(OR(AND(D261=1,E261=3),AND(D261=3,E261=1)),C261,"")</f>
        <v/>
      </c>
      <c r="Q261">
        <f>IF(OR(AND(D261=2,E261=3),AND(D261=3,E261=2)),C261,"")</f>
        <v/>
      </c>
    </row>
    <row r="262">
      <c r="A262" t="n">
        <v>6</v>
      </c>
      <c r="B262" t="n">
        <v>32</v>
      </c>
      <c r="C262">
        <f>SQRT((Scale_PCA_Mechanics!G7-Scale_PCA_Mechanics!G33)^2+(Scale_PCA_Mechanics!H7-Scale_PCA_Mechanics!H33)^2+(Scale_PCA_Mechanics!I7-Scale_PCA_Mechanics!I33)^2+(Scale_PCA_Mechanics!J7-Scale_PCA_Mechanics!J33)^2)</f>
        <v/>
      </c>
      <c r="D262">
        <f>INDEX(KMeans_6_2!AA2:AA51,A262)</f>
        <v/>
      </c>
      <c r="E262">
        <f>INDEX(KMeans_6_2!AA2:AA51,B262)</f>
        <v/>
      </c>
      <c r="O262">
        <f>IF(OR(AND(D262=1,E262=2),AND(D262=2,E262=1)),C262,"")</f>
        <v/>
      </c>
      <c r="P262">
        <f>IF(OR(AND(D262=1,E262=3),AND(D262=3,E262=1)),C262,"")</f>
        <v/>
      </c>
      <c r="Q262">
        <f>IF(OR(AND(D262=2,E262=3),AND(D262=3,E262=2)),C262,"")</f>
        <v/>
      </c>
    </row>
    <row r="263">
      <c r="A263" t="n">
        <v>6</v>
      </c>
      <c r="B263" t="n">
        <v>33</v>
      </c>
      <c r="C263">
        <f>SQRT((Scale_PCA_Mechanics!G7-Scale_PCA_Mechanics!G34)^2+(Scale_PCA_Mechanics!H7-Scale_PCA_Mechanics!H34)^2+(Scale_PCA_Mechanics!I7-Scale_PCA_Mechanics!I34)^2+(Scale_PCA_Mechanics!J7-Scale_PCA_Mechanics!J34)^2)</f>
        <v/>
      </c>
      <c r="D263">
        <f>INDEX(KMeans_6_2!AA2:AA51,A263)</f>
        <v/>
      </c>
      <c r="E263">
        <f>INDEX(KMeans_6_2!AA2:AA51,B263)</f>
        <v/>
      </c>
      <c r="O263">
        <f>IF(OR(AND(D263=1,E263=2),AND(D263=2,E263=1)),C263,"")</f>
        <v/>
      </c>
      <c r="P263">
        <f>IF(OR(AND(D263=1,E263=3),AND(D263=3,E263=1)),C263,"")</f>
        <v/>
      </c>
      <c r="Q263">
        <f>IF(OR(AND(D263=2,E263=3),AND(D263=3,E263=2)),C263,"")</f>
        <v/>
      </c>
    </row>
    <row r="264">
      <c r="A264" t="n">
        <v>6</v>
      </c>
      <c r="B264" t="n">
        <v>34</v>
      </c>
      <c r="C264">
        <f>SQRT((Scale_PCA_Mechanics!G7-Scale_PCA_Mechanics!G35)^2+(Scale_PCA_Mechanics!H7-Scale_PCA_Mechanics!H35)^2+(Scale_PCA_Mechanics!I7-Scale_PCA_Mechanics!I35)^2+(Scale_PCA_Mechanics!J7-Scale_PCA_Mechanics!J35)^2)</f>
        <v/>
      </c>
      <c r="D264">
        <f>INDEX(KMeans_6_2!AA2:AA51,A264)</f>
        <v/>
      </c>
      <c r="E264">
        <f>INDEX(KMeans_6_2!AA2:AA51,B264)</f>
        <v/>
      </c>
      <c r="O264">
        <f>IF(OR(AND(D264=1,E264=2),AND(D264=2,E264=1)),C264,"")</f>
        <v/>
      </c>
      <c r="P264">
        <f>IF(OR(AND(D264=1,E264=3),AND(D264=3,E264=1)),C264,"")</f>
        <v/>
      </c>
      <c r="Q264">
        <f>IF(OR(AND(D264=2,E264=3),AND(D264=3,E264=2)),C264,"")</f>
        <v/>
      </c>
    </row>
    <row r="265">
      <c r="A265" t="n">
        <v>6</v>
      </c>
      <c r="B265" t="n">
        <v>35</v>
      </c>
      <c r="C265">
        <f>SQRT((Scale_PCA_Mechanics!G7-Scale_PCA_Mechanics!G36)^2+(Scale_PCA_Mechanics!H7-Scale_PCA_Mechanics!H36)^2+(Scale_PCA_Mechanics!I7-Scale_PCA_Mechanics!I36)^2+(Scale_PCA_Mechanics!J7-Scale_PCA_Mechanics!J36)^2)</f>
        <v/>
      </c>
      <c r="D265">
        <f>INDEX(KMeans_6_2!AA2:AA51,A265)</f>
        <v/>
      </c>
      <c r="E265">
        <f>INDEX(KMeans_6_2!AA2:AA51,B265)</f>
        <v/>
      </c>
      <c r="O265">
        <f>IF(OR(AND(D265=1,E265=2),AND(D265=2,E265=1)),C265,"")</f>
        <v/>
      </c>
      <c r="P265">
        <f>IF(OR(AND(D265=1,E265=3),AND(D265=3,E265=1)),C265,"")</f>
        <v/>
      </c>
      <c r="Q265">
        <f>IF(OR(AND(D265=2,E265=3),AND(D265=3,E265=2)),C265,"")</f>
        <v/>
      </c>
    </row>
    <row r="266">
      <c r="A266" t="n">
        <v>6</v>
      </c>
      <c r="B266" t="n">
        <v>36</v>
      </c>
      <c r="C266">
        <f>SQRT((Scale_PCA_Mechanics!G7-Scale_PCA_Mechanics!G37)^2+(Scale_PCA_Mechanics!H7-Scale_PCA_Mechanics!H37)^2+(Scale_PCA_Mechanics!I7-Scale_PCA_Mechanics!I37)^2+(Scale_PCA_Mechanics!J7-Scale_PCA_Mechanics!J37)^2)</f>
        <v/>
      </c>
      <c r="D266">
        <f>INDEX(KMeans_6_2!AA2:AA51,A266)</f>
        <v/>
      </c>
      <c r="E266">
        <f>INDEX(KMeans_6_2!AA2:AA51,B266)</f>
        <v/>
      </c>
      <c r="O266">
        <f>IF(OR(AND(D266=1,E266=2),AND(D266=2,E266=1)),C266,"")</f>
        <v/>
      </c>
      <c r="P266">
        <f>IF(OR(AND(D266=1,E266=3),AND(D266=3,E266=1)),C266,"")</f>
        <v/>
      </c>
      <c r="Q266">
        <f>IF(OR(AND(D266=2,E266=3),AND(D266=3,E266=2)),C266,"")</f>
        <v/>
      </c>
    </row>
    <row r="267">
      <c r="A267" t="n">
        <v>6</v>
      </c>
      <c r="B267" t="n">
        <v>37</v>
      </c>
      <c r="C267">
        <f>SQRT((Scale_PCA_Mechanics!G7-Scale_PCA_Mechanics!G38)^2+(Scale_PCA_Mechanics!H7-Scale_PCA_Mechanics!H38)^2+(Scale_PCA_Mechanics!I7-Scale_PCA_Mechanics!I38)^2+(Scale_PCA_Mechanics!J7-Scale_PCA_Mechanics!J38)^2)</f>
        <v/>
      </c>
      <c r="D267">
        <f>INDEX(KMeans_6_2!AA2:AA51,A267)</f>
        <v/>
      </c>
      <c r="E267">
        <f>INDEX(KMeans_6_2!AA2:AA51,B267)</f>
        <v/>
      </c>
      <c r="O267">
        <f>IF(OR(AND(D267=1,E267=2),AND(D267=2,E267=1)),C267,"")</f>
        <v/>
      </c>
      <c r="P267">
        <f>IF(OR(AND(D267=1,E267=3),AND(D267=3,E267=1)),C267,"")</f>
        <v/>
      </c>
      <c r="Q267">
        <f>IF(OR(AND(D267=2,E267=3),AND(D267=3,E267=2)),C267,"")</f>
        <v/>
      </c>
    </row>
    <row r="268">
      <c r="A268" t="n">
        <v>6</v>
      </c>
      <c r="B268" t="n">
        <v>38</v>
      </c>
      <c r="C268">
        <f>SQRT((Scale_PCA_Mechanics!G7-Scale_PCA_Mechanics!G39)^2+(Scale_PCA_Mechanics!H7-Scale_PCA_Mechanics!H39)^2+(Scale_PCA_Mechanics!I7-Scale_PCA_Mechanics!I39)^2+(Scale_PCA_Mechanics!J7-Scale_PCA_Mechanics!J39)^2)</f>
        <v/>
      </c>
      <c r="D268">
        <f>INDEX(KMeans_6_2!AA2:AA51,A268)</f>
        <v/>
      </c>
      <c r="E268">
        <f>INDEX(KMeans_6_2!AA2:AA51,B268)</f>
        <v/>
      </c>
      <c r="O268">
        <f>IF(OR(AND(D268=1,E268=2),AND(D268=2,E268=1)),C268,"")</f>
        <v/>
      </c>
      <c r="P268">
        <f>IF(OR(AND(D268=1,E268=3),AND(D268=3,E268=1)),C268,"")</f>
        <v/>
      </c>
      <c r="Q268">
        <f>IF(OR(AND(D268=2,E268=3),AND(D268=3,E268=2)),C268,"")</f>
        <v/>
      </c>
    </row>
    <row r="269">
      <c r="A269" t="n">
        <v>6</v>
      </c>
      <c r="B269" t="n">
        <v>39</v>
      </c>
      <c r="C269">
        <f>SQRT((Scale_PCA_Mechanics!G7-Scale_PCA_Mechanics!G40)^2+(Scale_PCA_Mechanics!H7-Scale_PCA_Mechanics!H40)^2+(Scale_PCA_Mechanics!I7-Scale_PCA_Mechanics!I40)^2+(Scale_PCA_Mechanics!J7-Scale_PCA_Mechanics!J40)^2)</f>
        <v/>
      </c>
      <c r="D269">
        <f>INDEX(KMeans_6_2!AA2:AA51,A269)</f>
        <v/>
      </c>
      <c r="E269">
        <f>INDEX(KMeans_6_2!AA2:AA51,B269)</f>
        <v/>
      </c>
      <c r="O269">
        <f>IF(OR(AND(D269=1,E269=2),AND(D269=2,E269=1)),C269,"")</f>
        <v/>
      </c>
      <c r="P269">
        <f>IF(OR(AND(D269=1,E269=3),AND(D269=3,E269=1)),C269,"")</f>
        <v/>
      </c>
      <c r="Q269">
        <f>IF(OR(AND(D269=2,E269=3),AND(D269=3,E269=2)),C269,"")</f>
        <v/>
      </c>
    </row>
    <row r="270">
      <c r="A270" t="n">
        <v>6</v>
      </c>
      <c r="B270" t="n">
        <v>40</v>
      </c>
      <c r="C270">
        <f>SQRT((Scale_PCA_Mechanics!G7-Scale_PCA_Mechanics!G41)^2+(Scale_PCA_Mechanics!H7-Scale_PCA_Mechanics!H41)^2+(Scale_PCA_Mechanics!I7-Scale_PCA_Mechanics!I41)^2+(Scale_PCA_Mechanics!J7-Scale_PCA_Mechanics!J41)^2)</f>
        <v/>
      </c>
      <c r="D270">
        <f>INDEX(KMeans_6_2!AA2:AA51,A270)</f>
        <v/>
      </c>
      <c r="E270">
        <f>INDEX(KMeans_6_2!AA2:AA51,B270)</f>
        <v/>
      </c>
      <c r="O270">
        <f>IF(OR(AND(D270=1,E270=2),AND(D270=2,E270=1)),C270,"")</f>
        <v/>
      </c>
      <c r="P270">
        <f>IF(OR(AND(D270=1,E270=3),AND(D270=3,E270=1)),C270,"")</f>
        <v/>
      </c>
      <c r="Q270">
        <f>IF(OR(AND(D270=2,E270=3),AND(D270=3,E270=2)),C270,"")</f>
        <v/>
      </c>
    </row>
    <row r="271">
      <c r="A271" t="n">
        <v>6</v>
      </c>
      <c r="B271" t="n">
        <v>41</v>
      </c>
      <c r="C271">
        <f>SQRT((Scale_PCA_Mechanics!G7-Scale_PCA_Mechanics!G42)^2+(Scale_PCA_Mechanics!H7-Scale_PCA_Mechanics!H42)^2+(Scale_PCA_Mechanics!I7-Scale_PCA_Mechanics!I42)^2+(Scale_PCA_Mechanics!J7-Scale_PCA_Mechanics!J42)^2)</f>
        <v/>
      </c>
      <c r="D271">
        <f>INDEX(KMeans_6_2!AA2:AA51,A271)</f>
        <v/>
      </c>
      <c r="E271">
        <f>INDEX(KMeans_6_2!AA2:AA51,B271)</f>
        <v/>
      </c>
      <c r="O271">
        <f>IF(OR(AND(D271=1,E271=2),AND(D271=2,E271=1)),C271,"")</f>
        <v/>
      </c>
      <c r="P271">
        <f>IF(OR(AND(D271=1,E271=3),AND(D271=3,E271=1)),C271,"")</f>
        <v/>
      </c>
      <c r="Q271">
        <f>IF(OR(AND(D271=2,E271=3),AND(D271=3,E271=2)),C271,"")</f>
        <v/>
      </c>
    </row>
    <row r="272">
      <c r="A272" t="n">
        <v>6</v>
      </c>
      <c r="B272" t="n">
        <v>42</v>
      </c>
      <c r="C272">
        <f>SQRT((Scale_PCA_Mechanics!G7-Scale_PCA_Mechanics!G43)^2+(Scale_PCA_Mechanics!H7-Scale_PCA_Mechanics!H43)^2+(Scale_PCA_Mechanics!I7-Scale_PCA_Mechanics!I43)^2+(Scale_PCA_Mechanics!J7-Scale_PCA_Mechanics!J43)^2)</f>
        <v/>
      </c>
      <c r="D272">
        <f>INDEX(KMeans_6_2!AA2:AA51,A272)</f>
        <v/>
      </c>
      <c r="E272">
        <f>INDEX(KMeans_6_2!AA2:AA51,B272)</f>
        <v/>
      </c>
      <c r="O272">
        <f>IF(OR(AND(D272=1,E272=2),AND(D272=2,E272=1)),C272,"")</f>
        <v/>
      </c>
      <c r="P272">
        <f>IF(OR(AND(D272=1,E272=3),AND(D272=3,E272=1)),C272,"")</f>
        <v/>
      </c>
      <c r="Q272">
        <f>IF(OR(AND(D272=2,E272=3),AND(D272=3,E272=2)),C272,"")</f>
        <v/>
      </c>
    </row>
    <row r="273">
      <c r="A273" t="n">
        <v>6</v>
      </c>
      <c r="B273" t="n">
        <v>43</v>
      </c>
      <c r="C273">
        <f>SQRT((Scale_PCA_Mechanics!G7-Scale_PCA_Mechanics!G44)^2+(Scale_PCA_Mechanics!H7-Scale_PCA_Mechanics!H44)^2+(Scale_PCA_Mechanics!I7-Scale_PCA_Mechanics!I44)^2+(Scale_PCA_Mechanics!J7-Scale_PCA_Mechanics!J44)^2)</f>
        <v/>
      </c>
      <c r="D273">
        <f>INDEX(KMeans_6_2!AA2:AA51,A273)</f>
        <v/>
      </c>
      <c r="E273">
        <f>INDEX(KMeans_6_2!AA2:AA51,B273)</f>
        <v/>
      </c>
      <c r="O273">
        <f>IF(OR(AND(D273=1,E273=2),AND(D273=2,E273=1)),C273,"")</f>
        <v/>
      </c>
      <c r="P273">
        <f>IF(OR(AND(D273=1,E273=3),AND(D273=3,E273=1)),C273,"")</f>
        <v/>
      </c>
      <c r="Q273">
        <f>IF(OR(AND(D273=2,E273=3),AND(D273=3,E273=2)),C273,"")</f>
        <v/>
      </c>
    </row>
    <row r="274">
      <c r="A274" t="n">
        <v>6</v>
      </c>
      <c r="B274" t="n">
        <v>44</v>
      </c>
      <c r="C274">
        <f>SQRT((Scale_PCA_Mechanics!G7-Scale_PCA_Mechanics!G45)^2+(Scale_PCA_Mechanics!H7-Scale_PCA_Mechanics!H45)^2+(Scale_PCA_Mechanics!I7-Scale_PCA_Mechanics!I45)^2+(Scale_PCA_Mechanics!J7-Scale_PCA_Mechanics!J45)^2)</f>
        <v/>
      </c>
      <c r="D274">
        <f>INDEX(KMeans_6_2!AA2:AA51,A274)</f>
        <v/>
      </c>
      <c r="E274">
        <f>INDEX(KMeans_6_2!AA2:AA51,B274)</f>
        <v/>
      </c>
      <c r="O274">
        <f>IF(OR(AND(D274=1,E274=2),AND(D274=2,E274=1)),C274,"")</f>
        <v/>
      </c>
      <c r="P274">
        <f>IF(OR(AND(D274=1,E274=3),AND(D274=3,E274=1)),C274,"")</f>
        <v/>
      </c>
      <c r="Q274">
        <f>IF(OR(AND(D274=2,E274=3),AND(D274=3,E274=2)),C274,"")</f>
        <v/>
      </c>
    </row>
    <row r="275">
      <c r="A275" t="n">
        <v>6</v>
      </c>
      <c r="B275" t="n">
        <v>45</v>
      </c>
      <c r="C275">
        <f>SQRT((Scale_PCA_Mechanics!G7-Scale_PCA_Mechanics!G46)^2+(Scale_PCA_Mechanics!H7-Scale_PCA_Mechanics!H46)^2+(Scale_PCA_Mechanics!I7-Scale_PCA_Mechanics!I46)^2+(Scale_PCA_Mechanics!J7-Scale_PCA_Mechanics!J46)^2)</f>
        <v/>
      </c>
      <c r="D275">
        <f>INDEX(KMeans_6_2!AA2:AA51,A275)</f>
        <v/>
      </c>
      <c r="E275">
        <f>INDEX(KMeans_6_2!AA2:AA51,B275)</f>
        <v/>
      </c>
      <c r="O275">
        <f>IF(OR(AND(D275=1,E275=2),AND(D275=2,E275=1)),C275,"")</f>
        <v/>
      </c>
      <c r="P275">
        <f>IF(OR(AND(D275=1,E275=3),AND(D275=3,E275=1)),C275,"")</f>
        <v/>
      </c>
      <c r="Q275">
        <f>IF(OR(AND(D275=2,E275=3),AND(D275=3,E275=2)),C275,"")</f>
        <v/>
      </c>
    </row>
    <row r="276">
      <c r="A276" t="n">
        <v>6</v>
      </c>
      <c r="B276" t="n">
        <v>46</v>
      </c>
      <c r="C276">
        <f>SQRT((Scale_PCA_Mechanics!G7-Scale_PCA_Mechanics!G47)^2+(Scale_PCA_Mechanics!H7-Scale_PCA_Mechanics!H47)^2+(Scale_PCA_Mechanics!I7-Scale_PCA_Mechanics!I47)^2+(Scale_PCA_Mechanics!J7-Scale_PCA_Mechanics!J47)^2)</f>
        <v/>
      </c>
      <c r="D276">
        <f>INDEX(KMeans_6_2!AA2:AA51,A276)</f>
        <v/>
      </c>
      <c r="E276">
        <f>INDEX(KMeans_6_2!AA2:AA51,B276)</f>
        <v/>
      </c>
      <c r="O276">
        <f>IF(OR(AND(D276=1,E276=2),AND(D276=2,E276=1)),C276,"")</f>
        <v/>
      </c>
      <c r="P276">
        <f>IF(OR(AND(D276=1,E276=3),AND(D276=3,E276=1)),C276,"")</f>
        <v/>
      </c>
      <c r="Q276">
        <f>IF(OR(AND(D276=2,E276=3),AND(D276=3,E276=2)),C276,"")</f>
        <v/>
      </c>
    </row>
    <row r="277">
      <c r="A277" t="n">
        <v>6</v>
      </c>
      <c r="B277" t="n">
        <v>47</v>
      </c>
      <c r="C277">
        <f>SQRT((Scale_PCA_Mechanics!G7-Scale_PCA_Mechanics!G48)^2+(Scale_PCA_Mechanics!H7-Scale_PCA_Mechanics!H48)^2+(Scale_PCA_Mechanics!I7-Scale_PCA_Mechanics!I48)^2+(Scale_PCA_Mechanics!J7-Scale_PCA_Mechanics!J48)^2)</f>
        <v/>
      </c>
      <c r="D277">
        <f>INDEX(KMeans_6_2!AA2:AA51,A277)</f>
        <v/>
      </c>
      <c r="E277">
        <f>INDEX(KMeans_6_2!AA2:AA51,B277)</f>
        <v/>
      </c>
      <c r="O277">
        <f>IF(OR(AND(D277=1,E277=2),AND(D277=2,E277=1)),C277,"")</f>
        <v/>
      </c>
      <c r="P277">
        <f>IF(OR(AND(D277=1,E277=3),AND(D277=3,E277=1)),C277,"")</f>
        <v/>
      </c>
      <c r="Q277">
        <f>IF(OR(AND(D277=2,E277=3),AND(D277=3,E277=2)),C277,"")</f>
        <v/>
      </c>
    </row>
    <row r="278">
      <c r="A278" t="n">
        <v>6</v>
      </c>
      <c r="B278" t="n">
        <v>48</v>
      </c>
      <c r="C278">
        <f>SQRT((Scale_PCA_Mechanics!G7-Scale_PCA_Mechanics!G49)^2+(Scale_PCA_Mechanics!H7-Scale_PCA_Mechanics!H49)^2+(Scale_PCA_Mechanics!I7-Scale_PCA_Mechanics!I49)^2+(Scale_PCA_Mechanics!J7-Scale_PCA_Mechanics!J49)^2)</f>
        <v/>
      </c>
      <c r="D278">
        <f>INDEX(KMeans_6_2!AA2:AA51,A278)</f>
        <v/>
      </c>
      <c r="E278">
        <f>INDEX(KMeans_6_2!AA2:AA51,B278)</f>
        <v/>
      </c>
      <c r="O278">
        <f>IF(OR(AND(D278=1,E278=2),AND(D278=2,E278=1)),C278,"")</f>
        <v/>
      </c>
      <c r="P278">
        <f>IF(OR(AND(D278=1,E278=3),AND(D278=3,E278=1)),C278,"")</f>
        <v/>
      </c>
      <c r="Q278">
        <f>IF(OR(AND(D278=2,E278=3),AND(D278=3,E278=2)),C278,"")</f>
        <v/>
      </c>
    </row>
    <row r="279">
      <c r="A279" t="n">
        <v>6</v>
      </c>
      <c r="B279" t="n">
        <v>49</v>
      </c>
      <c r="C279">
        <f>SQRT((Scale_PCA_Mechanics!G7-Scale_PCA_Mechanics!G50)^2+(Scale_PCA_Mechanics!H7-Scale_PCA_Mechanics!H50)^2+(Scale_PCA_Mechanics!I7-Scale_PCA_Mechanics!I50)^2+(Scale_PCA_Mechanics!J7-Scale_PCA_Mechanics!J50)^2)</f>
        <v/>
      </c>
      <c r="D279">
        <f>INDEX(KMeans_6_2!AA2:AA51,A279)</f>
        <v/>
      </c>
      <c r="E279">
        <f>INDEX(KMeans_6_2!AA2:AA51,B279)</f>
        <v/>
      </c>
      <c r="O279">
        <f>IF(OR(AND(D279=1,E279=2),AND(D279=2,E279=1)),C279,"")</f>
        <v/>
      </c>
      <c r="P279">
        <f>IF(OR(AND(D279=1,E279=3),AND(D279=3,E279=1)),C279,"")</f>
        <v/>
      </c>
      <c r="Q279">
        <f>IF(OR(AND(D279=2,E279=3),AND(D279=3,E279=2)),C279,"")</f>
        <v/>
      </c>
    </row>
    <row r="280">
      <c r="A280" t="n">
        <v>6</v>
      </c>
      <c r="B280" t="n">
        <v>50</v>
      </c>
      <c r="C280">
        <f>SQRT((Scale_PCA_Mechanics!G7-Scale_PCA_Mechanics!G51)^2+(Scale_PCA_Mechanics!H7-Scale_PCA_Mechanics!H51)^2+(Scale_PCA_Mechanics!I7-Scale_PCA_Mechanics!I51)^2+(Scale_PCA_Mechanics!J7-Scale_PCA_Mechanics!J51)^2)</f>
        <v/>
      </c>
      <c r="D280">
        <f>INDEX(KMeans_6_2!AA2:AA51,A280)</f>
        <v/>
      </c>
      <c r="E280">
        <f>INDEX(KMeans_6_2!AA2:AA51,B280)</f>
        <v/>
      </c>
      <c r="O280">
        <f>IF(OR(AND(D280=1,E280=2),AND(D280=2,E280=1)),C280,"")</f>
        <v/>
      </c>
      <c r="P280">
        <f>IF(OR(AND(D280=1,E280=3),AND(D280=3,E280=1)),C280,"")</f>
        <v/>
      </c>
      <c r="Q280">
        <f>IF(OR(AND(D280=2,E280=3),AND(D280=3,E280=2)),C280,"")</f>
        <v/>
      </c>
    </row>
    <row r="281">
      <c r="A281" t="n">
        <v>7</v>
      </c>
      <c r="B281" t="n">
        <v>8</v>
      </c>
      <c r="C281">
        <f>SQRT((Scale_PCA_Mechanics!G8-Scale_PCA_Mechanics!G9)^2+(Scale_PCA_Mechanics!H8-Scale_PCA_Mechanics!H9)^2+(Scale_PCA_Mechanics!I8-Scale_PCA_Mechanics!I9)^2+(Scale_PCA_Mechanics!J8-Scale_PCA_Mechanics!J9)^2)</f>
        <v/>
      </c>
      <c r="D281">
        <f>INDEX(KMeans_6_2!AA2:AA51,A281)</f>
        <v/>
      </c>
      <c r="E281">
        <f>INDEX(KMeans_6_2!AA2:AA51,B281)</f>
        <v/>
      </c>
      <c r="O281">
        <f>IF(OR(AND(D281=1,E281=2),AND(D281=2,E281=1)),C281,"")</f>
        <v/>
      </c>
      <c r="P281">
        <f>IF(OR(AND(D281=1,E281=3),AND(D281=3,E281=1)),C281,"")</f>
        <v/>
      </c>
      <c r="Q281">
        <f>IF(OR(AND(D281=2,E281=3),AND(D281=3,E281=2)),C281,"")</f>
        <v/>
      </c>
    </row>
    <row r="282">
      <c r="A282" t="n">
        <v>7</v>
      </c>
      <c r="B282" t="n">
        <v>9</v>
      </c>
      <c r="C282">
        <f>SQRT((Scale_PCA_Mechanics!G8-Scale_PCA_Mechanics!G10)^2+(Scale_PCA_Mechanics!H8-Scale_PCA_Mechanics!H10)^2+(Scale_PCA_Mechanics!I8-Scale_PCA_Mechanics!I10)^2+(Scale_PCA_Mechanics!J8-Scale_PCA_Mechanics!J10)^2)</f>
        <v/>
      </c>
      <c r="D282">
        <f>INDEX(KMeans_6_2!AA2:AA51,A282)</f>
        <v/>
      </c>
      <c r="E282">
        <f>INDEX(KMeans_6_2!AA2:AA51,B282)</f>
        <v/>
      </c>
      <c r="O282">
        <f>IF(OR(AND(D282=1,E282=2),AND(D282=2,E282=1)),C282,"")</f>
        <v/>
      </c>
      <c r="P282">
        <f>IF(OR(AND(D282=1,E282=3),AND(D282=3,E282=1)),C282,"")</f>
        <v/>
      </c>
      <c r="Q282">
        <f>IF(OR(AND(D282=2,E282=3),AND(D282=3,E282=2)),C282,"")</f>
        <v/>
      </c>
    </row>
    <row r="283">
      <c r="A283" t="n">
        <v>7</v>
      </c>
      <c r="B283" t="n">
        <v>10</v>
      </c>
      <c r="C283">
        <f>SQRT((Scale_PCA_Mechanics!G8-Scale_PCA_Mechanics!G11)^2+(Scale_PCA_Mechanics!H8-Scale_PCA_Mechanics!H11)^2+(Scale_PCA_Mechanics!I8-Scale_PCA_Mechanics!I11)^2+(Scale_PCA_Mechanics!J8-Scale_PCA_Mechanics!J11)^2)</f>
        <v/>
      </c>
      <c r="D283">
        <f>INDEX(KMeans_6_2!AA2:AA51,A283)</f>
        <v/>
      </c>
      <c r="E283">
        <f>INDEX(KMeans_6_2!AA2:AA51,B283)</f>
        <v/>
      </c>
      <c r="O283">
        <f>IF(OR(AND(D283=1,E283=2),AND(D283=2,E283=1)),C283,"")</f>
        <v/>
      </c>
      <c r="P283">
        <f>IF(OR(AND(D283=1,E283=3),AND(D283=3,E283=1)),C283,"")</f>
        <v/>
      </c>
      <c r="Q283">
        <f>IF(OR(AND(D283=2,E283=3),AND(D283=3,E283=2)),C283,"")</f>
        <v/>
      </c>
    </row>
    <row r="284">
      <c r="A284" t="n">
        <v>7</v>
      </c>
      <c r="B284" t="n">
        <v>11</v>
      </c>
      <c r="C284">
        <f>SQRT((Scale_PCA_Mechanics!G8-Scale_PCA_Mechanics!G12)^2+(Scale_PCA_Mechanics!H8-Scale_PCA_Mechanics!H12)^2+(Scale_PCA_Mechanics!I8-Scale_PCA_Mechanics!I12)^2+(Scale_PCA_Mechanics!J8-Scale_PCA_Mechanics!J12)^2)</f>
        <v/>
      </c>
      <c r="D284">
        <f>INDEX(KMeans_6_2!AA2:AA51,A284)</f>
        <v/>
      </c>
      <c r="E284">
        <f>INDEX(KMeans_6_2!AA2:AA51,B284)</f>
        <v/>
      </c>
      <c r="O284">
        <f>IF(OR(AND(D284=1,E284=2),AND(D284=2,E284=1)),C284,"")</f>
        <v/>
      </c>
      <c r="P284">
        <f>IF(OR(AND(D284=1,E284=3),AND(D284=3,E284=1)),C284,"")</f>
        <v/>
      </c>
      <c r="Q284">
        <f>IF(OR(AND(D284=2,E284=3),AND(D284=3,E284=2)),C284,"")</f>
        <v/>
      </c>
    </row>
    <row r="285">
      <c r="A285" t="n">
        <v>7</v>
      </c>
      <c r="B285" t="n">
        <v>12</v>
      </c>
      <c r="C285">
        <f>SQRT((Scale_PCA_Mechanics!G8-Scale_PCA_Mechanics!G13)^2+(Scale_PCA_Mechanics!H8-Scale_PCA_Mechanics!H13)^2+(Scale_PCA_Mechanics!I8-Scale_PCA_Mechanics!I13)^2+(Scale_PCA_Mechanics!J8-Scale_PCA_Mechanics!J13)^2)</f>
        <v/>
      </c>
      <c r="D285">
        <f>INDEX(KMeans_6_2!AA2:AA51,A285)</f>
        <v/>
      </c>
      <c r="E285">
        <f>INDEX(KMeans_6_2!AA2:AA51,B285)</f>
        <v/>
      </c>
      <c r="O285">
        <f>IF(OR(AND(D285=1,E285=2),AND(D285=2,E285=1)),C285,"")</f>
        <v/>
      </c>
      <c r="P285">
        <f>IF(OR(AND(D285=1,E285=3),AND(D285=3,E285=1)),C285,"")</f>
        <v/>
      </c>
      <c r="Q285">
        <f>IF(OR(AND(D285=2,E285=3),AND(D285=3,E285=2)),C285,"")</f>
        <v/>
      </c>
    </row>
    <row r="286">
      <c r="A286" t="n">
        <v>7</v>
      </c>
      <c r="B286" t="n">
        <v>13</v>
      </c>
      <c r="C286">
        <f>SQRT((Scale_PCA_Mechanics!G8-Scale_PCA_Mechanics!G14)^2+(Scale_PCA_Mechanics!H8-Scale_PCA_Mechanics!H14)^2+(Scale_PCA_Mechanics!I8-Scale_PCA_Mechanics!I14)^2+(Scale_PCA_Mechanics!J8-Scale_PCA_Mechanics!J14)^2)</f>
        <v/>
      </c>
      <c r="D286">
        <f>INDEX(KMeans_6_2!AA2:AA51,A286)</f>
        <v/>
      </c>
      <c r="E286">
        <f>INDEX(KMeans_6_2!AA2:AA51,B286)</f>
        <v/>
      </c>
      <c r="O286">
        <f>IF(OR(AND(D286=1,E286=2),AND(D286=2,E286=1)),C286,"")</f>
        <v/>
      </c>
      <c r="P286">
        <f>IF(OR(AND(D286=1,E286=3),AND(D286=3,E286=1)),C286,"")</f>
        <v/>
      </c>
      <c r="Q286">
        <f>IF(OR(AND(D286=2,E286=3),AND(D286=3,E286=2)),C286,"")</f>
        <v/>
      </c>
    </row>
    <row r="287">
      <c r="A287" t="n">
        <v>7</v>
      </c>
      <c r="B287" t="n">
        <v>14</v>
      </c>
      <c r="C287">
        <f>SQRT((Scale_PCA_Mechanics!G8-Scale_PCA_Mechanics!G15)^2+(Scale_PCA_Mechanics!H8-Scale_PCA_Mechanics!H15)^2+(Scale_PCA_Mechanics!I8-Scale_PCA_Mechanics!I15)^2+(Scale_PCA_Mechanics!J8-Scale_PCA_Mechanics!J15)^2)</f>
        <v/>
      </c>
      <c r="D287">
        <f>INDEX(KMeans_6_2!AA2:AA51,A287)</f>
        <v/>
      </c>
      <c r="E287">
        <f>INDEX(KMeans_6_2!AA2:AA51,B287)</f>
        <v/>
      </c>
      <c r="O287">
        <f>IF(OR(AND(D287=1,E287=2),AND(D287=2,E287=1)),C287,"")</f>
        <v/>
      </c>
      <c r="P287">
        <f>IF(OR(AND(D287=1,E287=3),AND(D287=3,E287=1)),C287,"")</f>
        <v/>
      </c>
      <c r="Q287">
        <f>IF(OR(AND(D287=2,E287=3),AND(D287=3,E287=2)),C287,"")</f>
        <v/>
      </c>
    </row>
    <row r="288">
      <c r="A288" t="n">
        <v>7</v>
      </c>
      <c r="B288" t="n">
        <v>15</v>
      </c>
      <c r="C288">
        <f>SQRT((Scale_PCA_Mechanics!G8-Scale_PCA_Mechanics!G16)^2+(Scale_PCA_Mechanics!H8-Scale_PCA_Mechanics!H16)^2+(Scale_PCA_Mechanics!I8-Scale_PCA_Mechanics!I16)^2+(Scale_PCA_Mechanics!J8-Scale_PCA_Mechanics!J16)^2)</f>
        <v/>
      </c>
      <c r="D288">
        <f>INDEX(KMeans_6_2!AA2:AA51,A288)</f>
        <v/>
      </c>
      <c r="E288">
        <f>INDEX(KMeans_6_2!AA2:AA51,B288)</f>
        <v/>
      </c>
      <c r="O288">
        <f>IF(OR(AND(D288=1,E288=2),AND(D288=2,E288=1)),C288,"")</f>
        <v/>
      </c>
      <c r="P288">
        <f>IF(OR(AND(D288=1,E288=3),AND(D288=3,E288=1)),C288,"")</f>
        <v/>
      </c>
      <c r="Q288">
        <f>IF(OR(AND(D288=2,E288=3),AND(D288=3,E288=2)),C288,"")</f>
        <v/>
      </c>
    </row>
    <row r="289">
      <c r="A289" t="n">
        <v>7</v>
      </c>
      <c r="B289" t="n">
        <v>16</v>
      </c>
      <c r="C289">
        <f>SQRT((Scale_PCA_Mechanics!G8-Scale_PCA_Mechanics!G17)^2+(Scale_PCA_Mechanics!H8-Scale_PCA_Mechanics!H17)^2+(Scale_PCA_Mechanics!I8-Scale_PCA_Mechanics!I17)^2+(Scale_PCA_Mechanics!J8-Scale_PCA_Mechanics!J17)^2)</f>
        <v/>
      </c>
      <c r="D289">
        <f>INDEX(KMeans_6_2!AA2:AA51,A289)</f>
        <v/>
      </c>
      <c r="E289">
        <f>INDEX(KMeans_6_2!AA2:AA51,B289)</f>
        <v/>
      </c>
      <c r="O289">
        <f>IF(OR(AND(D289=1,E289=2),AND(D289=2,E289=1)),C289,"")</f>
        <v/>
      </c>
      <c r="P289">
        <f>IF(OR(AND(D289=1,E289=3),AND(D289=3,E289=1)),C289,"")</f>
        <v/>
      </c>
      <c r="Q289">
        <f>IF(OR(AND(D289=2,E289=3),AND(D289=3,E289=2)),C289,"")</f>
        <v/>
      </c>
    </row>
    <row r="290">
      <c r="A290" t="n">
        <v>7</v>
      </c>
      <c r="B290" t="n">
        <v>17</v>
      </c>
      <c r="C290">
        <f>SQRT((Scale_PCA_Mechanics!G8-Scale_PCA_Mechanics!G18)^2+(Scale_PCA_Mechanics!H8-Scale_PCA_Mechanics!H18)^2+(Scale_PCA_Mechanics!I8-Scale_PCA_Mechanics!I18)^2+(Scale_PCA_Mechanics!J8-Scale_PCA_Mechanics!J18)^2)</f>
        <v/>
      </c>
      <c r="D290">
        <f>INDEX(KMeans_6_2!AA2:AA51,A290)</f>
        <v/>
      </c>
      <c r="E290">
        <f>INDEX(KMeans_6_2!AA2:AA51,B290)</f>
        <v/>
      </c>
      <c r="O290">
        <f>IF(OR(AND(D290=1,E290=2),AND(D290=2,E290=1)),C290,"")</f>
        <v/>
      </c>
      <c r="P290">
        <f>IF(OR(AND(D290=1,E290=3),AND(D290=3,E290=1)),C290,"")</f>
        <v/>
      </c>
      <c r="Q290">
        <f>IF(OR(AND(D290=2,E290=3),AND(D290=3,E290=2)),C290,"")</f>
        <v/>
      </c>
    </row>
    <row r="291">
      <c r="A291" t="n">
        <v>7</v>
      </c>
      <c r="B291" t="n">
        <v>18</v>
      </c>
      <c r="C291">
        <f>SQRT((Scale_PCA_Mechanics!G8-Scale_PCA_Mechanics!G19)^2+(Scale_PCA_Mechanics!H8-Scale_PCA_Mechanics!H19)^2+(Scale_PCA_Mechanics!I8-Scale_PCA_Mechanics!I19)^2+(Scale_PCA_Mechanics!J8-Scale_PCA_Mechanics!J19)^2)</f>
        <v/>
      </c>
      <c r="D291">
        <f>INDEX(KMeans_6_2!AA2:AA51,A291)</f>
        <v/>
      </c>
      <c r="E291">
        <f>INDEX(KMeans_6_2!AA2:AA51,B291)</f>
        <v/>
      </c>
      <c r="O291">
        <f>IF(OR(AND(D291=1,E291=2),AND(D291=2,E291=1)),C291,"")</f>
        <v/>
      </c>
      <c r="P291">
        <f>IF(OR(AND(D291=1,E291=3),AND(D291=3,E291=1)),C291,"")</f>
        <v/>
      </c>
      <c r="Q291">
        <f>IF(OR(AND(D291=2,E291=3),AND(D291=3,E291=2)),C291,"")</f>
        <v/>
      </c>
    </row>
    <row r="292">
      <c r="A292" t="n">
        <v>7</v>
      </c>
      <c r="B292" t="n">
        <v>19</v>
      </c>
      <c r="C292">
        <f>SQRT((Scale_PCA_Mechanics!G8-Scale_PCA_Mechanics!G20)^2+(Scale_PCA_Mechanics!H8-Scale_PCA_Mechanics!H20)^2+(Scale_PCA_Mechanics!I8-Scale_PCA_Mechanics!I20)^2+(Scale_PCA_Mechanics!J8-Scale_PCA_Mechanics!J20)^2)</f>
        <v/>
      </c>
      <c r="D292">
        <f>INDEX(KMeans_6_2!AA2:AA51,A292)</f>
        <v/>
      </c>
      <c r="E292">
        <f>INDEX(KMeans_6_2!AA2:AA51,B292)</f>
        <v/>
      </c>
      <c r="O292">
        <f>IF(OR(AND(D292=1,E292=2),AND(D292=2,E292=1)),C292,"")</f>
        <v/>
      </c>
      <c r="P292">
        <f>IF(OR(AND(D292=1,E292=3),AND(D292=3,E292=1)),C292,"")</f>
        <v/>
      </c>
      <c r="Q292">
        <f>IF(OR(AND(D292=2,E292=3),AND(D292=3,E292=2)),C292,"")</f>
        <v/>
      </c>
    </row>
    <row r="293">
      <c r="A293" t="n">
        <v>7</v>
      </c>
      <c r="B293" t="n">
        <v>20</v>
      </c>
      <c r="C293">
        <f>SQRT((Scale_PCA_Mechanics!G8-Scale_PCA_Mechanics!G21)^2+(Scale_PCA_Mechanics!H8-Scale_PCA_Mechanics!H21)^2+(Scale_PCA_Mechanics!I8-Scale_PCA_Mechanics!I21)^2+(Scale_PCA_Mechanics!J8-Scale_PCA_Mechanics!J21)^2)</f>
        <v/>
      </c>
      <c r="D293">
        <f>INDEX(KMeans_6_2!AA2:AA51,A293)</f>
        <v/>
      </c>
      <c r="E293">
        <f>INDEX(KMeans_6_2!AA2:AA51,B293)</f>
        <v/>
      </c>
      <c r="O293">
        <f>IF(OR(AND(D293=1,E293=2),AND(D293=2,E293=1)),C293,"")</f>
        <v/>
      </c>
      <c r="P293">
        <f>IF(OR(AND(D293=1,E293=3),AND(D293=3,E293=1)),C293,"")</f>
        <v/>
      </c>
      <c r="Q293">
        <f>IF(OR(AND(D293=2,E293=3),AND(D293=3,E293=2)),C293,"")</f>
        <v/>
      </c>
    </row>
    <row r="294">
      <c r="A294" t="n">
        <v>7</v>
      </c>
      <c r="B294" t="n">
        <v>21</v>
      </c>
      <c r="C294">
        <f>SQRT((Scale_PCA_Mechanics!G8-Scale_PCA_Mechanics!G22)^2+(Scale_PCA_Mechanics!H8-Scale_PCA_Mechanics!H22)^2+(Scale_PCA_Mechanics!I8-Scale_PCA_Mechanics!I22)^2+(Scale_PCA_Mechanics!J8-Scale_PCA_Mechanics!J22)^2)</f>
        <v/>
      </c>
      <c r="D294">
        <f>INDEX(KMeans_6_2!AA2:AA51,A294)</f>
        <v/>
      </c>
      <c r="E294">
        <f>INDEX(KMeans_6_2!AA2:AA51,B294)</f>
        <v/>
      </c>
      <c r="O294">
        <f>IF(OR(AND(D294=1,E294=2),AND(D294=2,E294=1)),C294,"")</f>
        <v/>
      </c>
      <c r="P294">
        <f>IF(OR(AND(D294=1,E294=3),AND(D294=3,E294=1)),C294,"")</f>
        <v/>
      </c>
      <c r="Q294">
        <f>IF(OR(AND(D294=2,E294=3),AND(D294=3,E294=2)),C294,"")</f>
        <v/>
      </c>
    </row>
    <row r="295">
      <c r="A295" t="n">
        <v>7</v>
      </c>
      <c r="B295" t="n">
        <v>22</v>
      </c>
      <c r="C295">
        <f>SQRT((Scale_PCA_Mechanics!G8-Scale_PCA_Mechanics!G23)^2+(Scale_PCA_Mechanics!H8-Scale_PCA_Mechanics!H23)^2+(Scale_PCA_Mechanics!I8-Scale_PCA_Mechanics!I23)^2+(Scale_PCA_Mechanics!J8-Scale_PCA_Mechanics!J23)^2)</f>
        <v/>
      </c>
      <c r="D295">
        <f>INDEX(KMeans_6_2!AA2:AA51,A295)</f>
        <v/>
      </c>
      <c r="E295">
        <f>INDEX(KMeans_6_2!AA2:AA51,B295)</f>
        <v/>
      </c>
      <c r="O295">
        <f>IF(OR(AND(D295=1,E295=2),AND(D295=2,E295=1)),C295,"")</f>
        <v/>
      </c>
      <c r="P295">
        <f>IF(OR(AND(D295=1,E295=3),AND(D295=3,E295=1)),C295,"")</f>
        <v/>
      </c>
      <c r="Q295">
        <f>IF(OR(AND(D295=2,E295=3),AND(D295=3,E295=2)),C295,"")</f>
        <v/>
      </c>
    </row>
    <row r="296">
      <c r="A296" t="n">
        <v>7</v>
      </c>
      <c r="B296" t="n">
        <v>23</v>
      </c>
      <c r="C296">
        <f>SQRT((Scale_PCA_Mechanics!G8-Scale_PCA_Mechanics!G24)^2+(Scale_PCA_Mechanics!H8-Scale_PCA_Mechanics!H24)^2+(Scale_PCA_Mechanics!I8-Scale_PCA_Mechanics!I24)^2+(Scale_PCA_Mechanics!J8-Scale_PCA_Mechanics!J24)^2)</f>
        <v/>
      </c>
      <c r="D296">
        <f>INDEX(KMeans_6_2!AA2:AA51,A296)</f>
        <v/>
      </c>
      <c r="E296">
        <f>INDEX(KMeans_6_2!AA2:AA51,B296)</f>
        <v/>
      </c>
      <c r="O296">
        <f>IF(OR(AND(D296=1,E296=2),AND(D296=2,E296=1)),C296,"")</f>
        <v/>
      </c>
      <c r="P296">
        <f>IF(OR(AND(D296=1,E296=3),AND(D296=3,E296=1)),C296,"")</f>
        <v/>
      </c>
      <c r="Q296">
        <f>IF(OR(AND(D296=2,E296=3),AND(D296=3,E296=2)),C296,"")</f>
        <v/>
      </c>
    </row>
    <row r="297">
      <c r="A297" t="n">
        <v>7</v>
      </c>
      <c r="B297" t="n">
        <v>24</v>
      </c>
      <c r="C297">
        <f>SQRT((Scale_PCA_Mechanics!G8-Scale_PCA_Mechanics!G25)^2+(Scale_PCA_Mechanics!H8-Scale_PCA_Mechanics!H25)^2+(Scale_PCA_Mechanics!I8-Scale_PCA_Mechanics!I25)^2+(Scale_PCA_Mechanics!J8-Scale_PCA_Mechanics!J25)^2)</f>
        <v/>
      </c>
      <c r="D297">
        <f>INDEX(KMeans_6_2!AA2:AA51,A297)</f>
        <v/>
      </c>
      <c r="E297">
        <f>INDEX(KMeans_6_2!AA2:AA51,B297)</f>
        <v/>
      </c>
      <c r="O297">
        <f>IF(OR(AND(D297=1,E297=2),AND(D297=2,E297=1)),C297,"")</f>
        <v/>
      </c>
      <c r="P297">
        <f>IF(OR(AND(D297=1,E297=3),AND(D297=3,E297=1)),C297,"")</f>
        <v/>
      </c>
      <c r="Q297">
        <f>IF(OR(AND(D297=2,E297=3),AND(D297=3,E297=2)),C297,"")</f>
        <v/>
      </c>
    </row>
    <row r="298">
      <c r="A298" t="n">
        <v>7</v>
      </c>
      <c r="B298" t="n">
        <v>25</v>
      </c>
      <c r="C298">
        <f>SQRT((Scale_PCA_Mechanics!G8-Scale_PCA_Mechanics!G26)^2+(Scale_PCA_Mechanics!H8-Scale_PCA_Mechanics!H26)^2+(Scale_PCA_Mechanics!I8-Scale_PCA_Mechanics!I26)^2+(Scale_PCA_Mechanics!J8-Scale_PCA_Mechanics!J26)^2)</f>
        <v/>
      </c>
      <c r="D298">
        <f>INDEX(KMeans_6_2!AA2:AA51,A298)</f>
        <v/>
      </c>
      <c r="E298">
        <f>INDEX(KMeans_6_2!AA2:AA51,B298)</f>
        <v/>
      </c>
      <c r="O298">
        <f>IF(OR(AND(D298=1,E298=2),AND(D298=2,E298=1)),C298,"")</f>
        <v/>
      </c>
      <c r="P298">
        <f>IF(OR(AND(D298=1,E298=3),AND(D298=3,E298=1)),C298,"")</f>
        <v/>
      </c>
      <c r="Q298">
        <f>IF(OR(AND(D298=2,E298=3),AND(D298=3,E298=2)),C298,"")</f>
        <v/>
      </c>
    </row>
    <row r="299">
      <c r="A299" t="n">
        <v>7</v>
      </c>
      <c r="B299" t="n">
        <v>26</v>
      </c>
      <c r="C299">
        <f>SQRT((Scale_PCA_Mechanics!G8-Scale_PCA_Mechanics!G27)^2+(Scale_PCA_Mechanics!H8-Scale_PCA_Mechanics!H27)^2+(Scale_PCA_Mechanics!I8-Scale_PCA_Mechanics!I27)^2+(Scale_PCA_Mechanics!J8-Scale_PCA_Mechanics!J27)^2)</f>
        <v/>
      </c>
      <c r="D299">
        <f>INDEX(KMeans_6_2!AA2:AA51,A299)</f>
        <v/>
      </c>
      <c r="E299">
        <f>INDEX(KMeans_6_2!AA2:AA51,B299)</f>
        <v/>
      </c>
      <c r="O299">
        <f>IF(OR(AND(D299=1,E299=2),AND(D299=2,E299=1)),C299,"")</f>
        <v/>
      </c>
      <c r="P299">
        <f>IF(OR(AND(D299=1,E299=3),AND(D299=3,E299=1)),C299,"")</f>
        <v/>
      </c>
      <c r="Q299">
        <f>IF(OR(AND(D299=2,E299=3),AND(D299=3,E299=2)),C299,"")</f>
        <v/>
      </c>
    </row>
    <row r="300">
      <c r="A300" t="n">
        <v>7</v>
      </c>
      <c r="B300" t="n">
        <v>27</v>
      </c>
      <c r="C300">
        <f>SQRT((Scale_PCA_Mechanics!G8-Scale_PCA_Mechanics!G28)^2+(Scale_PCA_Mechanics!H8-Scale_PCA_Mechanics!H28)^2+(Scale_PCA_Mechanics!I8-Scale_PCA_Mechanics!I28)^2+(Scale_PCA_Mechanics!J8-Scale_PCA_Mechanics!J28)^2)</f>
        <v/>
      </c>
      <c r="D300">
        <f>INDEX(KMeans_6_2!AA2:AA51,A300)</f>
        <v/>
      </c>
      <c r="E300">
        <f>INDEX(KMeans_6_2!AA2:AA51,B300)</f>
        <v/>
      </c>
      <c r="O300">
        <f>IF(OR(AND(D300=1,E300=2),AND(D300=2,E300=1)),C300,"")</f>
        <v/>
      </c>
      <c r="P300">
        <f>IF(OR(AND(D300=1,E300=3),AND(D300=3,E300=1)),C300,"")</f>
        <v/>
      </c>
      <c r="Q300">
        <f>IF(OR(AND(D300=2,E300=3),AND(D300=3,E300=2)),C300,"")</f>
        <v/>
      </c>
    </row>
    <row r="301">
      <c r="A301" t="n">
        <v>7</v>
      </c>
      <c r="B301" t="n">
        <v>28</v>
      </c>
      <c r="C301">
        <f>SQRT((Scale_PCA_Mechanics!G8-Scale_PCA_Mechanics!G29)^2+(Scale_PCA_Mechanics!H8-Scale_PCA_Mechanics!H29)^2+(Scale_PCA_Mechanics!I8-Scale_PCA_Mechanics!I29)^2+(Scale_PCA_Mechanics!J8-Scale_PCA_Mechanics!J29)^2)</f>
        <v/>
      </c>
      <c r="D301">
        <f>INDEX(KMeans_6_2!AA2:AA51,A301)</f>
        <v/>
      </c>
      <c r="E301">
        <f>INDEX(KMeans_6_2!AA2:AA51,B301)</f>
        <v/>
      </c>
      <c r="O301">
        <f>IF(OR(AND(D301=1,E301=2),AND(D301=2,E301=1)),C301,"")</f>
        <v/>
      </c>
      <c r="P301">
        <f>IF(OR(AND(D301=1,E301=3),AND(D301=3,E301=1)),C301,"")</f>
        <v/>
      </c>
      <c r="Q301">
        <f>IF(OR(AND(D301=2,E301=3),AND(D301=3,E301=2)),C301,"")</f>
        <v/>
      </c>
    </row>
    <row r="302">
      <c r="A302" t="n">
        <v>7</v>
      </c>
      <c r="B302" t="n">
        <v>29</v>
      </c>
      <c r="C302">
        <f>SQRT((Scale_PCA_Mechanics!G8-Scale_PCA_Mechanics!G30)^2+(Scale_PCA_Mechanics!H8-Scale_PCA_Mechanics!H30)^2+(Scale_PCA_Mechanics!I8-Scale_PCA_Mechanics!I30)^2+(Scale_PCA_Mechanics!J8-Scale_PCA_Mechanics!J30)^2)</f>
        <v/>
      </c>
      <c r="D302">
        <f>INDEX(KMeans_6_2!AA2:AA51,A302)</f>
        <v/>
      </c>
      <c r="E302">
        <f>INDEX(KMeans_6_2!AA2:AA51,B302)</f>
        <v/>
      </c>
      <c r="O302">
        <f>IF(OR(AND(D302=1,E302=2),AND(D302=2,E302=1)),C302,"")</f>
        <v/>
      </c>
      <c r="P302">
        <f>IF(OR(AND(D302=1,E302=3),AND(D302=3,E302=1)),C302,"")</f>
        <v/>
      </c>
      <c r="Q302">
        <f>IF(OR(AND(D302=2,E302=3),AND(D302=3,E302=2)),C302,"")</f>
        <v/>
      </c>
    </row>
    <row r="303">
      <c r="A303" t="n">
        <v>7</v>
      </c>
      <c r="B303" t="n">
        <v>30</v>
      </c>
      <c r="C303">
        <f>SQRT((Scale_PCA_Mechanics!G8-Scale_PCA_Mechanics!G31)^2+(Scale_PCA_Mechanics!H8-Scale_PCA_Mechanics!H31)^2+(Scale_PCA_Mechanics!I8-Scale_PCA_Mechanics!I31)^2+(Scale_PCA_Mechanics!J8-Scale_PCA_Mechanics!J31)^2)</f>
        <v/>
      </c>
      <c r="D303">
        <f>INDEX(KMeans_6_2!AA2:AA51,A303)</f>
        <v/>
      </c>
      <c r="E303">
        <f>INDEX(KMeans_6_2!AA2:AA51,B303)</f>
        <v/>
      </c>
      <c r="O303">
        <f>IF(OR(AND(D303=1,E303=2),AND(D303=2,E303=1)),C303,"")</f>
        <v/>
      </c>
      <c r="P303">
        <f>IF(OR(AND(D303=1,E303=3),AND(D303=3,E303=1)),C303,"")</f>
        <v/>
      </c>
      <c r="Q303">
        <f>IF(OR(AND(D303=2,E303=3),AND(D303=3,E303=2)),C303,"")</f>
        <v/>
      </c>
    </row>
    <row r="304">
      <c r="A304" t="n">
        <v>7</v>
      </c>
      <c r="B304" t="n">
        <v>31</v>
      </c>
      <c r="C304">
        <f>SQRT((Scale_PCA_Mechanics!G8-Scale_PCA_Mechanics!G32)^2+(Scale_PCA_Mechanics!H8-Scale_PCA_Mechanics!H32)^2+(Scale_PCA_Mechanics!I8-Scale_PCA_Mechanics!I32)^2+(Scale_PCA_Mechanics!J8-Scale_PCA_Mechanics!J32)^2)</f>
        <v/>
      </c>
      <c r="D304">
        <f>INDEX(KMeans_6_2!AA2:AA51,A304)</f>
        <v/>
      </c>
      <c r="E304">
        <f>INDEX(KMeans_6_2!AA2:AA51,B304)</f>
        <v/>
      </c>
      <c r="O304">
        <f>IF(OR(AND(D304=1,E304=2),AND(D304=2,E304=1)),C304,"")</f>
        <v/>
      </c>
      <c r="P304">
        <f>IF(OR(AND(D304=1,E304=3),AND(D304=3,E304=1)),C304,"")</f>
        <v/>
      </c>
      <c r="Q304">
        <f>IF(OR(AND(D304=2,E304=3),AND(D304=3,E304=2)),C304,"")</f>
        <v/>
      </c>
    </row>
    <row r="305">
      <c r="A305" t="n">
        <v>7</v>
      </c>
      <c r="B305" t="n">
        <v>32</v>
      </c>
      <c r="C305">
        <f>SQRT((Scale_PCA_Mechanics!G8-Scale_PCA_Mechanics!G33)^2+(Scale_PCA_Mechanics!H8-Scale_PCA_Mechanics!H33)^2+(Scale_PCA_Mechanics!I8-Scale_PCA_Mechanics!I33)^2+(Scale_PCA_Mechanics!J8-Scale_PCA_Mechanics!J33)^2)</f>
        <v/>
      </c>
      <c r="D305">
        <f>INDEX(KMeans_6_2!AA2:AA51,A305)</f>
        <v/>
      </c>
      <c r="E305">
        <f>INDEX(KMeans_6_2!AA2:AA51,B305)</f>
        <v/>
      </c>
      <c r="O305">
        <f>IF(OR(AND(D305=1,E305=2),AND(D305=2,E305=1)),C305,"")</f>
        <v/>
      </c>
      <c r="P305">
        <f>IF(OR(AND(D305=1,E305=3),AND(D305=3,E305=1)),C305,"")</f>
        <v/>
      </c>
      <c r="Q305">
        <f>IF(OR(AND(D305=2,E305=3),AND(D305=3,E305=2)),C305,"")</f>
        <v/>
      </c>
    </row>
    <row r="306">
      <c r="A306" t="n">
        <v>7</v>
      </c>
      <c r="B306" t="n">
        <v>33</v>
      </c>
      <c r="C306">
        <f>SQRT((Scale_PCA_Mechanics!G8-Scale_PCA_Mechanics!G34)^2+(Scale_PCA_Mechanics!H8-Scale_PCA_Mechanics!H34)^2+(Scale_PCA_Mechanics!I8-Scale_PCA_Mechanics!I34)^2+(Scale_PCA_Mechanics!J8-Scale_PCA_Mechanics!J34)^2)</f>
        <v/>
      </c>
      <c r="D306">
        <f>INDEX(KMeans_6_2!AA2:AA51,A306)</f>
        <v/>
      </c>
      <c r="E306">
        <f>INDEX(KMeans_6_2!AA2:AA51,B306)</f>
        <v/>
      </c>
      <c r="O306">
        <f>IF(OR(AND(D306=1,E306=2),AND(D306=2,E306=1)),C306,"")</f>
        <v/>
      </c>
      <c r="P306">
        <f>IF(OR(AND(D306=1,E306=3),AND(D306=3,E306=1)),C306,"")</f>
        <v/>
      </c>
      <c r="Q306">
        <f>IF(OR(AND(D306=2,E306=3),AND(D306=3,E306=2)),C306,"")</f>
        <v/>
      </c>
    </row>
    <row r="307">
      <c r="A307" t="n">
        <v>7</v>
      </c>
      <c r="B307" t="n">
        <v>34</v>
      </c>
      <c r="C307">
        <f>SQRT((Scale_PCA_Mechanics!G8-Scale_PCA_Mechanics!G35)^2+(Scale_PCA_Mechanics!H8-Scale_PCA_Mechanics!H35)^2+(Scale_PCA_Mechanics!I8-Scale_PCA_Mechanics!I35)^2+(Scale_PCA_Mechanics!J8-Scale_PCA_Mechanics!J35)^2)</f>
        <v/>
      </c>
      <c r="D307">
        <f>INDEX(KMeans_6_2!AA2:AA51,A307)</f>
        <v/>
      </c>
      <c r="E307">
        <f>INDEX(KMeans_6_2!AA2:AA51,B307)</f>
        <v/>
      </c>
      <c r="O307">
        <f>IF(OR(AND(D307=1,E307=2),AND(D307=2,E307=1)),C307,"")</f>
        <v/>
      </c>
      <c r="P307">
        <f>IF(OR(AND(D307=1,E307=3),AND(D307=3,E307=1)),C307,"")</f>
        <v/>
      </c>
      <c r="Q307">
        <f>IF(OR(AND(D307=2,E307=3),AND(D307=3,E307=2)),C307,"")</f>
        <v/>
      </c>
    </row>
    <row r="308">
      <c r="A308" t="n">
        <v>7</v>
      </c>
      <c r="B308" t="n">
        <v>35</v>
      </c>
      <c r="C308">
        <f>SQRT((Scale_PCA_Mechanics!G8-Scale_PCA_Mechanics!G36)^2+(Scale_PCA_Mechanics!H8-Scale_PCA_Mechanics!H36)^2+(Scale_PCA_Mechanics!I8-Scale_PCA_Mechanics!I36)^2+(Scale_PCA_Mechanics!J8-Scale_PCA_Mechanics!J36)^2)</f>
        <v/>
      </c>
      <c r="D308">
        <f>INDEX(KMeans_6_2!AA2:AA51,A308)</f>
        <v/>
      </c>
      <c r="E308">
        <f>INDEX(KMeans_6_2!AA2:AA51,B308)</f>
        <v/>
      </c>
      <c r="O308">
        <f>IF(OR(AND(D308=1,E308=2),AND(D308=2,E308=1)),C308,"")</f>
        <v/>
      </c>
      <c r="P308">
        <f>IF(OR(AND(D308=1,E308=3),AND(D308=3,E308=1)),C308,"")</f>
        <v/>
      </c>
      <c r="Q308">
        <f>IF(OR(AND(D308=2,E308=3),AND(D308=3,E308=2)),C308,"")</f>
        <v/>
      </c>
    </row>
    <row r="309">
      <c r="A309" t="n">
        <v>7</v>
      </c>
      <c r="B309" t="n">
        <v>36</v>
      </c>
      <c r="C309">
        <f>SQRT((Scale_PCA_Mechanics!G8-Scale_PCA_Mechanics!G37)^2+(Scale_PCA_Mechanics!H8-Scale_PCA_Mechanics!H37)^2+(Scale_PCA_Mechanics!I8-Scale_PCA_Mechanics!I37)^2+(Scale_PCA_Mechanics!J8-Scale_PCA_Mechanics!J37)^2)</f>
        <v/>
      </c>
      <c r="D309">
        <f>INDEX(KMeans_6_2!AA2:AA51,A309)</f>
        <v/>
      </c>
      <c r="E309">
        <f>INDEX(KMeans_6_2!AA2:AA51,B309)</f>
        <v/>
      </c>
      <c r="O309">
        <f>IF(OR(AND(D309=1,E309=2),AND(D309=2,E309=1)),C309,"")</f>
        <v/>
      </c>
      <c r="P309">
        <f>IF(OR(AND(D309=1,E309=3),AND(D309=3,E309=1)),C309,"")</f>
        <v/>
      </c>
      <c r="Q309">
        <f>IF(OR(AND(D309=2,E309=3),AND(D309=3,E309=2)),C309,"")</f>
        <v/>
      </c>
    </row>
    <row r="310">
      <c r="A310" t="n">
        <v>7</v>
      </c>
      <c r="B310" t="n">
        <v>37</v>
      </c>
      <c r="C310">
        <f>SQRT((Scale_PCA_Mechanics!G8-Scale_PCA_Mechanics!G38)^2+(Scale_PCA_Mechanics!H8-Scale_PCA_Mechanics!H38)^2+(Scale_PCA_Mechanics!I8-Scale_PCA_Mechanics!I38)^2+(Scale_PCA_Mechanics!J8-Scale_PCA_Mechanics!J38)^2)</f>
        <v/>
      </c>
      <c r="D310">
        <f>INDEX(KMeans_6_2!AA2:AA51,A310)</f>
        <v/>
      </c>
      <c r="E310">
        <f>INDEX(KMeans_6_2!AA2:AA51,B310)</f>
        <v/>
      </c>
      <c r="O310">
        <f>IF(OR(AND(D310=1,E310=2),AND(D310=2,E310=1)),C310,"")</f>
        <v/>
      </c>
      <c r="P310">
        <f>IF(OR(AND(D310=1,E310=3),AND(D310=3,E310=1)),C310,"")</f>
        <v/>
      </c>
      <c r="Q310">
        <f>IF(OR(AND(D310=2,E310=3),AND(D310=3,E310=2)),C310,"")</f>
        <v/>
      </c>
    </row>
    <row r="311">
      <c r="A311" t="n">
        <v>7</v>
      </c>
      <c r="B311" t="n">
        <v>38</v>
      </c>
      <c r="C311">
        <f>SQRT((Scale_PCA_Mechanics!G8-Scale_PCA_Mechanics!G39)^2+(Scale_PCA_Mechanics!H8-Scale_PCA_Mechanics!H39)^2+(Scale_PCA_Mechanics!I8-Scale_PCA_Mechanics!I39)^2+(Scale_PCA_Mechanics!J8-Scale_PCA_Mechanics!J39)^2)</f>
        <v/>
      </c>
      <c r="D311">
        <f>INDEX(KMeans_6_2!AA2:AA51,A311)</f>
        <v/>
      </c>
      <c r="E311">
        <f>INDEX(KMeans_6_2!AA2:AA51,B311)</f>
        <v/>
      </c>
      <c r="O311">
        <f>IF(OR(AND(D311=1,E311=2),AND(D311=2,E311=1)),C311,"")</f>
        <v/>
      </c>
      <c r="P311">
        <f>IF(OR(AND(D311=1,E311=3),AND(D311=3,E311=1)),C311,"")</f>
        <v/>
      </c>
      <c r="Q311">
        <f>IF(OR(AND(D311=2,E311=3),AND(D311=3,E311=2)),C311,"")</f>
        <v/>
      </c>
    </row>
    <row r="312">
      <c r="A312" t="n">
        <v>7</v>
      </c>
      <c r="B312" t="n">
        <v>39</v>
      </c>
      <c r="C312">
        <f>SQRT((Scale_PCA_Mechanics!G8-Scale_PCA_Mechanics!G40)^2+(Scale_PCA_Mechanics!H8-Scale_PCA_Mechanics!H40)^2+(Scale_PCA_Mechanics!I8-Scale_PCA_Mechanics!I40)^2+(Scale_PCA_Mechanics!J8-Scale_PCA_Mechanics!J40)^2)</f>
        <v/>
      </c>
      <c r="D312">
        <f>INDEX(KMeans_6_2!AA2:AA51,A312)</f>
        <v/>
      </c>
      <c r="E312">
        <f>INDEX(KMeans_6_2!AA2:AA51,B312)</f>
        <v/>
      </c>
      <c r="O312">
        <f>IF(OR(AND(D312=1,E312=2),AND(D312=2,E312=1)),C312,"")</f>
        <v/>
      </c>
      <c r="P312">
        <f>IF(OR(AND(D312=1,E312=3),AND(D312=3,E312=1)),C312,"")</f>
        <v/>
      </c>
      <c r="Q312">
        <f>IF(OR(AND(D312=2,E312=3),AND(D312=3,E312=2)),C312,"")</f>
        <v/>
      </c>
    </row>
    <row r="313">
      <c r="A313" t="n">
        <v>7</v>
      </c>
      <c r="B313" t="n">
        <v>40</v>
      </c>
      <c r="C313">
        <f>SQRT((Scale_PCA_Mechanics!G8-Scale_PCA_Mechanics!G41)^2+(Scale_PCA_Mechanics!H8-Scale_PCA_Mechanics!H41)^2+(Scale_PCA_Mechanics!I8-Scale_PCA_Mechanics!I41)^2+(Scale_PCA_Mechanics!J8-Scale_PCA_Mechanics!J41)^2)</f>
        <v/>
      </c>
      <c r="D313">
        <f>INDEX(KMeans_6_2!AA2:AA51,A313)</f>
        <v/>
      </c>
      <c r="E313">
        <f>INDEX(KMeans_6_2!AA2:AA51,B313)</f>
        <v/>
      </c>
      <c r="O313">
        <f>IF(OR(AND(D313=1,E313=2),AND(D313=2,E313=1)),C313,"")</f>
        <v/>
      </c>
      <c r="P313">
        <f>IF(OR(AND(D313=1,E313=3),AND(D313=3,E313=1)),C313,"")</f>
        <v/>
      </c>
      <c r="Q313">
        <f>IF(OR(AND(D313=2,E313=3),AND(D313=3,E313=2)),C313,"")</f>
        <v/>
      </c>
    </row>
    <row r="314">
      <c r="A314" t="n">
        <v>7</v>
      </c>
      <c r="B314" t="n">
        <v>41</v>
      </c>
      <c r="C314">
        <f>SQRT((Scale_PCA_Mechanics!G8-Scale_PCA_Mechanics!G42)^2+(Scale_PCA_Mechanics!H8-Scale_PCA_Mechanics!H42)^2+(Scale_PCA_Mechanics!I8-Scale_PCA_Mechanics!I42)^2+(Scale_PCA_Mechanics!J8-Scale_PCA_Mechanics!J42)^2)</f>
        <v/>
      </c>
      <c r="D314">
        <f>INDEX(KMeans_6_2!AA2:AA51,A314)</f>
        <v/>
      </c>
      <c r="E314">
        <f>INDEX(KMeans_6_2!AA2:AA51,B314)</f>
        <v/>
      </c>
      <c r="O314">
        <f>IF(OR(AND(D314=1,E314=2),AND(D314=2,E314=1)),C314,"")</f>
        <v/>
      </c>
      <c r="P314">
        <f>IF(OR(AND(D314=1,E314=3),AND(D314=3,E314=1)),C314,"")</f>
        <v/>
      </c>
      <c r="Q314">
        <f>IF(OR(AND(D314=2,E314=3),AND(D314=3,E314=2)),C314,"")</f>
        <v/>
      </c>
    </row>
    <row r="315">
      <c r="A315" t="n">
        <v>7</v>
      </c>
      <c r="B315" t="n">
        <v>42</v>
      </c>
      <c r="C315">
        <f>SQRT((Scale_PCA_Mechanics!G8-Scale_PCA_Mechanics!G43)^2+(Scale_PCA_Mechanics!H8-Scale_PCA_Mechanics!H43)^2+(Scale_PCA_Mechanics!I8-Scale_PCA_Mechanics!I43)^2+(Scale_PCA_Mechanics!J8-Scale_PCA_Mechanics!J43)^2)</f>
        <v/>
      </c>
      <c r="D315">
        <f>INDEX(KMeans_6_2!AA2:AA51,A315)</f>
        <v/>
      </c>
      <c r="E315">
        <f>INDEX(KMeans_6_2!AA2:AA51,B315)</f>
        <v/>
      </c>
      <c r="O315">
        <f>IF(OR(AND(D315=1,E315=2),AND(D315=2,E315=1)),C315,"")</f>
        <v/>
      </c>
      <c r="P315">
        <f>IF(OR(AND(D315=1,E315=3),AND(D315=3,E315=1)),C315,"")</f>
        <v/>
      </c>
      <c r="Q315">
        <f>IF(OR(AND(D315=2,E315=3),AND(D315=3,E315=2)),C315,"")</f>
        <v/>
      </c>
    </row>
    <row r="316">
      <c r="A316" t="n">
        <v>7</v>
      </c>
      <c r="B316" t="n">
        <v>43</v>
      </c>
      <c r="C316">
        <f>SQRT((Scale_PCA_Mechanics!G8-Scale_PCA_Mechanics!G44)^2+(Scale_PCA_Mechanics!H8-Scale_PCA_Mechanics!H44)^2+(Scale_PCA_Mechanics!I8-Scale_PCA_Mechanics!I44)^2+(Scale_PCA_Mechanics!J8-Scale_PCA_Mechanics!J44)^2)</f>
        <v/>
      </c>
      <c r="D316">
        <f>INDEX(KMeans_6_2!AA2:AA51,A316)</f>
        <v/>
      </c>
      <c r="E316">
        <f>INDEX(KMeans_6_2!AA2:AA51,B316)</f>
        <v/>
      </c>
      <c r="O316">
        <f>IF(OR(AND(D316=1,E316=2),AND(D316=2,E316=1)),C316,"")</f>
        <v/>
      </c>
      <c r="P316">
        <f>IF(OR(AND(D316=1,E316=3),AND(D316=3,E316=1)),C316,"")</f>
        <v/>
      </c>
      <c r="Q316">
        <f>IF(OR(AND(D316=2,E316=3),AND(D316=3,E316=2)),C316,"")</f>
        <v/>
      </c>
    </row>
    <row r="317">
      <c r="A317" t="n">
        <v>7</v>
      </c>
      <c r="B317" t="n">
        <v>44</v>
      </c>
      <c r="C317">
        <f>SQRT((Scale_PCA_Mechanics!G8-Scale_PCA_Mechanics!G45)^2+(Scale_PCA_Mechanics!H8-Scale_PCA_Mechanics!H45)^2+(Scale_PCA_Mechanics!I8-Scale_PCA_Mechanics!I45)^2+(Scale_PCA_Mechanics!J8-Scale_PCA_Mechanics!J45)^2)</f>
        <v/>
      </c>
      <c r="D317">
        <f>INDEX(KMeans_6_2!AA2:AA51,A317)</f>
        <v/>
      </c>
      <c r="E317">
        <f>INDEX(KMeans_6_2!AA2:AA51,B317)</f>
        <v/>
      </c>
      <c r="O317">
        <f>IF(OR(AND(D317=1,E317=2),AND(D317=2,E317=1)),C317,"")</f>
        <v/>
      </c>
      <c r="P317">
        <f>IF(OR(AND(D317=1,E317=3),AND(D317=3,E317=1)),C317,"")</f>
        <v/>
      </c>
      <c r="Q317">
        <f>IF(OR(AND(D317=2,E317=3),AND(D317=3,E317=2)),C317,"")</f>
        <v/>
      </c>
    </row>
    <row r="318">
      <c r="A318" t="n">
        <v>7</v>
      </c>
      <c r="B318" t="n">
        <v>45</v>
      </c>
      <c r="C318">
        <f>SQRT((Scale_PCA_Mechanics!G8-Scale_PCA_Mechanics!G46)^2+(Scale_PCA_Mechanics!H8-Scale_PCA_Mechanics!H46)^2+(Scale_PCA_Mechanics!I8-Scale_PCA_Mechanics!I46)^2+(Scale_PCA_Mechanics!J8-Scale_PCA_Mechanics!J46)^2)</f>
        <v/>
      </c>
      <c r="D318">
        <f>INDEX(KMeans_6_2!AA2:AA51,A318)</f>
        <v/>
      </c>
      <c r="E318">
        <f>INDEX(KMeans_6_2!AA2:AA51,B318)</f>
        <v/>
      </c>
      <c r="O318">
        <f>IF(OR(AND(D318=1,E318=2),AND(D318=2,E318=1)),C318,"")</f>
        <v/>
      </c>
      <c r="P318">
        <f>IF(OR(AND(D318=1,E318=3),AND(D318=3,E318=1)),C318,"")</f>
        <v/>
      </c>
      <c r="Q318">
        <f>IF(OR(AND(D318=2,E318=3),AND(D318=3,E318=2)),C318,"")</f>
        <v/>
      </c>
    </row>
    <row r="319">
      <c r="A319" t="n">
        <v>7</v>
      </c>
      <c r="B319" t="n">
        <v>46</v>
      </c>
      <c r="C319">
        <f>SQRT((Scale_PCA_Mechanics!G8-Scale_PCA_Mechanics!G47)^2+(Scale_PCA_Mechanics!H8-Scale_PCA_Mechanics!H47)^2+(Scale_PCA_Mechanics!I8-Scale_PCA_Mechanics!I47)^2+(Scale_PCA_Mechanics!J8-Scale_PCA_Mechanics!J47)^2)</f>
        <v/>
      </c>
      <c r="D319">
        <f>INDEX(KMeans_6_2!AA2:AA51,A319)</f>
        <v/>
      </c>
      <c r="E319">
        <f>INDEX(KMeans_6_2!AA2:AA51,B319)</f>
        <v/>
      </c>
      <c r="O319">
        <f>IF(OR(AND(D319=1,E319=2),AND(D319=2,E319=1)),C319,"")</f>
        <v/>
      </c>
      <c r="P319">
        <f>IF(OR(AND(D319=1,E319=3),AND(D319=3,E319=1)),C319,"")</f>
        <v/>
      </c>
      <c r="Q319">
        <f>IF(OR(AND(D319=2,E319=3),AND(D319=3,E319=2)),C319,"")</f>
        <v/>
      </c>
    </row>
    <row r="320">
      <c r="A320" t="n">
        <v>7</v>
      </c>
      <c r="B320" t="n">
        <v>47</v>
      </c>
      <c r="C320">
        <f>SQRT((Scale_PCA_Mechanics!G8-Scale_PCA_Mechanics!G48)^2+(Scale_PCA_Mechanics!H8-Scale_PCA_Mechanics!H48)^2+(Scale_PCA_Mechanics!I8-Scale_PCA_Mechanics!I48)^2+(Scale_PCA_Mechanics!J8-Scale_PCA_Mechanics!J48)^2)</f>
        <v/>
      </c>
      <c r="D320">
        <f>INDEX(KMeans_6_2!AA2:AA51,A320)</f>
        <v/>
      </c>
      <c r="E320">
        <f>INDEX(KMeans_6_2!AA2:AA51,B320)</f>
        <v/>
      </c>
      <c r="O320">
        <f>IF(OR(AND(D320=1,E320=2),AND(D320=2,E320=1)),C320,"")</f>
        <v/>
      </c>
      <c r="P320">
        <f>IF(OR(AND(D320=1,E320=3),AND(D320=3,E320=1)),C320,"")</f>
        <v/>
      </c>
      <c r="Q320">
        <f>IF(OR(AND(D320=2,E320=3),AND(D320=3,E320=2)),C320,"")</f>
        <v/>
      </c>
    </row>
    <row r="321">
      <c r="A321" t="n">
        <v>7</v>
      </c>
      <c r="B321" t="n">
        <v>48</v>
      </c>
      <c r="C321">
        <f>SQRT((Scale_PCA_Mechanics!G8-Scale_PCA_Mechanics!G49)^2+(Scale_PCA_Mechanics!H8-Scale_PCA_Mechanics!H49)^2+(Scale_PCA_Mechanics!I8-Scale_PCA_Mechanics!I49)^2+(Scale_PCA_Mechanics!J8-Scale_PCA_Mechanics!J49)^2)</f>
        <v/>
      </c>
      <c r="D321">
        <f>INDEX(KMeans_6_2!AA2:AA51,A321)</f>
        <v/>
      </c>
      <c r="E321">
        <f>INDEX(KMeans_6_2!AA2:AA51,B321)</f>
        <v/>
      </c>
      <c r="O321">
        <f>IF(OR(AND(D321=1,E321=2),AND(D321=2,E321=1)),C321,"")</f>
        <v/>
      </c>
      <c r="P321">
        <f>IF(OR(AND(D321=1,E321=3),AND(D321=3,E321=1)),C321,"")</f>
        <v/>
      </c>
      <c r="Q321">
        <f>IF(OR(AND(D321=2,E321=3),AND(D321=3,E321=2)),C321,"")</f>
        <v/>
      </c>
    </row>
    <row r="322">
      <c r="A322" t="n">
        <v>7</v>
      </c>
      <c r="B322" t="n">
        <v>49</v>
      </c>
      <c r="C322">
        <f>SQRT((Scale_PCA_Mechanics!G8-Scale_PCA_Mechanics!G50)^2+(Scale_PCA_Mechanics!H8-Scale_PCA_Mechanics!H50)^2+(Scale_PCA_Mechanics!I8-Scale_PCA_Mechanics!I50)^2+(Scale_PCA_Mechanics!J8-Scale_PCA_Mechanics!J50)^2)</f>
        <v/>
      </c>
      <c r="D322">
        <f>INDEX(KMeans_6_2!AA2:AA51,A322)</f>
        <v/>
      </c>
      <c r="E322">
        <f>INDEX(KMeans_6_2!AA2:AA51,B322)</f>
        <v/>
      </c>
      <c r="O322">
        <f>IF(OR(AND(D322=1,E322=2),AND(D322=2,E322=1)),C322,"")</f>
        <v/>
      </c>
      <c r="P322">
        <f>IF(OR(AND(D322=1,E322=3),AND(D322=3,E322=1)),C322,"")</f>
        <v/>
      </c>
      <c r="Q322">
        <f>IF(OR(AND(D322=2,E322=3),AND(D322=3,E322=2)),C322,"")</f>
        <v/>
      </c>
    </row>
    <row r="323">
      <c r="A323" t="n">
        <v>7</v>
      </c>
      <c r="B323" t="n">
        <v>50</v>
      </c>
      <c r="C323">
        <f>SQRT((Scale_PCA_Mechanics!G8-Scale_PCA_Mechanics!G51)^2+(Scale_PCA_Mechanics!H8-Scale_PCA_Mechanics!H51)^2+(Scale_PCA_Mechanics!I8-Scale_PCA_Mechanics!I51)^2+(Scale_PCA_Mechanics!J8-Scale_PCA_Mechanics!J51)^2)</f>
        <v/>
      </c>
      <c r="D323">
        <f>INDEX(KMeans_6_2!AA2:AA51,A323)</f>
        <v/>
      </c>
      <c r="E323">
        <f>INDEX(KMeans_6_2!AA2:AA51,B323)</f>
        <v/>
      </c>
      <c r="O323">
        <f>IF(OR(AND(D323=1,E323=2),AND(D323=2,E323=1)),C323,"")</f>
        <v/>
      </c>
      <c r="P323">
        <f>IF(OR(AND(D323=1,E323=3),AND(D323=3,E323=1)),C323,"")</f>
        <v/>
      </c>
      <c r="Q323">
        <f>IF(OR(AND(D323=2,E323=3),AND(D323=3,E323=2)),C323,"")</f>
        <v/>
      </c>
    </row>
    <row r="324">
      <c r="A324" t="n">
        <v>8</v>
      </c>
      <c r="B324" t="n">
        <v>9</v>
      </c>
      <c r="C324">
        <f>SQRT((Scale_PCA_Mechanics!G9-Scale_PCA_Mechanics!G10)^2+(Scale_PCA_Mechanics!H9-Scale_PCA_Mechanics!H10)^2+(Scale_PCA_Mechanics!I9-Scale_PCA_Mechanics!I10)^2+(Scale_PCA_Mechanics!J9-Scale_PCA_Mechanics!J10)^2)</f>
        <v/>
      </c>
      <c r="D324">
        <f>INDEX(KMeans_6_2!AA2:AA51,A324)</f>
        <v/>
      </c>
      <c r="E324">
        <f>INDEX(KMeans_6_2!AA2:AA51,B324)</f>
        <v/>
      </c>
      <c r="O324">
        <f>IF(OR(AND(D324=1,E324=2),AND(D324=2,E324=1)),C324,"")</f>
        <v/>
      </c>
      <c r="P324">
        <f>IF(OR(AND(D324=1,E324=3),AND(D324=3,E324=1)),C324,"")</f>
        <v/>
      </c>
      <c r="Q324">
        <f>IF(OR(AND(D324=2,E324=3),AND(D324=3,E324=2)),C324,"")</f>
        <v/>
      </c>
    </row>
    <row r="325">
      <c r="A325" t="n">
        <v>8</v>
      </c>
      <c r="B325" t="n">
        <v>10</v>
      </c>
      <c r="C325">
        <f>SQRT((Scale_PCA_Mechanics!G9-Scale_PCA_Mechanics!G11)^2+(Scale_PCA_Mechanics!H9-Scale_PCA_Mechanics!H11)^2+(Scale_PCA_Mechanics!I9-Scale_PCA_Mechanics!I11)^2+(Scale_PCA_Mechanics!J9-Scale_PCA_Mechanics!J11)^2)</f>
        <v/>
      </c>
      <c r="D325">
        <f>INDEX(KMeans_6_2!AA2:AA51,A325)</f>
        <v/>
      </c>
      <c r="E325">
        <f>INDEX(KMeans_6_2!AA2:AA51,B325)</f>
        <v/>
      </c>
      <c r="O325">
        <f>IF(OR(AND(D325=1,E325=2),AND(D325=2,E325=1)),C325,"")</f>
        <v/>
      </c>
      <c r="P325">
        <f>IF(OR(AND(D325=1,E325=3),AND(D325=3,E325=1)),C325,"")</f>
        <v/>
      </c>
      <c r="Q325">
        <f>IF(OR(AND(D325=2,E325=3),AND(D325=3,E325=2)),C325,"")</f>
        <v/>
      </c>
    </row>
    <row r="326">
      <c r="A326" t="n">
        <v>8</v>
      </c>
      <c r="B326" t="n">
        <v>11</v>
      </c>
      <c r="C326">
        <f>SQRT((Scale_PCA_Mechanics!G9-Scale_PCA_Mechanics!G12)^2+(Scale_PCA_Mechanics!H9-Scale_PCA_Mechanics!H12)^2+(Scale_PCA_Mechanics!I9-Scale_PCA_Mechanics!I12)^2+(Scale_PCA_Mechanics!J9-Scale_PCA_Mechanics!J12)^2)</f>
        <v/>
      </c>
      <c r="D326">
        <f>INDEX(KMeans_6_2!AA2:AA51,A326)</f>
        <v/>
      </c>
      <c r="E326">
        <f>INDEX(KMeans_6_2!AA2:AA51,B326)</f>
        <v/>
      </c>
      <c r="O326">
        <f>IF(OR(AND(D326=1,E326=2),AND(D326=2,E326=1)),C326,"")</f>
        <v/>
      </c>
      <c r="P326">
        <f>IF(OR(AND(D326=1,E326=3),AND(D326=3,E326=1)),C326,"")</f>
        <v/>
      </c>
      <c r="Q326">
        <f>IF(OR(AND(D326=2,E326=3),AND(D326=3,E326=2)),C326,"")</f>
        <v/>
      </c>
    </row>
    <row r="327">
      <c r="A327" t="n">
        <v>8</v>
      </c>
      <c r="B327" t="n">
        <v>12</v>
      </c>
      <c r="C327">
        <f>SQRT((Scale_PCA_Mechanics!G9-Scale_PCA_Mechanics!G13)^2+(Scale_PCA_Mechanics!H9-Scale_PCA_Mechanics!H13)^2+(Scale_PCA_Mechanics!I9-Scale_PCA_Mechanics!I13)^2+(Scale_PCA_Mechanics!J9-Scale_PCA_Mechanics!J13)^2)</f>
        <v/>
      </c>
      <c r="D327">
        <f>INDEX(KMeans_6_2!AA2:AA51,A327)</f>
        <v/>
      </c>
      <c r="E327">
        <f>INDEX(KMeans_6_2!AA2:AA51,B327)</f>
        <v/>
      </c>
      <c r="O327">
        <f>IF(OR(AND(D327=1,E327=2),AND(D327=2,E327=1)),C327,"")</f>
        <v/>
      </c>
      <c r="P327">
        <f>IF(OR(AND(D327=1,E327=3),AND(D327=3,E327=1)),C327,"")</f>
        <v/>
      </c>
      <c r="Q327">
        <f>IF(OR(AND(D327=2,E327=3),AND(D327=3,E327=2)),C327,"")</f>
        <v/>
      </c>
    </row>
    <row r="328">
      <c r="A328" t="n">
        <v>8</v>
      </c>
      <c r="B328" t="n">
        <v>13</v>
      </c>
      <c r="C328">
        <f>SQRT((Scale_PCA_Mechanics!G9-Scale_PCA_Mechanics!G14)^2+(Scale_PCA_Mechanics!H9-Scale_PCA_Mechanics!H14)^2+(Scale_PCA_Mechanics!I9-Scale_PCA_Mechanics!I14)^2+(Scale_PCA_Mechanics!J9-Scale_PCA_Mechanics!J14)^2)</f>
        <v/>
      </c>
      <c r="D328">
        <f>INDEX(KMeans_6_2!AA2:AA51,A328)</f>
        <v/>
      </c>
      <c r="E328">
        <f>INDEX(KMeans_6_2!AA2:AA51,B328)</f>
        <v/>
      </c>
      <c r="O328">
        <f>IF(OR(AND(D328=1,E328=2),AND(D328=2,E328=1)),C328,"")</f>
        <v/>
      </c>
      <c r="P328">
        <f>IF(OR(AND(D328=1,E328=3),AND(D328=3,E328=1)),C328,"")</f>
        <v/>
      </c>
      <c r="Q328">
        <f>IF(OR(AND(D328=2,E328=3),AND(D328=3,E328=2)),C328,"")</f>
        <v/>
      </c>
    </row>
    <row r="329">
      <c r="A329" t="n">
        <v>8</v>
      </c>
      <c r="B329" t="n">
        <v>14</v>
      </c>
      <c r="C329">
        <f>SQRT((Scale_PCA_Mechanics!G9-Scale_PCA_Mechanics!G15)^2+(Scale_PCA_Mechanics!H9-Scale_PCA_Mechanics!H15)^2+(Scale_PCA_Mechanics!I9-Scale_PCA_Mechanics!I15)^2+(Scale_PCA_Mechanics!J9-Scale_PCA_Mechanics!J15)^2)</f>
        <v/>
      </c>
      <c r="D329">
        <f>INDEX(KMeans_6_2!AA2:AA51,A329)</f>
        <v/>
      </c>
      <c r="E329">
        <f>INDEX(KMeans_6_2!AA2:AA51,B329)</f>
        <v/>
      </c>
      <c r="O329">
        <f>IF(OR(AND(D329=1,E329=2),AND(D329=2,E329=1)),C329,"")</f>
        <v/>
      </c>
      <c r="P329">
        <f>IF(OR(AND(D329=1,E329=3),AND(D329=3,E329=1)),C329,"")</f>
        <v/>
      </c>
      <c r="Q329">
        <f>IF(OR(AND(D329=2,E329=3),AND(D329=3,E329=2)),C329,"")</f>
        <v/>
      </c>
    </row>
    <row r="330">
      <c r="A330" t="n">
        <v>8</v>
      </c>
      <c r="B330" t="n">
        <v>15</v>
      </c>
      <c r="C330">
        <f>SQRT((Scale_PCA_Mechanics!G9-Scale_PCA_Mechanics!G16)^2+(Scale_PCA_Mechanics!H9-Scale_PCA_Mechanics!H16)^2+(Scale_PCA_Mechanics!I9-Scale_PCA_Mechanics!I16)^2+(Scale_PCA_Mechanics!J9-Scale_PCA_Mechanics!J16)^2)</f>
        <v/>
      </c>
      <c r="D330">
        <f>INDEX(KMeans_6_2!AA2:AA51,A330)</f>
        <v/>
      </c>
      <c r="E330">
        <f>INDEX(KMeans_6_2!AA2:AA51,B330)</f>
        <v/>
      </c>
      <c r="O330">
        <f>IF(OR(AND(D330=1,E330=2),AND(D330=2,E330=1)),C330,"")</f>
        <v/>
      </c>
      <c r="P330">
        <f>IF(OR(AND(D330=1,E330=3),AND(D330=3,E330=1)),C330,"")</f>
        <v/>
      </c>
      <c r="Q330">
        <f>IF(OR(AND(D330=2,E330=3),AND(D330=3,E330=2)),C330,"")</f>
        <v/>
      </c>
    </row>
    <row r="331">
      <c r="A331" t="n">
        <v>8</v>
      </c>
      <c r="B331" t="n">
        <v>16</v>
      </c>
      <c r="C331">
        <f>SQRT((Scale_PCA_Mechanics!G9-Scale_PCA_Mechanics!G17)^2+(Scale_PCA_Mechanics!H9-Scale_PCA_Mechanics!H17)^2+(Scale_PCA_Mechanics!I9-Scale_PCA_Mechanics!I17)^2+(Scale_PCA_Mechanics!J9-Scale_PCA_Mechanics!J17)^2)</f>
        <v/>
      </c>
      <c r="D331">
        <f>INDEX(KMeans_6_2!AA2:AA51,A331)</f>
        <v/>
      </c>
      <c r="E331">
        <f>INDEX(KMeans_6_2!AA2:AA51,B331)</f>
        <v/>
      </c>
      <c r="O331">
        <f>IF(OR(AND(D331=1,E331=2),AND(D331=2,E331=1)),C331,"")</f>
        <v/>
      </c>
      <c r="P331">
        <f>IF(OR(AND(D331=1,E331=3),AND(D331=3,E331=1)),C331,"")</f>
        <v/>
      </c>
      <c r="Q331">
        <f>IF(OR(AND(D331=2,E331=3),AND(D331=3,E331=2)),C331,"")</f>
        <v/>
      </c>
    </row>
    <row r="332">
      <c r="A332" t="n">
        <v>8</v>
      </c>
      <c r="B332" t="n">
        <v>17</v>
      </c>
      <c r="C332">
        <f>SQRT((Scale_PCA_Mechanics!G9-Scale_PCA_Mechanics!G18)^2+(Scale_PCA_Mechanics!H9-Scale_PCA_Mechanics!H18)^2+(Scale_PCA_Mechanics!I9-Scale_PCA_Mechanics!I18)^2+(Scale_PCA_Mechanics!J9-Scale_PCA_Mechanics!J18)^2)</f>
        <v/>
      </c>
      <c r="D332">
        <f>INDEX(KMeans_6_2!AA2:AA51,A332)</f>
        <v/>
      </c>
      <c r="E332">
        <f>INDEX(KMeans_6_2!AA2:AA51,B332)</f>
        <v/>
      </c>
      <c r="O332">
        <f>IF(OR(AND(D332=1,E332=2),AND(D332=2,E332=1)),C332,"")</f>
        <v/>
      </c>
      <c r="P332">
        <f>IF(OR(AND(D332=1,E332=3),AND(D332=3,E332=1)),C332,"")</f>
        <v/>
      </c>
      <c r="Q332">
        <f>IF(OR(AND(D332=2,E332=3),AND(D332=3,E332=2)),C332,"")</f>
        <v/>
      </c>
    </row>
    <row r="333">
      <c r="A333" t="n">
        <v>8</v>
      </c>
      <c r="B333" t="n">
        <v>18</v>
      </c>
      <c r="C333">
        <f>SQRT((Scale_PCA_Mechanics!G9-Scale_PCA_Mechanics!G19)^2+(Scale_PCA_Mechanics!H9-Scale_PCA_Mechanics!H19)^2+(Scale_PCA_Mechanics!I9-Scale_PCA_Mechanics!I19)^2+(Scale_PCA_Mechanics!J9-Scale_PCA_Mechanics!J19)^2)</f>
        <v/>
      </c>
      <c r="D333">
        <f>INDEX(KMeans_6_2!AA2:AA51,A333)</f>
        <v/>
      </c>
      <c r="E333">
        <f>INDEX(KMeans_6_2!AA2:AA51,B333)</f>
        <v/>
      </c>
      <c r="O333">
        <f>IF(OR(AND(D333=1,E333=2),AND(D333=2,E333=1)),C333,"")</f>
        <v/>
      </c>
      <c r="P333">
        <f>IF(OR(AND(D333=1,E333=3),AND(D333=3,E333=1)),C333,"")</f>
        <v/>
      </c>
      <c r="Q333">
        <f>IF(OR(AND(D333=2,E333=3),AND(D333=3,E333=2)),C333,"")</f>
        <v/>
      </c>
    </row>
    <row r="334">
      <c r="A334" t="n">
        <v>8</v>
      </c>
      <c r="B334" t="n">
        <v>19</v>
      </c>
      <c r="C334">
        <f>SQRT((Scale_PCA_Mechanics!G9-Scale_PCA_Mechanics!G20)^2+(Scale_PCA_Mechanics!H9-Scale_PCA_Mechanics!H20)^2+(Scale_PCA_Mechanics!I9-Scale_PCA_Mechanics!I20)^2+(Scale_PCA_Mechanics!J9-Scale_PCA_Mechanics!J20)^2)</f>
        <v/>
      </c>
      <c r="D334">
        <f>INDEX(KMeans_6_2!AA2:AA51,A334)</f>
        <v/>
      </c>
      <c r="E334">
        <f>INDEX(KMeans_6_2!AA2:AA51,B334)</f>
        <v/>
      </c>
      <c r="O334">
        <f>IF(OR(AND(D334=1,E334=2),AND(D334=2,E334=1)),C334,"")</f>
        <v/>
      </c>
      <c r="P334">
        <f>IF(OR(AND(D334=1,E334=3),AND(D334=3,E334=1)),C334,"")</f>
        <v/>
      </c>
      <c r="Q334">
        <f>IF(OR(AND(D334=2,E334=3),AND(D334=3,E334=2)),C334,"")</f>
        <v/>
      </c>
    </row>
    <row r="335">
      <c r="A335" t="n">
        <v>8</v>
      </c>
      <c r="B335" t="n">
        <v>20</v>
      </c>
      <c r="C335">
        <f>SQRT((Scale_PCA_Mechanics!G9-Scale_PCA_Mechanics!G21)^2+(Scale_PCA_Mechanics!H9-Scale_PCA_Mechanics!H21)^2+(Scale_PCA_Mechanics!I9-Scale_PCA_Mechanics!I21)^2+(Scale_PCA_Mechanics!J9-Scale_PCA_Mechanics!J21)^2)</f>
        <v/>
      </c>
      <c r="D335">
        <f>INDEX(KMeans_6_2!AA2:AA51,A335)</f>
        <v/>
      </c>
      <c r="E335">
        <f>INDEX(KMeans_6_2!AA2:AA51,B335)</f>
        <v/>
      </c>
      <c r="O335">
        <f>IF(OR(AND(D335=1,E335=2),AND(D335=2,E335=1)),C335,"")</f>
        <v/>
      </c>
      <c r="P335">
        <f>IF(OR(AND(D335=1,E335=3),AND(D335=3,E335=1)),C335,"")</f>
        <v/>
      </c>
      <c r="Q335">
        <f>IF(OR(AND(D335=2,E335=3),AND(D335=3,E335=2)),C335,"")</f>
        <v/>
      </c>
    </row>
    <row r="336">
      <c r="A336" t="n">
        <v>8</v>
      </c>
      <c r="B336" t="n">
        <v>21</v>
      </c>
      <c r="C336">
        <f>SQRT((Scale_PCA_Mechanics!G9-Scale_PCA_Mechanics!G22)^2+(Scale_PCA_Mechanics!H9-Scale_PCA_Mechanics!H22)^2+(Scale_PCA_Mechanics!I9-Scale_PCA_Mechanics!I22)^2+(Scale_PCA_Mechanics!J9-Scale_PCA_Mechanics!J22)^2)</f>
        <v/>
      </c>
      <c r="D336">
        <f>INDEX(KMeans_6_2!AA2:AA51,A336)</f>
        <v/>
      </c>
      <c r="E336">
        <f>INDEX(KMeans_6_2!AA2:AA51,B336)</f>
        <v/>
      </c>
      <c r="O336">
        <f>IF(OR(AND(D336=1,E336=2),AND(D336=2,E336=1)),C336,"")</f>
        <v/>
      </c>
      <c r="P336">
        <f>IF(OR(AND(D336=1,E336=3),AND(D336=3,E336=1)),C336,"")</f>
        <v/>
      </c>
      <c r="Q336">
        <f>IF(OR(AND(D336=2,E336=3),AND(D336=3,E336=2)),C336,"")</f>
        <v/>
      </c>
    </row>
    <row r="337">
      <c r="A337" t="n">
        <v>8</v>
      </c>
      <c r="B337" t="n">
        <v>22</v>
      </c>
      <c r="C337">
        <f>SQRT((Scale_PCA_Mechanics!G9-Scale_PCA_Mechanics!G23)^2+(Scale_PCA_Mechanics!H9-Scale_PCA_Mechanics!H23)^2+(Scale_PCA_Mechanics!I9-Scale_PCA_Mechanics!I23)^2+(Scale_PCA_Mechanics!J9-Scale_PCA_Mechanics!J23)^2)</f>
        <v/>
      </c>
      <c r="D337">
        <f>INDEX(KMeans_6_2!AA2:AA51,A337)</f>
        <v/>
      </c>
      <c r="E337">
        <f>INDEX(KMeans_6_2!AA2:AA51,B337)</f>
        <v/>
      </c>
      <c r="O337">
        <f>IF(OR(AND(D337=1,E337=2),AND(D337=2,E337=1)),C337,"")</f>
        <v/>
      </c>
      <c r="P337">
        <f>IF(OR(AND(D337=1,E337=3),AND(D337=3,E337=1)),C337,"")</f>
        <v/>
      </c>
      <c r="Q337">
        <f>IF(OR(AND(D337=2,E337=3),AND(D337=3,E337=2)),C337,"")</f>
        <v/>
      </c>
    </row>
    <row r="338">
      <c r="A338" t="n">
        <v>8</v>
      </c>
      <c r="B338" t="n">
        <v>23</v>
      </c>
      <c r="C338">
        <f>SQRT((Scale_PCA_Mechanics!G9-Scale_PCA_Mechanics!G24)^2+(Scale_PCA_Mechanics!H9-Scale_PCA_Mechanics!H24)^2+(Scale_PCA_Mechanics!I9-Scale_PCA_Mechanics!I24)^2+(Scale_PCA_Mechanics!J9-Scale_PCA_Mechanics!J24)^2)</f>
        <v/>
      </c>
      <c r="D338">
        <f>INDEX(KMeans_6_2!AA2:AA51,A338)</f>
        <v/>
      </c>
      <c r="E338">
        <f>INDEX(KMeans_6_2!AA2:AA51,B338)</f>
        <v/>
      </c>
      <c r="O338">
        <f>IF(OR(AND(D338=1,E338=2),AND(D338=2,E338=1)),C338,"")</f>
        <v/>
      </c>
      <c r="P338">
        <f>IF(OR(AND(D338=1,E338=3),AND(D338=3,E338=1)),C338,"")</f>
        <v/>
      </c>
      <c r="Q338">
        <f>IF(OR(AND(D338=2,E338=3),AND(D338=3,E338=2)),C338,"")</f>
        <v/>
      </c>
    </row>
    <row r="339">
      <c r="A339" t="n">
        <v>8</v>
      </c>
      <c r="B339" t="n">
        <v>24</v>
      </c>
      <c r="C339">
        <f>SQRT((Scale_PCA_Mechanics!G9-Scale_PCA_Mechanics!G25)^2+(Scale_PCA_Mechanics!H9-Scale_PCA_Mechanics!H25)^2+(Scale_PCA_Mechanics!I9-Scale_PCA_Mechanics!I25)^2+(Scale_PCA_Mechanics!J9-Scale_PCA_Mechanics!J25)^2)</f>
        <v/>
      </c>
      <c r="D339">
        <f>INDEX(KMeans_6_2!AA2:AA51,A339)</f>
        <v/>
      </c>
      <c r="E339">
        <f>INDEX(KMeans_6_2!AA2:AA51,B339)</f>
        <v/>
      </c>
      <c r="O339">
        <f>IF(OR(AND(D339=1,E339=2),AND(D339=2,E339=1)),C339,"")</f>
        <v/>
      </c>
      <c r="P339">
        <f>IF(OR(AND(D339=1,E339=3),AND(D339=3,E339=1)),C339,"")</f>
        <v/>
      </c>
      <c r="Q339">
        <f>IF(OR(AND(D339=2,E339=3),AND(D339=3,E339=2)),C339,"")</f>
        <v/>
      </c>
    </row>
    <row r="340">
      <c r="A340" t="n">
        <v>8</v>
      </c>
      <c r="B340" t="n">
        <v>25</v>
      </c>
      <c r="C340">
        <f>SQRT((Scale_PCA_Mechanics!G9-Scale_PCA_Mechanics!G26)^2+(Scale_PCA_Mechanics!H9-Scale_PCA_Mechanics!H26)^2+(Scale_PCA_Mechanics!I9-Scale_PCA_Mechanics!I26)^2+(Scale_PCA_Mechanics!J9-Scale_PCA_Mechanics!J26)^2)</f>
        <v/>
      </c>
      <c r="D340">
        <f>INDEX(KMeans_6_2!AA2:AA51,A340)</f>
        <v/>
      </c>
      <c r="E340">
        <f>INDEX(KMeans_6_2!AA2:AA51,B340)</f>
        <v/>
      </c>
      <c r="O340">
        <f>IF(OR(AND(D340=1,E340=2),AND(D340=2,E340=1)),C340,"")</f>
        <v/>
      </c>
      <c r="P340">
        <f>IF(OR(AND(D340=1,E340=3),AND(D340=3,E340=1)),C340,"")</f>
        <v/>
      </c>
      <c r="Q340">
        <f>IF(OR(AND(D340=2,E340=3),AND(D340=3,E340=2)),C340,"")</f>
        <v/>
      </c>
    </row>
    <row r="341">
      <c r="A341" t="n">
        <v>8</v>
      </c>
      <c r="B341" t="n">
        <v>26</v>
      </c>
      <c r="C341">
        <f>SQRT((Scale_PCA_Mechanics!G9-Scale_PCA_Mechanics!G27)^2+(Scale_PCA_Mechanics!H9-Scale_PCA_Mechanics!H27)^2+(Scale_PCA_Mechanics!I9-Scale_PCA_Mechanics!I27)^2+(Scale_PCA_Mechanics!J9-Scale_PCA_Mechanics!J27)^2)</f>
        <v/>
      </c>
      <c r="D341">
        <f>INDEX(KMeans_6_2!AA2:AA51,A341)</f>
        <v/>
      </c>
      <c r="E341">
        <f>INDEX(KMeans_6_2!AA2:AA51,B341)</f>
        <v/>
      </c>
      <c r="O341">
        <f>IF(OR(AND(D341=1,E341=2),AND(D341=2,E341=1)),C341,"")</f>
        <v/>
      </c>
      <c r="P341">
        <f>IF(OR(AND(D341=1,E341=3),AND(D341=3,E341=1)),C341,"")</f>
        <v/>
      </c>
      <c r="Q341">
        <f>IF(OR(AND(D341=2,E341=3),AND(D341=3,E341=2)),C341,"")</f>
        <v/>
      </c>
    </row>
    <row r="342">
      <c r="A342" t="n">
        <v>8</v>
      </c>
      <c r="B342" t="n">
        <v>27</v>
      </c>
      <c r="C342">
        <f>SQRT((Scale_PCA_Mechanics!G9-Scale_PCA_Mechanics!G28)^2+(Scale_PCA_Mechanics!H9-Scale_PCA_Mechanics!H28)^2+(Scale_PCA_Mechanics!I9-Scale_PCA_Mechanics!I28)^2+(Scale_PCA_Mechanics!J9-Scale_PCA_Mechanics!J28)^2)</f>
        <v/>
      </c>
      <c r="D342">
        <f>INDEX(KMeans_6_2!AA2:AA51,A342)</f>
        <v/>
      </c>
      <c r="E342">
        <f>INDEX(KMeans_6_2!AA2:AA51,B342)</f>
        <v/>
      </c>
      <c r="O342">
        <f>IF(OR(AND(D342=1,E342=2),AND(D342=2,E342=1)),C342,"")</f>
        <v/>
      </c>
      <c r="P342">
        <f>IF(OR(AND(D342=1,E342=3),AND(D342=3,E342=1)),C342,"")</f>
        <v/>
      </c>
      <c r="Q342">
        <f>IF(OR(AND(D342=2,E342=3),AND(D342=3,E342=2)),C342,"")</f>
        <v/>
      </c>
    </row>
    <row r="343">
      <c r="A343" t="n">
        <v>8</v>
      </c>
      <c r="B343" t="n">
        <v>28</v>
      </c>
      <c r="C343">
        <f>SQRT((Scale_PCA_Mechanics!G9-Scale_PCA_Mechanics!G29)^2+(Scale_PCA_Mechanics!H9-Scale_PCA_Mechanics!H29)^2+(Scale_PCA_Mechanics!I9-Scale_PCA_Mechanics!I29)^2+(Scale_PCA_Mechanics!J9-Scale_PCA_Mechanics!J29)^2)</f>
        <v/>
      </c>
      <c r="D343">
        <f>INDEX(KMeans_6_2!AA2:AA51,A343)</f>
        <v/>
      </c>
      <c r="E343">
        <f>INDEX(KMeans_6_2!AA2:AA51,B343)</f>
        <v/>
      </c>
      <c r="O343">
        <f>IF(OR(AND(D343=1,E343=2),AND(D343=2,E343=1)),C343,"")</f>
        <v/>
      </c>
      <c r="P343">
        <f>IF(OR(AND(D343=1,E343=3),AND(D343=3,E343=1)),C343,"")</f>
        <v/>
      </c>
      <c r="Q343">
        <f>IF(OR(AND(D343=2,E343=3),AND(D343=3,E343=2)),C343,"")</f>
        <v/>
      </c>
    </row>
    <row r="344">
      <c r="A344" t="n">
        <v>8</v>
      </c>
      <c r="B344" t="n">
        <v>29</v>
      </c>
      <c r="C344">
        <f>SQRT((Scale_PCA_Mechanics!G9-Scale_PCA_Mechanics!G30)^2+(Scale_PCA_Mechanics!H9-Scale_PCA_Mechanics!H30)^2+(Scale_PCA_Mechanics!I9-Scale_PCA_Mechanics!I30)^2+(Scale_PCA_Mechanics!J9-Scale_PCA_Mechanics!J30)^2)</f>
        <v/>
      </c>
      <c r="D344">
        <f>INDEX(KMeans_6_2!AA2:AA51,A344)</f>
        <v/>
      </c>
      <c r="E344">
        <f>INDEX(KMeans_6_2!AA2:AA51,B344)</f>
        <v/>
      </c>
      <c r="O344">
        <f>IF(OR(AND(D344=1,E344=2),AND(D344=2,E344=1)),C344,"")</f>
        <v/>
      </c>
      <c r="P344">
        <f>IF(OR(AND(D344=1,E344=3),AND(D344=3,E344=1)),C344,"")</f>
        <v/>
      </c>
      <c r="Q344">
        <f>IF(OR(AND(D344=2,E344=3),AND(D344=3,E344=2)),C344,"")</f>
        <v/>
      </c>
    </row>
    <row r="345">
      <c r="A345" t="n">
        <v>8</v>
      </c>
      <c r="B345" t="n">
        <v>30</v>
      </c>
      <c r="C345">
        <f>SQRT((Scale_PCA_Mechanics!G9-Scale_PCA_Mechanics!G31)^2+(Scale_PCA_Mechanics!H9-Scale_PCA_Mechanics!H31)^2+(Scale_PCA_Mechanics!I9-Scale_PCA_Mechanics!I31)^2+(Scale_PCA_Mechanics!J9-Scale_PCA_Mechanics!J31)^2)</f>
        <v/>
      </c>
      <c r="D345">
        <f>INDEX(KMeans_6_2!AA2:AA51,A345)</f>
        <v/>
      </c>
      <c r="E345">
        <f>INDEX(KMeans_6_2!AA2:AA51,B345)</f>
        <v/>
      </c>
      <c r="O345">
        <f>IF(OR(AND(D345=1,E345=2),AND(D345=2,E345=1)),C345,"")</f>
        <v/>
      </c>
      <c r="P345">
        <f>IF(OR(AND(D345=1,E345=3),AND(D345=3,E345=1)),C345,"")</f>
        <v/>
      </c>
      <c r="Q345">
        <f>IF(OR(AND(D345=2,E345=3),AND(D345=3,E345=2)),C345,"")</f>
        <v/>
      </c>
    </row>
    <row r="346">
      <c r="A346" t="n">
        <v>8</v>
      </c>
      <c r="B346" t="n">
        <v>31</v>
      </c>
      <c r="C346">
        <f>SQRT((Scale_PCA_Mechanics!G9-Scale_PCA_Mechanics!G32)^2+(Scale_PCA_Mechanics!H9-Scale_PCA_Mechanics!H32)^2+(Scale_PCA_Mechanics!I9-Scale_PCA_Mechanics!I32)^2+(Scale_PCA_Mechanics!J9-Scale_PCA_Mechanics!J32)^2)</f>
        <v/>
      </c>
      <c r="D346">
        <f>INDEX(KMeans_6_2!AA2:AA51,A346)</f>
        <v/>
      </c>
      <c r="E346">
        <f>INDEX(KMeans_6_2!AA2:AA51,B346)</f>
        <v/>
      </c>
      <c r="O346">
        <f>IF(OR(AND(D346=1,E346=2),AND(D346=2,E346=1)),C346,"")</f>
        <v/>
      </c>
      <c r="P346">
        <f>IF(OR(AND(D346=1,E346=3),AND(D346=3,E346=1)),C346,"")</f>
        <v/>
      </c>
      <c r="Q346">
        <f>IF(OR(AND(D346=2,E346=3),AND(D346=3,E346=2)),C346,"")</f>
        <v/>
      </c>
    </row>
    <row r="347">
      <c r="A347" t="n">
        <v>8</v>
      </c>
      <c r="B347" t="n">
        <v>32</v>
      </c>
      <c r="C347">
        <f>SQRT((Scale_PCA_Mechanics!G9-Scale_PCA_Mechanics!G33)^2+(Scale_PCA_Mechanics!H9-Scale_PCA_Mechanics!H33)^2+(Scale_PCA_Mechanics!I9-Scale_PCA_Mechanics!I33)^2+(Scale_PCA_Mechanics!J9-Scale_PCA_Mechanics!J33)^2)</f>
        <v/>
      </c>
      <c r="D347">
        <f>INDEX(KMeans_6_2!AA2:AA51,A347)</f>
        <v/>
      </c>
      <c r="E347">
        <f>INDEX(KMeans_6_2!AA2:AA51,B347)</f>
        <v/>
      </c>
      <c r="O347">
        <f>IF(OR(AND(D347=1,E347=2),AND(D347=2,E347=1)),C347,"")</f>
        <v/>
      </c>
      <c r="P347">
        <f>IF(OR(AND(D347=1,E347=3),AND(D347=3,E347=1)),C347,"")</f>
        <v/>
      </c>
      <c r="Q347">
        <f>IF(OR(AND(D347=2,E347=3),AND(D347=3,E347=2)),C347,"")</f>
        <v/>
      </c>
    </row>
    <row r="348">
      <c r="A348" t="n">
        <v>8</v>
      </c>
      <c r="B348" t="n">
        <v>33</v>
      </c>
      <c r="C348">
        <f>SQRT((Scale_PCA_Mechanics!G9-Scale_PCA_Mechanics!G34)^2+(Scale_PCA_Mechanics!H9-Scale_PCA_Mechanics!H34)^2+(Scale_PCA_Mechanics!I9-Scale_PCA_Mechanics!I34)^2+(Scale_PCA_Mechanics!J9-Scale_PCA_Mechanics!J34)^2)</f>
        <v/>
      </c>
      <c r="D348">
        <f>INDEX(KMeans_6_2!AA2:AA51,A348)</f>
        <v/>
      </c>
      <c r="E348">
        <f>INDEX(KMeans_6_2!AA2:AA51,B348)</f>
        <v/>
      </c>
      <c r="O348">
        <f>IF(OR(AND(D348=1,E348=2),AND(D348=2,E348=1)),C348,"")</f>
        <v/>
      </c>
      <c r="P348">
        <f>IF(OR(AND(D348=1,E348=3),AND(D348=3,E348=1)),C348,"")</f>
        <v/>
      </c>
      <c r="Q348">
        <f>IF(OR(AND(D348=2,E348=3),AND(D348=3,E348=2)),C348,"")</f>
        <v/>
      </c>
    </row>
    <row r="349">
      <c r="A349" t="n">
        <v>8</v>
      </c>
      <c r="B349" t="n">
        <v>34</v>
      </c>
      <c r="C349">
        <f>SQRT((Scale_PCA_Mechanics!G9-Scale_PCA_Mechanics!G35)^2+(Scale_PCA_Mechanics!H9-Scale_PCA_Mechanics!H35)^2+(Scale_PCA_Mechanics!I9-Scale_PCA_Mechanics!I35)^2+(Scale_PCA_Mechanics!J9-Scale_PCA_Mechanics!J35)^2)</f>
        <v/>
      </c>
      <c r="D349">
        <f>INDEX(KMeans_6_2!AA2:AA51,A349)</f>
        <v/>
      </c>
      <c r="E349">
        <f>INDEX(KMeans_6_2!AA2:AA51,B349)</f>
        <v/>
      </c>
      <c r="O349">
        <f>IF(OR(AND(D349=1,E349=2),AND(D349=2,E349=1)),C349,"")</f>
        <v/>
      </c>
      <c r="P349">
        <f>IF(OR(AND(D349=1,E349=3),AND(D349=3,E349=1)),C349,"")</f>
        <v/>
      </c>
      <c r="Q349">
        <f>IF(OR(AND(D349=2,E349=3),AND(D349=3,E349=2)),C349,"")</f>
        <v/>
      </c>
    </row>
    <row r="350">
      <c r="A350" t="n">
        <v>8</v>
      </c>
      <c r="B350" t="n">
        <v>35</v>
      </c>
      <c r="C350">
        <f>SQRT((Scale_PCA_Mechanics!G9-Scale_PCA_Mechanics!G36)^2+(Scale_PCA_Mechanics!H9-Scale_PCA_Mechanics!H36)^2+(Scale_PCA_Mechanics!I9-Scale_PCA_Mechanics!I36)^2+(Scale_PCA_Mechanics!J9-Scale_PCA_Mechanics!J36)^2)</f>
        <v/>
      </c>
      <c r="D350">
        <f>INDEX(KMeans_6_2!AA2:AA51,A350)</f>
        <v/>
      </c>
      <c r="E350">
        <f>INDEX(KMeans_6_2!AA2:AA51,B350)</f>
        <v/>
      </c>
      <c r="O350">
        <f>IF(OR(AND(D350=1,E350=2),AND(D350=2,E350=1)),C350,"")</f>
        <v/>
      </c>
      <c r="P350">
        <f>IF(OR(AND(D350=1,E350=3),AND(D350=3,E350=1)),C350,"")</f>
        <v/>
      </c>
      <c r="Q350">
        <f>IF(OR(AND(D350=2,E350=3),AND(D350=3,E350=2)),C350,"")</f>
        <v/>
      </c>
    </row>
    <row r="351">
      <c r="A351" t="n">
        <v>8</v>
      </c>
      <c r="B351" t="n">
        <v>36</v>
      </c>
      <c r="C351">
        <f>SQRT((Scale_PCA_Mechanics!G9-Scale_PCA_Mechanics!G37)^2+(Scale_PCA_Mechanics!H9-Scale_PCA_Mechanics!H37)^2+(Scale_PCA_Mechanics!I9-Scale_PCA_Mechanics!I37)^2+(Scale_PCA_Mechanics!J9-Scale_PCA_Mechanics!J37)^2)</f>
        <v/>
      </c>
      <c r="D351">
        <f>INDEX(KMeans_6_2!AA2:AA51,A351)</f>
        <v/>
      </c>
      <c r="E351">
        <f>INDEX(KMeans_6_2!AA2:AA51,B351)</f>
        <v/>
      </c>
      <c r="O351">
        <f>IF(OR(AND(D351=1,E351=2),AND(D351=2,E351=1)),C351,"")</f>
        <v/>
      </c>
      <c r="P351">
        <f>IF(OR(AND(D351=1,E351=3),AND(D351=3,E351=1)),C351,"")</f>
        <v/>
      </c>
      <c r="Q351">
        <f>IF(OR(AND(D351=2,E351=3),AND(D351=3,E351=2)),C351,"")</f>
        <v/>
      </c>
    </row>
    <row r="352">
      <c r="A352" t="n">
        <v>8</v>
      </c>
      <c r="B352" t="n">
        <v>37</v>
      </c>
      <c r="C352">
        <f>SQRT((Scale_PCA_Mechanics!G9-Scale_PCA_Mechanics!G38)^2+(Scale_PCA_Mechanics!H9-Scale_PCA_Mechanics!H38)^2+(Scale_PCA_Mechanics!I9-Scale_PCA_Mechanics!I38)^2+(Scale_PCA_Mechanics!J9-Scale_PCA_Mechanics!J38)^2)</f>
        <v/>
      </c>
      <c r="D352">
        <f>INDEX(KMeans_6_2!AA2:AA51,A352)</f>
        <v/>
      </c>
      <c r="E352">
        <f>INDEX(KMeans_6_2!AA2:AA51,B352)</f>
        <v/>
      </c>
      <c r="O352">
        <f>IF(OR(AND(D352=1,E352=2),AND(D352=2,E352=1)),C352,"")</f>
        <v/>
      </c>
      <c r="P352">
        <f>IF(OR(AND(D352=1,E352=3),AND(D352=3,E352=1)),C352,"")</f>
        <v/>
      </c>
      <c r="Q352">
        <f>IF(OR(AND(D352=2,E352=3),AND(D352=3,E352=2)),C352,"")</f>
        <v/>
      </c>
    </row>
    <row r="353">
      <c r="A353" t="n">
        <v>8</v>
      </c>
      <c r="B353" t="n">
        <v>38</v>
      </c>
      <c r="C353">
        <f>SQRT((Scale_PCA_Mechanics!G9-Scale_PCA_Mechanics!G39)^2+(Scale_PCA_Mechanics!H9-Scale_PCA_Mechanics!H39)^2+(Scale_PCA_Mechanics!I9-Scale_PCA_Mechanics!I39)^2+(Scale_PCA_Mechanics!J9-Scale_PCA_Mechanics!J39)^2)</f>
        <v/>
      </c>
      <c r="D353">
        <f>INDEX(KMeans_6_2!AA2:AA51,A353)</f>
        <v/>
      </c>
      <c r="E353">
        <f>INDEX(KMeans_6_2!AA2:AA51,B353)</f>
        <v/>
      </c>
      <c r="O353">
        <f>IF(OR(AND(D353=1,E353=2),AND(D353=2,E353=1)),C353,"")</f>
        <v/>
      </c>
      <c r="P353">
        <f>IF(OR(AND(D353=1,E353=3),AND(D353=3,E353=1)),C353,"")</f>
        <v/>
      </c>
      <c r="Q353">
        <f>IF(OR(AND(D353=2,E353=3),AND(D353=3,E353=2)),C353,"")</f>
        <v/>
      </c>
    </row>
    <row r="354">
      <c r="A354" t="n">
        <v>8</v>
      </c>
      <c r="B354" t="n">
        <v>39</v>
      </c>
      <c r="C354">
        <f>SQRT((Scale_PCA_Mechanics!G9-Scale_PCA_Mechanics!G40)^2+(Scale_PCA_Mechanics!H9-Scale_PCA_Mechanics!H40)^2+(Scale_PCA_Mechanics!I9-Scale_PCA_Mechanics!I40)^2+(Scale_PCA_Mechanics!J9-Scale_PCA_Mechanics!J40)^2)</f>
        <v/>
      </c>
      <c r="D354">
        <f>INDEX(KMeans_6_2!AA2:AA51,A354)</f>
        <v/>
      </c>
      <c r="E354">
        <f>INDEX(KMeans_6_2!AA2:AA51,B354)</f>
        <v/>
      </c>
      <c r="O354">
        <f>IF(OR(AND(D354=1,E354=2),AND(D354=2,E354=1)),C354,"")</f>
        <v/>
      </c>
      <c r="P354">
        <f>IF(OR(AND(D354=1,E354=3),AND(D354=3,E354=1)),C354,"")</f>
        <v/>
      </c>
      <c r="Q354">
        <f>IF(OR(AND(D354=2,E354=3),AND(D354=3,E354=2)),C354,"")</f>
        <v/>
      </c>
    </row>
    <row r="355">
      <c r="A355" t="n">
        <v>8</v>
      </c>
      <c r="B355" t="n">
        <v>40</v>
      </c>
      <c r="C355">
        <f>SQRT((Scale_PCA_Mechanics!G9-Scale_PCA_Mechanics!G41)^2+(Scale_PCA_Mechanics!H9-Scale_PCA_Mechanics!H41)^2+(Scale_PCA_Mechanics!I9-Scale_PCA_Mechanics!I41)^2+(Scale_PCA_Mechanics!J9-Scale_PCA_Mechanics!J41)^2)</f>
        <v/>
      </c>
      <c r="D355">
        <f>INDEX(KMeans_6_2!AA2:AA51,A355)</f>
        <v/>
      </c>
      <c r="E355">
        <f>INDEX(KMeans_6_2!AA2:AA51,B355)</f>
        <v/>
      </c>
      <c r="O355">
        <f>IF(OR(AND(D355=1,E355=2),AND(D355=2,E355=1)),C355,"")</f>
        <v/>
      </c>
      <c r="P355">
        <f>IF(OR(AND(D355=1,E355=3),AND(D355=3,E355=1)),C355,"")</f>
        <v/>
      </c>
      <c r="Q355">
        <f>IF(OR(AND(D355=2,E355=3),AND(D355=3,E355=2)),C355,"")</f>
        <v/>
      </c>
    </row>
    <row r="356">
      <c r="A356" t="n">
        <v>8</v>
      </c>
      <c r="B356" t="n">
        <v>41</v>
      </c>
      <c r="C356">
        <f>SQRT((Scale_PCA_Mechanics!G9-Scale_PCA_Mechanics!G42)^2+(Scale_PCA_Mechanics!H9-Scale_PCA_Mechanics!H42)^2+(Scale_PCA_Mechanics!I9-Scale_PCA_Mechanics!I42)^2+(Scale_PCA_Mechanics!J9-Scale_PCA_Mechanics!J42)^2)</f>
        <v/>
      </c>
      <c r="D356">
        <f>INDEX(KMeans_6_2!AA2:AA51,A356)</f>
        <v/>
      </c>
      <c r="E356">
        <f>INDEX(KMeans_6_2!AA2:AA51,B356)</f>
        <v/>
      </c>
      <c r="O356">
        <f>IF(OR(AND(D356=1,E356=2),AND(D356=2,E356=1)),C356,"")</f>
        <v/>
      </c>
      <c r="P356">
        <f>IF(OR(AND(D356=1,E356=3),AND(D356=3,E356=1)),C356,"")</f>
        <v/>
      </c>
      <c r="Q356">
        <f>IF(OR(AND(D356=2,E356=3),AND(D356=3,E356=2)),C356,"")</f>
        <v/>
      </c>
    </row>
    <row r="357">
      <c r="A357" t="n">
        <v>8</v>
      </c>
      <c r="B357" t="n">
        <v>42</v>
      </c>
      <c r="C357">
        <f>SQRT((Scale_PCA_Mechanics!G9-Scale_PCA_Mechanics!G43)^2+(Scale_PCA_Mechanics!H9-Scale_PCA_Mechanics!H43)^2+(Scale_PCA_Mechanics!I9-Scale_PCA_Mechanics!I43)^2+(Scale_PCA_Mechanics!J9-Scale_PCA_Mechanics!J43)^2)</f>
        <v/>
      </c>
      <c r="D357">
        <f>INDEX(KMeans_6_2!AA2:AA51,A357)</f>
        <v/>
      </c>
      <c r="E357">
        <f>INDEX(KMeans_6_2!AA2:AA51,B357)</f>
        <v/>
      </c>
      <c r="O357">
        <f>IF(OR(AND(D357=1,E357=2),AND(D357=2,E357=1)),C357,"")</f>
        <v/>
      </c>
      <c r="P357">
        <f>IF(OR(AND(D357=1,E357=3),AND(D357=3,E357=1)),C357,"")</f>
        <v/>
      </c>
      <c r="Q357">
        <f>IF(OR(AND(D357=2,E357=3),AND(D357=3,E357=2)),C357,"")</f>
        <v/>
      </c>
    </row>
    <row r="358">
      <c r="A358" t="n">
        <v>8</v>
      </c>
      <c r="B358" t="n">
        <v>43</v>
      </c>
      <c r="C358">
        <f>SQRT((Scale_PCA_Mechanics!G9-Scale_PCA_Mechanics!G44)^2+(Scale_PCA_Mechanics!H9-Scale_PCA_Mechanics!H44)^2+(Scale_PCA_Mechanics!I9-Scale_PCA_Mechanics!I44)^2+(Scale_PCA_Mechanics!J9-Scale_PCA_Mechanics!J44)^2)</f>
        <v/>
      </c>
      <c r="D358">
        <f>INDEX(KMeans_6_2!AA2:AA51,A358)</f>
        <v/>
      </c>
      <c r="E358">
        <f>INDEX(KMeans_6_2!AA2:AA51,B358)</f>
        <v/>
      </c>
      <c r="O358">
        <f>IF(OR(AND(D358=1,E358=2),AND(D358=2,E358=1)),C358,"")</f>
        <v/>
      </c>
      <c r="P358">
        <f>IF(OR(AND(D358=1,E358=3),AND(D358=3,E358=1)),C358,"")</f>
        <v/>
      </c>
      <c r="Q358">
        <f>IF(OR(AND(D358=2,E358=3),AND(D358=3,E358=2)),C358,"")</f>
        <v/>
      </c>
    </row>
    <row r="359">
      <c r="A359" t="n">
        <v>8</v>
      </c>
      <c r="B359" t="n">
        <v>44</v>
      </c>
      <c r="C359">
        <f>SQRT((Scale_PCA_Mechanics!G9-Scale_PCA_Mechanics!G45)^2+(Scale_PCA_Mechanics!H9-Scale_PCA_Mechanics!H45)^2+(Scale_PCA_Mechanics!I9-Scale_PCA_Mechanics!I45)^2+(Scale_PCA_Mechanics!J9-Scale_PCA_Mechanics!J45)^2)</f>
        <v/>
      </c>
      <c r="D359">
        <f>INDEX(KMeans_6_2!AA2:AA51,A359)</f>
        <v/>
      </c>
      <c r="E359">
        <f>INDEX(KMeans_6_2!AA2:AA51,B359)</f>
        <v/>
      </c>
      <c r="O359">
        <f>IF(OR(AND(D359=1,E359=2),AND(D359=2,E359=1)),C359,"")</f>
        <v/>
      </c>
      <c r="P359">
        <f>IF(OR(AND(D359=1,E359=3),AND(D359=3,E359=1)),C359,"")</f>
        <v/>
      </c>
      <c r="Q359">
        <f>IF(OR(AND(D359=2,E359=3),AND(D359=3,E359=2)),C359,"")</f>
        <v/>
      </c>
    </row>
    <row r="360">
      <c r="A360" t="n">
        <v>8</v>
      </c>
      <c r="B360" t="n">
        <v>45</v>
      </c>
      <c r="C360">
        <f>SQRT((Scale_PCA_Mechanics!G9-Scale_PCA_Mechanics!G46)^2+(Scale_PCA_Mechanics!H9-Scale_PCA_Mechanics!H46)^2+(Scale_PCA_Mechanics!I9-Scale_PCA_Mechanics!I46)^2+(Scale_PCA_Mechanics!J9-Scale_PCA_Mechanics!J46)^2)</f>
        <v/>
      </c>
      <c r="D360">
        <f>INDEX(KMeans_6_2!AA2:AA51,A360)</f>
        <v/>
      </c>
      <c r="E360">
        <f>INDEX(KMeans_6_2!AA2:AA51,B360)</f>
        <v/>
      </c>
      <c r="O360">
        <f>IF(OR(AND(D360=1,E360=2),AND(D360=2,E360=1)),C360,"")</f>
        <v/>
      </c>
      <c r="P360">
        <f>IF(OR(AND(D360=1,E360=3),AND(D360=3,E360=1)),C360,"")</f>
        <v/>
      </c>
      <c r="Q360">
        <f>IF(OR(AND(D360=2,E360=3),AND(D360=3,E360=2)),C360,"")</f>
        <v/>
      </c>
    </row>
    <row r="361">
      <c r="A361" t="n">
        <v>8</v>
      </c>
      <c r="B361" t="n">
        <v>46</v>
      </c>
      <c r="C361">
        <f>SQRT((Scale_PCA_Mechanics!G9-Scale_PCA_Mechanics!G47)^2+(Scale_PCA_Mechanics!H9-Scale_PCA_Mechanics!H47)^2+(Scale_PCA_Mechanics!I9-Scale_PCA_Mechanics!I47)^2+(Scale_PCA_Mechanics!J9-Scale_PCA_Mechanics!J47)^2)</f>
        <v/>
      </c>
      <c r="D361">
        <f>INDEX(KMeans_6_2!AA2:AA51,A361)</f>
        <v/>
      </c>
      <c r="E361">
        <f>INDEX(KMeans_6_2!AA2:AA51,B361)</f>
        <v/>
      </c>
      <c r="O361">
        <f>IF(OR(AND(D361=1,E361=2),AND(D361=2,E361=1)),C361,"")</f>
        <v/>
      </c>
      <c r="P361">
        <f>IF(OR(AND(D361=1,E361=3),AND(D361=3,E361=1)),C361,"")</f>
        <v/>
      </c>
      <c r="Q361">
        <f>IF(OR(AND(D361=2,E361=3),AND(D361=3,E361=2)),C361,"")</f>
        <v/>
      </c>
    </row>
    <row r="362">
      <c r="A362" t="n">
        <v>8</v>
      </c>
      <c r="B362" t="n">
        <v>47</v>
      </c>
      <c r="C362">
        <f>SQRT((Scale_PCA_Mechanics!G9-Scale_PCA_Mechanics!G48)^2+(Scale_PCA_Mechanics!H9-Scale_PCA_Mechanics!H48)^2+(Scale_PCA_Mechanics!I9-Scale_PCA_Mechanics!I48)^2+(Scale_PCA_Mechanics!J9-Scale_PCA_Mechanics!J48)^2)</f>
        <v/>
      </c>
      <c r="D362">
        <f>INDEX(KMeans_6_2!AA2:AA51,A362)</f>
        <v/>
      </c>
      <c r="E362">
        <f>INDEX(KMeans_6_2!AA2:AA51,B362)</f>
        <v/>
      </c>
      <c r="O362">
        <f>IF(OR(AND(D362=1,E362=2),AND(D362=2,E362=1)),C362,"")</f>
        <v/>
      </c>
      <c r="P362">
        <f>IF(OR(AND(D362=1,E362=3),AND(D362=3,E362=1)),C362,"")</f>
        <v/>
      </c>
      <c r="Q362">
        <f>IF(OR(AND(D362=2,E362=3),AND(D362=3,E362=2)),C362,"")</f>
        <v/>
      </c>
    </row>
    <row r="363">
      <c r="A363" t="n">
        <v>8</v>
      </c>
      <c r="B363" t="n">
        <v>48</v>
      </c>
      <c r="C363">
        <f>SQRT((Scale_PCA_Mechanics!G9-Scale_PCA_Mechanics!G49)^2+(Scale_PCA_Mechanics!H9-Scale_PCA_Mechanics!H49)^2+(Scale_PCA_Mechanics!I9-Scale_PCA_Mechanics!I49)^2+(Scale_PCA_Mechanics!J9-Scale_PCA_Mechanics!J49)^2)</f>
        <v/>
      </c>
      <c r="D363">
        <f>INDEX(KMeans_6_2!AA2:AA51,A363)</f>
        <v/>
      </c>
      <c r="E363">
        <f>INDEX(KMeans_6_2!AA2:AA51,B363)</f>
        <v/>
      </c>
      <c r="O363">
        <f>IF(OR(AND(D363=1,E363=2),AND(D363=2,E363=1)),C363,"")</f>
        <v/>
      </c>
      <c r="P363">
        <f>IF(OR(AND(D363=1,E363=3),AND(D363=3,E363=1)),C363,"")</f>
        <v/>
      </c>
      <c r="Q363">
        <f>IF(OR(AND(D363=2,E363=3),AND(D363=3,E363=2)),C363,"")</f>
        <v/>
      </c>
    </row>
    <row r="364">
      <c r="A364" t="n">
        <v>8</v>
      </c>
      <c r="B364" t="n">
        <v>49</v>
      </c>
      <c r="C364">
        <f>SQRT((Scale_PCA_Mechanics!G9-Scale_PCA_Mechanics!G50)^2+(Scale_PCA_Mechanics!H9-Scale_PCA_Mechanics!H50)^2+(Scale_PCA_Mechanics!I9-Scale_PCA_Mechanics!I50)^2+(Scale_PCA_Mechanics!J9-Scale_PCA_Mechanics!J50)^2)</f>
        <v/>
      </c>
      <c r="D364">
        <f>INDEX(KMeans_6_2!AA2:AA51,A364)</f>
        <v/>
      </c>
      <c r="E364">
        <f>INDEX(KMeans_6_2!AA2:AA51,B364)</f>
        <v/>
      </c>
      <c r="O364">
        <f>IF(OR(AND(D364=1,E364=2),AND(D364=2,E364=1)),C364,"")</f>
        <v/>
      </c>
      <c r="P364">
        <f>IF(OR(AND(D364=1,E364=3),AND(D364=3,E364=1)),C364,"")</f>
        <v/>
      </c>
      <c r="Q364">
        <f>IF(OR(AND(D364=2,E364=3),AND(D364=3,E364=2)),C364,"")</f>
        <v/>
      </c>
    </row>
    <row r="365">
      <c r="A365" t="n">
        <v>8</v>
      </c>
      <c r="B365" t="n">
        <v>50</v>
      </c>
      <c r="C365">
        <f>SQRT((Scale_PCA_Mechanics!G9-Scale_PCA_Mechanics!G51)^2+(Scale_PCA_Mechanics!H9-Scale_PCA_Mechanics!H51)^2+(Scale_PCA_Mechanics!I9-Scale_PCA_Mechanics!I51)^2+(Scale_PCA_Mechanics!J9-Scale_PCA_Mechanics!J51)^2)</f>
        <v/>
      </c>
      <c r="D365">
        <f>INDEX(KMeans_6_2!AA2:AA51,A365)</f>
        <v/>
      </c>
      <c r="E365">
        <f>INDEX(KMeans_6_2!AA2:AA51,B365)</f>
        <v/>
      </c>
      <c r="O365">
        <f>IF(OR(AND(D365=1,E365=2),AND(D365=2,E365=1)),C365,"")</f>
        <v/>
      </c>
      <c r="P365">
        <f>IF(OR(AND(D365=1,E365=3),AND(D365=3,E365=1)),C365,"")</f>
        <v/>
      </c>
      <c r="Q365">
        <f>IF(OR(AND(D365=2,E365=3),AND(D365=3,E365=2)),C365,"")</f>
        <v/>
      </c>
    </row>
    <row r="366">
      <c r="A366" t="n">
        <v>9</v>
      </c>
      <c r="B366" t="n">
        <v>10</v>
      </c>
      <c r="C366">
        <f>SQRT((Scale_PCA_Mechanics!G10-Scale_PCA_Mechanics!G11)^2+(Scale_PCA_Mechanics!H10-Scale_PCA_Mechanics!H11)^2+(Scale_PCA_Mechanics!I10-Scale_PCA_Mechanics!I11)^2+(Scale_PCA_Mechanics!J10-Scale_PCA_Mechanics!J11)^2)</f>
        <v/>
      </c>
      <c r="D366">
        <f>INDEX(KMeans_6_2!AA2:AA51,A366)</f>
        <v/>
      </c>
      <c r="E366">
        <f>INDEX(KMeans_6_2!AA2:AA51,B366)</f>
        <v/>
      </c>
      <c r="O366">
        <f>IF(OR(AND(D366=1,E366=2),AND(D366=2,E366=1)),C366,"")</f>
        <v/>
      </c>
      <c r="P366">
        <f>IF(OR(AND(D366=1,E366=3),AND(D366=3,E366=1)),C366,"")</f>
        <v/>
      </c>
      <c r="Q366">
        <f>IF(OR(AND(D366=2,E366=3),AND(D366=3,E366=2)),C366,"")</f>
        <v/>
      </c>
    </row>
    <row r="367">
      <c r="A367" t="n">
        <v>9</v>
      </c>
      <c r="B367" t="n">
        <v>11</v>
      </c>
      <c r="C367">
        <f>SQRT((Scale_PCA_Mechanics!G10-Scale_PCA_Mechanics!G12)^2+(Scale_PCA_Mechanics!H10-Scale_PCA_Mechanics!H12)^2+(Scale_PCA_Mechanics!I10-Scale_PCA_Mechanics!I12)^2+(Scale_PCA_Mechanics!J10-Scale_PCA_Mechanics!J12)^2)</f>
        <v/>
      </c>
      <c r="D367">
        <f>INDEX(KMeans_6_2!AA2:AA51,A367)</f>
        <v/>
      </c>
      <c r="E367">
        <f>INDEX(KMeans_6_2!AA2:AA51,B367)</f>
        <v/>
      </c>
      <c r="O367">
        <f>IF(OR(AND(D367=1,E367=2),AND(D367=2,E367=1)),C367,"")</f>
        <v/>
      </c>
      <c r="P367">
        <f>IF(OR(AND(D367=1,E367=3),AND(D367=3,E367=1)),C367,"")</f>
        <v/>
      </c>
      <c r="Q367">
        <f>IF(OR(AND(D367=2,E367=3),AND(D367=3,E367=2)),C367,"")</f>
        <v/>
      </c>
    </row>
    <row r="368">
      <c r="A368" t="n">
        <v>9</v>
      </c>
      <c r="B368" t="n">
        <v>12</v>
      </c>
      <c r="C368">
        <f>SQRT((Scale_PCA_Mechanics!G10-Scale_PCA_Mechanics!G13)^2+(Scale_PCA_Mechanics!H10-Scale_PCA_Mechanics!H13)^2+(Scale_PCA_Mechanics!I10-Scale_PCA_Mechanics!I13)^2+(Scale_PCA_Mechanics!J10-Scale_PCA_Mechanics!J13)^2)</f>
        <v/>
      </c>
      <c r="D368">
        <f>INDEX(KMeans_6_2!AA2:AA51,A368)</f>
        <v/>
      </c>
      <c r="E368">
        <f>INDEX(KMeans_6_2!AA2:AA51,B368)</f>
        <v/>
      </c>
      <c r="O368">
        <f>IF(OR(AND(D368=1,E368=2),AND(D368=2,E368=1)),C368,"")</f>
        <v/>
      </c>
      <c r="P368">
        <f>IF(OR(AND(D368=1,E368=3),AND(D368=3,E368=1)),C368,"")</f>
        <v/>
      </c>
      <c r="Q368">
        <f>IF(OR(AND(D368=2,E368=3),AND(D368=3,E368=2)),C368,"")</f>
        <v/>
      </c>
    </row>
    <row r="369">
      <c r="A369" t="n">
        <v>9</v>
      </c>
      <c r="B369" t="n">
        <v>13</v>
      </c>
      <c r="C369">
        <f>SQRT((Scale_PCA_Mechanics!G10-Scale_PCA_Mechanics!G14)^2+(Scale_PCA_Mechanics!H10-Scale_PCA_Mechanics!H14)^2+(Scale_PCA_Mechanics!I10-Scale_PCA_Mechanics!I14)^2+(Scale_PCA_Mechanics!J10-Scale_PCA_Mechanics!J14)^2)</f>
        <v/>
      </c>
      <c r="D369">
        <f>INDEX(KMeans_6_2!AA2:AA51,A369)</f>
        <v/>
      </c>
      <c r="E369">
        <f>INDEX(KMeans_6_2!AA2:AA51,B369)</f>
        <v/>
      </c>
      <c r="O369">
        <f>IF(OR(AND(D369=1,E369=2),AND(D369=2,E369=1)),C369,"")</f>
        <v/>
      </c>
      <c r="P369">
        <f>IF(OR(AND(D369=1,E369=3),AND(D369=3,E369=1)),C369,"")</f>
        <v/>
      </c>
      <c r="Q369">
        <f>IF(OR(AND(D369=2,E369=3),AND(D369=3,E369=2)),C369,"")</f>
        <v/>
      </c>
    </row>
    <row r="370">
      <c r="A370" t="n">
        <v>9</v>
      </c>
      <c r="B370" t="n">
        <v>14</v>
      </c>
      <c r="C370">
        <f>SQRT((Scale_PCA_Mechanics!G10-Scale_PCA_Mechanics!G15)^2+(Scale_PCA_Mechanics!H10-Scale_PCA_Mechanics!H15)^2+(Scale_PCA_Mechanics!I10-Scale_PCA_Mechanics!I15)^2+(Scale_PCA_Mechanics!J10-Scale_PCA_Mechanics!J15)^2)</f>
        <v/>
      </c>
      <c r="D370">
        <f>INDEX(KMeans_6_2!AA2:AA51,A370)</f>
        <v/>
      </c>
      <c r="E370">
        <f>INDEX(KMeans_6_2!AA2:AA51,B370)</f>
        <v/>
      </c>
      <c r="O370">
        <f>IF(OR(AND(D370=1,E370=2),AND(D370=2,E370=1)),C370,"")</f>
        <v/>
      </c>
      <c r="P370">
        <f>IF(OR(AND(D370=1,E370=3),AND(D370=3,E370=1)),C370,"")</f>
        <v/>
      </c>
      <c r="Q370">
        <f>IF(OR(AND(D370=2,E370=3),AND(D370=3,E370=2)),C370,"")</f>
        <v/>
      </c>
    </row>
    <row r="371">
      <c r="A371" t="n">
        <v>9</v>
      </c>
      <c r="B371" t="n">
        <v>15</v>
      </c>
      <c r="C371">
        <f>SQRT((Scale_PCA_Mechanics!G10-Scale_PCA_Mechanics!G16)^2+(Scale_PCA_Mechanics!H10-Scale_PCA_Mechanics!H16)^2+(Scale_PCA_Mechanics!I10-Scale_PCA_Mechanics!I16)^2+(Scale_PCA_Mechanics!J10-Scale_PCA_Mechanics!J16)^2)</f>
        <v/>
      </c>
      <c r="D371">
        <f>INDEX(KMeans_6_2!AA2:AA51,A371)</f>
        <v/>
      </c>
      <c r="E371">
        <f>INDEX(KMeans_6_2!AA2:AA51,B371)</f>
        <v/>
      </c>
      <c r="O371">
        <f>IF(OR(AND(D371=1,E371=2),AND(D371=2,E371=1)),C371,"")</f>
        <v/>
      </c>
      <c r="P371">
        <f>IF(OR(AND(D371=1,E371=3),AND(D371=3,E371=1)),C371,"")</f>
        <v/>
      </c>
      <c r="Q371">
        <f>IF(OR(AND(D371=2,E371=3),AND(D371=3,E371=2)),C371,"")</f>
        <v/>
      </c>
    </row>
    <row r="372">
      <c r="A372" t="n">
        <v>9</v>
      </c>
      <c r="B372" t="n">
        <v>16</v>
      </c>
      <c r="C372">
        <f>SQRT((Scale_PCA_Mechanics!G10-Scale_PCA_Mechanics!G17)^2+(Scale_PCA_Mechanics!H10-Scale_PCA_Mechanics!H17)^2+(Scale_PCA_Mechanics!I10-Scale_PCA_Mechanics!I17)^2+(Scale_PCA_Mechanics!J10-Scale_PCA_Mechanics!J17)^2)</f>
        <v/>
      </c>
      <c r="D372">
        <f>INDEX(KMeans_6_2!AA2:AA51,A372)</f>
        <v/>
      </c>
      <c r="E372">
        <f>INDEX(KMeans_6_2!AA2:AA51,B372)</f>
        <v/>
      </c>
      <c r="O372">
        <f>IF(OR(AND(D372=1,E372=2),AND(D372=2,E372=1)),C372,"")</f>
        <v/>
      </c>
      <c r="P372">
        <f>IF(OR(AND(D372=1,E372=3),AND(D372=3,E372=1)),C372,"")</f>
        <v/>
      </c>
      <c r="Q372">
        <f>IF(OR(AND(D372=2,E372=3),AND(D372=3,E372=2)),C372,"")</f>
        <v/>
      </c>
    </row>
    <row r="373">
      <c r="A373" t="n">
        <v>9</v>
      </c>
      <c r="B373" t="n">
        <v>17</v>
      </c>
      <c r="C373">
        <f>SQRT((Scale_PCA_Mechanics!G10-Scale_PCA_Mechanics!G18)^2+(Scale_PCA_Mechanics!H10-Scale_PCA_Mechanics!H18)^2+(Scale_PCA_Mechanics!I10-Scale_PCA_Mechanics!I18)^2+(Scale_PCA_Mechanics!J10-Scale_PCA_Mechanics!J18)^2)</f>
        <v/>
      </c>
      <c r="D373">
        <f>INDEX(KMeans_6_2!AA2:AA51,A373)</f>
        <v/>
      </c>
      <c r="E373">
        <f>INDEX(KMeans_6_2!AA2:AA51,B373)</f>
        <v/>
      </c>
      <c r="O373">
        <f>IF(OR(AND(D373=1,E373=2),AND(D373=2,E373=1)),C373,"")</f>
        <v/>
      </c>
      <c r="P373">
        <f>IF(OR(AND(D373=1,E373=3),AND(D373=3,E373=1)),C373,"")</f>
        <v/>
      </c>
      <c r="Q373">
        <f>IF(OR(AND(D373=2,E373=3),AND(D373=3,E373=2)),C373,"")</f>
        <v/>
      </c>
    </row>
    <row r="374">
      <c r="A374" t="n">
        <v>9</v>
      </c>
      <c r="B374" t="n">
        <v>18</v>
      </c>
      <c r="C374">
        <f>SQRT((Scale_PCA_Mechanics!G10-Scale_PCA_Mechanics!G19)^2+(Scale_PCA_Mechanics!H10-Scale_PCA_Mechanics!H19)^2+(Scale_PCA_Mechanics!I10-Scale_PCA_Mechanics!I19)^2+(Scale_PCA_Mechanics!J10-Scale_PCA_Mechanics!J19)^2)</f>
        <v/>
      </c>
      <c r="D374">
        <f>INDEX(KMeans_6_2!AA2:AA51,A374)</f>
        <v/>
      </c>
      <c r="E374">
        <f>INDEX(KMeans_6_2!AA2:AA51,B374)</f>
        <v/>
      </c>
      <c r="O374">
        <f>IF(OR(AND(D374=1,E374=2),AND(D374=2,E374=1)),C374,"")</f>
        <v/>
      </c>
      <c r="P374">
        <f>IF(OR(AND(D374=1,E374=3),AND(D374=3,E374=1)),C374,"")</f>
        <v/>
      </c>
      <c r="Q374">
        <f>IF(OR(AND(D374=2,E374=3),AND(D374=3,E374=2)),C374,"")</f>
        <v/>
      </c>
    </row>
    <row r="375">
      <c r="A375" t="n">
        <v>9</v>
      </c>
      <c r="B375" t="n">
        <v>19</v>
      </c>
      <c r="C375">
        <f>SQRT((Scale_PCA_Mechanics!G10-Scale_PCA_Mechanics!G20)^2+(Scale_PCA_Mechanics!H10-Scale_PCA_Mechanics!H20)^2+(Scale_PCA_Mechanics!I10-Scale_PCA_Mechanics!I20)^2+(Scale_PCA_Mechanics!J10-Scale_PCA_Mechanics!J20)^2)</f>
        <v/>
      </c>
      <c r="D375">
        <f>INDEX(KMeans_6_2!AA2:AA51,A375)</f>
        <v/>
      </c>
      <c r="E375">
        <f>INDEX(KMeans_6_2!AA2:AA51,B375)</f>
        <v/>
      </c>
      <c r="O375">
        <f>IF(OR(AND(D375=1,E375=2),AND(D375=2,E375=1)),C375,"")</f>
        <v/>
      </c>
      <c r="P375">
        <f>IF(OR(AND(D375=1,E375=3),AND(D375=3,E375=1)),C375,"")</f>
        <v/>
      </c>
      <c r="Q375">
        <f>IF(OR(AND(D375=2,E375=3),AND(D375=3,E375=2)),C375,"")</f>
        <v/>
      </c>
    </row>
    <row r="376">
      <c r="A376" t="n">
        <v>9</v>
      </c>
      <c r="B376" t="n">
        <v>20</v>
      </c>
      <c r="C376">
        <f>SQRT((Scale_PCA_Mechanics!G10-Scale_PCA_Mechanics!G21)^2+(Scale_PCA_Mechanics!H10-Scale_PCA_Mechanics!H21)^2+(Scale_PCA_Mechanics!I10-Scale_PCA_Mechanics!I21)^2+(Scale_PCA_Mechanics!J10-Scale_PCA_Mechanics!J21)^2)</f>
        <v/>
      </c>
      <c r="D376">
        <f>INDEX(KMeans_6_2!AA2:AA51,A376)</f>
        <v/>
      </c>
      <c r="E376">
        <f>INDEX(KMeans_6_2!AA2:AA51,B376)</f>
        <v/>
      </c>
      <c r="O376">
        <f>IF(OR(AND(D376=1,E376=2),AND(D376=2,E376=1)),C376,"")</f>
        <v/>
      </c>
      <c r="P376">
        <f>IF(OR(AND(D376=1,E376=3),AND(D376=3,E376=1)),C376,"")</f>
        <v/>
      </c>
      <c r="Q376">
        <f>IF(OR(AND(D376=2,E376=3),AND(D376=3,E376=2)),C376,"")</f>
        <v/>
      </c>
    </row>
    <row r="377">
      <c r="A377" t="n">
        <v>9</v>
      </c>
      <c r="B377" t="n">
        <v>21</v>
      </c>
      <c r="C377">
        <f>SQRT((Scale_PCA_Mechanics!G10-Scale_PCA_Mechanics!G22)^2+(Scale_PCA_Mechanics!H10-Scale_PCA_Mechanics!H22)^2+(Scale_PCA_Mechanics!I10-Scale_PCA_Mechanics!I22)^2+(Scale_PCA_Mechanics!J10-Scale_PCA_Mechanics!J22)^2)</f>
        <v/>
      </c>
      <c r="D377">
        <f>INDEX(KMeans_6_2!AA2:AA51,A377)</f>
        <v/>
      </c>
      <c r="E377">
        <f>INDEX(KMeans_6_2!AA2:AA51,B377)</f>
        <v/>
      </c>
      <c r="O377">
        <f>IF(OR(AND(D377=1,E377=2),AND(D377=2,E377=1)),C377,"")</f>
        <v/>
      </c>
      <c r="P377">
        <f>IF(OR(AND(D377=1,E377=3),AND(D377=3,E377=1)),C377,"")</f>
        <v/>
      </c>
      <c r="Q377">
        <f>IF(OR(AND(D377=2,E377=3),AND(D377=3,E377=2)),C377,"")</f>
        <v/>
      </c>
    </row>
    <row r="378">
      <c r="A378" t="n">
        <v>9</v>
      </c>
      <c r="B378" t="n">
        <v>22</v>
      </c>
      <c r="C378">
        <f>SQRT((Scale_PCA_Mechanics!G10-Scale_PCA_Mechanics!G23)^2+(Scale_PCA_Mechanics!H10-Scale_PCA_Mechanics!H23)^2+(Scale_PCA_Mechanics!I10-Scale_PCA_Mechanics!I23)^2+(Scale_PCA_Mechanics!J10-Scale_PCA_Mechanics!J23)^2)</f>
        <v/>
      </c>
      <c r="D378">
        <f>INDEX(KMeans_6_2!AA2:AA51,A378)</f>
        <v/>
      </c>
      <c r="E378">
        <f>INDEX(KMeans_6_2!AA2:AA51,B378)</f>
        <v/>
      </c>
      <c r="O378">
        <f>IF(OR(AND(D378=1,E378=2),AND(D378=2,E378=1)),C378,"")</f>
        <v/>
      </c>
      <c r="P378">
        <f>IF(OR(AND(D378=1,E378=3),AND(D378=3,E378=1)),C378,"")</f>
        <v/>
      </c>
      <c r="Q378">
        <f>IF(OR(AND(D378=2,E378=3),AND(D378=3,E378=2)),C378,"")</f>
        <v/>
      </c>
    </row>
    <row r="379">
      <c r="A379" t="n">
        <v>9</v>
      </c>
      <c r="B379" t="n">
        <v>23</v>
      </c>
      <c r="C379">
        <f>SQRT((Scale_PCA_Mechanics!G10-Scale_PCA_Mechanics!G24)^2+(Scale_PCA_Mechanics!H10-Scale_PCA_Mechanics!H24)^2+(Scale_PCA_Mechanics!I10-Scale_PCA_Mechanics!I24)^2+(Scale_PCA_Mechanics!J10-Scale_PCA_Mechanics!J24)^2)</f>
        <v/>
      </c>
      <c r="D379">
        <f>INDEX(KMeans_6_2!AA2:AA51,A379)</f>
        <v/>
      </c>
      <c r="E379">
        <f>INDEX(KMeans_6_2!AA2:AA51,B379)</f>
        <v/>
      </c>
      <c r="O379">
        <f>IF(OR(AND(D379=1,E379=2),AND(D379=2,E379=1)),C379,"")</f>
        <v/>
      </c>
      <c r="P379">
        <f>IF(OR(AND(D379=1,E379=3),AND(D379=3,E379=1)),C379,"")</f>
        <v/>
      </c>
      <c r="Q379">
        <f>IF(OR(AND(D379=2,E379=3),AND(D379=3,E379=2)),C379,"")</f>
        <v/>
      </c>
    </row>
    <row r="380">
      <c r="A380" t="n">
        <v>9</v>
      </c>
      <c r="B380" t="n">
        <v>24</v>
      </c>
      <c r="C380">
        <f>SQRT((Scale_PCA_Mechanics!G10-Scale_PCA_Mechanics!G25)^2+(Scale_PCA_Mechanics!H10-Scale_PCA_Mechanics!H25)^2+(Scale_PCA_Mechanics!I10-Scale_PCA_Mechanics!I25)^2+(Scale_PCA_Mechanics!J10-Scale_PCA_Mechanics!J25)^2)</f>
        <v/>
      </c>
      <c r="D380">
        <f>INDEX(KMeans_6_2!AA2:AA51,A380)</f>
        <v/>
      </c>
      <c r="E380">
        <f>INDEX(KMeans_6_2!AA2:AA51,B380)</f>
        <v/>
      </c>
      <c r="O380">
        <f>IF(OR(AND(D380=1,E380=2),AND(D380=2,E380=1)),C380,"")</f>
        <v/>
      </c>
      <c r="P380">
        <f>IF(OR(AND(D380=1,E380=3),AND(D380=3,E380=1)),C380,"")</f>
        <v/>
      </c>
      <c r="Q380">
        <f>IF(OR(AND(D380=2,E380=3),AND(D380=3,E380=2)),C380,"")</f>
        <v/>
      </c>
    </row>
    <row r="381">
      <c r="A381" t="n">
        <v>9</v>
      </c>
      <c r="B381" t="n">
        <v>25</v>
      </c>
      <c r="C381">
        <f>SQRT((Scale_PCA_Mechanics!G10-Scale_PCA_Mechanics!G26)^2+(Scale_PCA_Mechanics!H10-Scale_PCA_Mechanics!H26)^2+(Scale_PCA_Mechanics!I10-Scale_PCA_Mechanics!I26)^2+(Scale_PCA_Mechanics!J10-Scale_PCA_Mechanics!J26)^2)</f>
        <v/>
      </c>
      <c r="D381">
        <f>INDEX(KMeans_6_2!AA2:AA51,A381)</f>
        <v/>
      </c>
      <c r="E381">
        <f>INDEX(KMeans_6_2!AA2:AA51,B381)</f>
        <v/>
      </c>
      <c r="O381">
        <f>IF(OR(AND(D381=1,E381=2),AND(D381=2,E381=1)),C381,"")</f>
        <v/>
      </c>
      <c r="P381">
        <f>IF(OR(AND(D381=1,E381=3),AND(D381=3,E381=1)),C381,"")</f>
        <v/>
      </c>
      <c r="Q381">
        <f>IF(OR(AND(D381=2,E381=3),AND(D381=3,E381=2)),C381,"")</f>
        <v/>
      </c>
    </row>
    <row r="382">
      <c r="A382" t="n">
        <v>9</v>
      </c>
      <c r="B382" t="n">
        <v>26</v>
      </c>
      <c r="C382">
        <f>SQRT((Scale_PCA_Mechanics!G10-Scale_PCA_Mechanics!G27)^2+(Scale_PCA_Mechanics!H10-Scale_PCA_Mechanics!H27)^2+(Scale_PCA_Mechanics!I10-Scale_PCA_Mechanics!I27)^2+(Scale_PCA_Mechanics!J10-Scale_PCA_Mechanics!J27)^2)</f>
        <v/>
      </c>
      <c r="D382">
        <f>INDEX(KMeans_6_2!AA2:AA51,A382)</f>
        <v/>
      </c>
      <c r="E382">
        <f>INDEX(KMeans_6_2!AA2:AA51,B382)</f>
        <v/>
      </c>
      <c r="O382">
        <f>IF(OR(AND(D382=1,E382=2),AND(D382=2,E382=1)),C382,"")</f>
        <v/>
      </c>
      <c r="P382">
        <f>IF(OR(AND(D382=1,E382=3),AND(D382=3,E382=1)),C382,"")</f>
        <v/>
      </c>
      <c r="Q382">
        <f>IF(OR(AND(D382=2,E382=3),AND(D382=3,E382=2)),C382,"")</f>
        <v/>
      </c>
    </row>
    <row r="383">
      <c r="A383" t="n">
        <v>9</v>
      </c>
      <c r="B383" t="n">
        <v>27</v>
      </c>
      <c r="C383">
        <f>SQRT((Scale_PCA_Mechanics!G10-Scale_PCA_Mechanics!G28)^2+(Scale_PCA_Mechanics!H10-Scale_PCA_Mechanics!H28)^2+(Scale_PCA_Mechanics!I10-Scale_PCA_Mechanics!I28)^2+(Scale_PCA_Mechanics!J10-Scale_PCA_Mechanics!J28)^2)</f>
        <v/>
      </c>
      <c r="D383">
        <f>INDEX(KMeans_6_2!AA2:AA51,A383)</f>
        <v/>
      </c>
      <c r="E383">
        <f>INDEX(KMeans_6_2!AA2:AA51,B383)</f>
        <v/>
      </c>
      <c r="O383">
        <f>IF(OR(AND(D383=1,E383=2),AND(D383=2,E383=1)),C383,"")</f>
        <v/>
      </c>
      <c r="P383">
        <f>IF(OR(AND(D383=1,E383=3),AND(D383=3,E383=1)),C383,"")</f>
        <v/>
      </c>
      <c r="Q383">
        <f>IF(OR(AND(D383=2,E383=3),AND(D383=3,E383=2)),C383,"")</f>
        <v/>
      </c>
    </row>
    <row r="384">
      <c r="A384" t="n">
        <v>9</v>
      </c>
      <c r="B384" t="n">
        <v>28</v>
      </c>
      <c r="C384">
        <f>SQRT((Scale_PCA_Mechanics!G10-Scale_PCA_Mechanics!G29)^2+(Scale_PCA_Mechanics!H10-Scale_PCA_Mechanics!H29)^2+(Scale_PCA_Mechanics!I10-Scale_PCA_Mechanics!I29)^2+(Scale_PCA_Mechanics!J10-Scale_PCA_Mechanics!J29)^2)</f>
        <v/>
      </c>
      <c r="D384">
        <f>INDEX(KMeans_6_2!AA2:AA51,A384)</f>
        <v/>
      </c>
      <c r="E384">
        <f>INDEX(KMeans_6_2!AA2:AA51,B384)</f>
        <v/>
      </c>
      <c r="O384">
        <f>IF(OR(AND(D384=1,E384=2),AND(D384=2,E384=1)),C384,"")</f>
        <v/>
      </c>
      <c r="P384">
        <f>IF(OR(AND(D384=1,E384=3),AND(D384=3,E384=1)),C384,"")</f>
        <v/>
      </c>
      <c r="Q384">
        <f>IF(OR(AND(D384=2,E384=3),AND(D384=3,E384=2)),C384,"")</f>
        <v/>
      </c>
    </row>
    <row r="385">
      <c r="A385" t="n">
        <v>9</v>
      </c>
      <c r="B385" t="n">
        <v>29</v>
      </c>
      <c r="C385">
        <f>SQRT((Scale_PCA_Mechanics!G10-Scale_PCA_Mechanics!G30)^2+(Scale_PCA_Mechanics!H10-Scale_PCA_Mechanics!H30)^2+(Scale_PCA_Mechanics!I10-Scale_PCA_Mechanics!I30)^2+(Scale_PCA_Mechanics!J10-Scale_PCA_Mechanics!J30)^2)</f>
        <v/>
      </c>
      <c r="D385">
        <f>INDEX(KMeans_6_2!AA2:AA51,A385)</f>
        <v/>
      </c>
      <c r="E385">
        <f>INDEX(KMeans_6_2!AA2:AA51,B385)</f>
        <v/>
      </c>
      <c r="O385">
        <f>IF(OR(AND(D385=1,E385=2),AND(D385=2,E385=1)),C385,"")</f>
        <v/>
      </c>
      <c r="P385">
        <f>IF(OR(AND(D385=1,E385=3),AND(D385=3,E385=1)),C385,"")</f>
        <v/>
      </c>
      <c r="Q385">
        <f>IF(OR(AND(D385=2,E385=3),AND(D385=3,E385=2)),C385,"")</f>
        <v/>
      </c>
    </row>
    <row r="386">
      <c r="A386" t="n">
        <v>9</v>
      </c>
      <c r="B386" t="n">
        <v>30</v>
      </c>
      <c r="C386">
        <f>SQRT((Scale_PCA_Mechanics!G10-Scale_PCA_Mechanics!G31)^2+(Scale_PCA_Mechanics!H10-Scale_PCA_Mechanics!H31)^2+(Scale_PCA_Mechanics!I10-Scale_PCA_Mechanics!I31)^2+(Scale_PCA_Mechanics!J10-Scale_PCA_Mechanics!J31)^2)</f>
        <v/>
      </c>
      <c r="D386">
        <f>INDEX(KMeans_6_2!AA2:AA51,A386)</f>
        <v/>
      </c>
      <c r="E386">
        <f>INDEX(KMeans_6_2!AA2:AA51,B386)</f>
        <v/>
      </c>
      <c r="O386">
        <f>IF(OR(AND(D386=1,E386=2),AND(D386=2,E386=1)),C386,"")</f>
        <v/>
      </c>
      <c r="P386">
        <f>IF(OR(AND(D386=1,E386=3),AND(D386=3,E386=1)),C386,"")</f>
        <v/>
      </c>
      <c r="Q386">
        <f>IF(OR(AND(D386=2,E386=3),AND(D386=3,E386=2)),C386,"")</f>
        <v/>
      </c>
    </row>
    <row r="387">
      <c r="A387" t="n">
        <v>9</v>
      </c>
      <c r="B387" t="n">
        <v>31</v>
      </c>
      <c r="C387">
        <f>SQRT((Scale_PCA_Mechanics!G10-Scale_PCA_Mechanics!G32)^2+(Scale_PCA_Mechanics!H10-Scale_PCA_Mechanics!H32)^2+(Scale_PCA_Mechanics!I10-Scale_PCA_Mechanics!I32)^2+(Scale_PCA_Mechanics!J10-Scale_PCA_Mechanics!J32)^2)</f>
        <v/>
      </c>
      <c r="D387">
        <f>INDEX(KMeans_6_2!AA2:AA51,A387)</f>
        <v/>
      </c>
      <c r="E387">
        <f>INDEX(KMeans_6_2!AA2:AA51,B387)</f>
        <v/>
      </c>
      <c r="O387">
        <f>IF(OR(AND(D387=1,E387=2),AND(D387=2,E387=1)),C387,"")</f>
        <v/>
      </c>
      <c r="P387">
        <f>IF(OR(AND(D387=1,E387=3),AND(D387=3,E387=1)),C387,"")</f>
        <v/>
      </c>
      <c r="Q387">
        <f>IF(OR(AND(D387=2,E387=3),AND(D387=3,E387=2)),C387,"")</f>
        <v/>
      </c>
    </row>
    <row r="388">
      <c r="A388" t="n">
        <v>9</v>
      </c>
      <c r="B388" t="n">
        <v>32</v>
      </c>
      <c r="C388">
        <f>SQRT((Scale_PCA_Mechanics!G10-Scale_PCA_Mechanics!G33)^2+(Scale_PCA_Mechanics!H10-Scale_PCA_Mechanics!H33)^2+(Scale_PCA_Mechanics!I10-Scale_PCA_Mechanics!I33)^2+(Scale_PCA_Mechanics!J10-Scale_PCA_Mechanics!J33)^2)</f>
        <v/>
      </c>
      <c r="D388">
        <f>INDEX(KMeans_6_2!AA2:AA51,A388)</f>
        <v/>
      </c>
      <c r="E388">
        <f>INDEX(KMeans_6_2!AA2:AA51,B388)</f>
        <v/>
      </c>
      <c r="O388">
        <f>IF(OR(AND(D388=1,E388=2),AND(D388=2,E388=1)),C388,"")</f>
        <v/>
      </c>
      <c r="P388">
        <f>IF(OR(AND(D388=1,E388=3),AND(D388=3,E388=1)),C388,"")</f>
        <v/>
      </c>
      <c r="Q388">
        <f>IF(OR(AND(D388=2,E388=3),AND(D388=3,E388=2)),C388,"")</f>
        <v/>
      </c>
    </row>
    <row r="389">
      <c r="A389" t="n">
        <v>9</v>
      </c>
      <c r="B389" t="n">
        <v>33</v>
      </c>
      <c r="C389">
        <f>SQRT((Scale_PCA_Mechanics!G10-Scale_PCA_Mechanics!G34)^2+(Scale_PCA_Mechanics!H10-Scale_PCA_Mechanics!H34)^2+(Scale_PCA_Mechanics!I10-Scale_PCA_Mechanics!I34)^2+(Scale_PCA_Mechanics!J10-Scale_PCA_Mechanics!J34)^2)</f>
        <v/>
      </c>
      <c r="D389">
        <f>INDEX(KMeans_6_2!AA2:AA51,A389)</f>
        <v/>
      </c>
      <c r="E389">
        <f>INDEX(KMeans_6_2!AA2:AA51,B389)</f>
        <v/>
      </c>
      <c r="O389">
        <f>IF(OR(AND(D389=1,E389=2),AND(D389=2,E389=1)),C389,"")</f>
        <v/>
      </c>
      <c r="P389">
        <f>IF(OR(AND(D389=1,E389=3),AND(D389=3,E389=1)),C389,"")</f>
        <v/>
      </c>
      <c r="Q389">
        <f>IF(OR(AND(D389=2,E389=3),AND(D389=3,E389=2)),C389,"")</f>
        <v/>
      </c>
    </row>
    <row r="390">
      <c r="A390" t="n">
        <v>9</v>
      </c>
      <c r="B390" t="n">
        <v>34</v>
      </c>
      <c r="C390">
        <f>SQRT((Scale_PCA_Mechanics!G10-Scale_PCA_Mechanics!G35)^2+(Scale_PCA_Mechanics!H10-Scale_PCA_Mechanics!H35)^2+(Scale_PCA_Mechanics!I10-Scale_PCA_Mechanics!I35)^2+(Scale_PCA_Mechanics!J10-Scale_PCA_Mechanics!J35)^2)</f>
        <v/>
      </c>
      <c r="D390">
        <f>INDEX(KMeans_6_2!AA2:AA51,A390)</f>
        <v/>
      </c>
      <c r="E390">
        <f>INDEX(KMeans_6_2!AA2:AA51,B390)</f>
        <v/>
      </c>
      <c r="O390">
        <f>IF(OR(AND(D390=1,E390=2),AND(D390=2,E390=1)),C390,"")</f>
        <v/>
      </c>
      <c r="P390">
        <f>IF(OR(AND(D390=1,E390=3),AND(D390=3,E390=1)),C390,"")</f>
        <v/>
      </c>
      <c r="Q390">
        <f>IF(OR(AND(D390=2,E390=3),AND(D390=3,E390=2)),C390,"")</f>
        <v/>
      </c>
    </row>
    <row r="391">
      <c r="A391" t="n">
        <v>9</v>
      </c>
      <c r="B391" t="n">
        <v>35</v>
      </c>
      <c r="C391">
        <f>SQRT((Scale_PCA_Mechanics!G10-Scale_PCA_Mechanics!G36)^2+(Scale_PCA_Mechanics!H10-Scale_PCA_Mechanics!H36)^2+(Scale_PCA_Mechanics!I10-Scale_PCA_Mechanics!I36)^2+(Scale_PCA_Mechanics!J10-Scale_PCA_Mechanics!J36)^2)</f>
        <v/>
      </c>
      <c r="D391">
        <f>INDEX(KMeans_6_2!AA2:AA51,A391)</f>
        <v/>
      </c>
      <c r="E391">
        <f>INDEX(KMeans_6_2!AA2:AA51,B391)</f>
        <v/>
      </c>
      <c r="O391">
        <f>IF(OR(AND(D391=1,E391=2),AND(D391=2,E391=1)),C391,"")</f>
        <v/>
      </c>
      <c r="P391">
        <f>IF(OR(AND(D391=1,E391=3),AND(D391=3,E391=1)),C391,"")</f>
        <v/>
      </c>
      <c r="Q391">
        <f>IF(OR(AND(D391=2,E391=3),AND(D391=3,E391=2)),C391,"")</f>
        <v/>
      </c>
    </row>
    <row r="392">
      <c r="A392" t="n">
        <v>9</v>
      </c>
      <c r="B392" t="n">
        <v>36</v>
      </c>
      <c r="C392">
        <f>SQRT((Scale_PCA_Mechanics!G10-Scale_PCA_Mechanics!G37)^2+(Scale_PCA_Mechanics!H10-Scale_PCA_Mechanics!H37)^2+(Scale_PCA_Mechanics!I10-Scale_PCA_Mechanics!I37)^2+(Scale_PCA_Mechanics!J10-Scale_PCA_Mechanics!J37)^2)</f>
        <v/>
      </c>
      <c r="D392">
        <f>INDEX(KMeans_6_2!AA2:AA51,A392)</f>
        <v/>
      </c>
      <c r="E392">
        <f>INDEX(KMeans_6_2!AA2:AA51,B392)</f>
        <v/>
      </c>
      <c r="O392">
        <f>IF(OR(AND(D392=1,E392=2),AND(D392=2,E392=1)),C392,"")</f>
        <v/>
      </c>
      <c r="P392">
        <f>IF(OR(AND(D392=1,E392=3),AND(D392=3,E392=1)),C392,"")</f>
        <v/>
      </c>
      <c r="Q392">
        <f>IF(OR(AND(D392=2,E392=3),AND(D392=3,E392=2)),C392,"")</f>
        <v/>
      </c>
    </row>
    <row r="393">
      <c r="A393" t="n">
        <v>9</v>
      </c>
      <c r="B393" t="n">
        <v>37</v>
      </c>
      <c r="C393">
        <f>SQRT((Scale_PCA_Mechanics!G10-Scale_PCA_Mechanics!G38)^2+(Scale_PCA_Mechanics!H10-Scale_PCA_Mechanics!H38)^2+(Scale_PCA_Mechanics!I10-Scale_PCA_Mechanics!I38)^2+(Scale_PCA_Mechanics!J10-Scale_PCA_Mechanics!J38)^2)</f>
        <v/>
      </c>
      <c r="D393">
        <f>INDEX(KMeans_6_2!AA2:AA51,A393)</f>
        <v/>
      </c>
      <c r="E393">
        <f>INDEX(KMeans_6_2!AA2:AA51,B393)</f>
        <v/>
      </c>
      <c r="O393">
        <f>IF(OR(AND(D393=1,E393=2),AND(D393=2,E393=1)),C393,"")</f>
        <v/>
      </c>
      <c r="P393">
        <f>IF(OR(AND(D393=1,E393=3),AND(D393=3,E393=1)),C393,"")</f>
        <v/>
      </c>
      <c r="Q393">
        <f>IF(OR(AND(D393=2,E393=3),AND(D393=3,E393=2)),C393,"")</f>
        <v/>
      </c>
    </row>
    <row r="394">
      <c r="A394" t="n">
        <v>9</v>
      </c>
      <c r="B394" t="n">
        <v>38</v>
      </c>
      <c r="C394">
        <f>SQRT((Scale_PCA_Mechanics!G10-Scale_PCA_Mechanics!G39)^2+(Scale_PCA_Mechanics!H10-Scale_PCA_Mechanics!H39)^2+(Scale_PCA_Mechanics!I10-Scale_PCA_Mechanics!I39)^2+(Scale_PCA_Mechanics!J10-Scale_PCA_Mechanics!J39)^2)</f>
        <v/>
      </c>
      <c r="D394">
        <f>INDEX(KMeans_6_2!AA2:AA51,A394)</f>
        <v/>
      </c>
      <c r="E394">
        <f>INDEX(KMeans_6_2!AA2:AA51,B394)</f>
        <v/>
      </c>
      <c r="O394">
        <f>IF(OR(AND(D394=1,E394=2),AND(D394=2,E394=1)),C394,"")</f>
        <v/>
      </c>
      <c r="P394">
        <f>IF(OR(AND(D394=1,E394=3),AND(D394=3,E394=1)),C394,"")</f>
        <v/>
      </c>
      <c r="Q394">
        <f>IF(OR(AND(D394=2,E394=3),AND(D394=3,E394=2)),C394,"")</f>
        <v/>
      </c>
    </row>
    <row r="395">
      <c r="A395" t="n">
        <v>9</v>
      </c>
      <c r="B395" t="n">
        <v>39</v>
      </c>
      <c r="C395">
        <f>SQRT((Scale_PCA_Mechanics!G10-Scale_PCA_Mechanics!G40)^2+(Scale_PCA_Mechanics!H10-Scale_PCA_Mechanics!H40)^2+(Scale_PCA_Mechanics!I10-Scale_PCA_Mechanics!I40)^2+(Scale_PCA_Mechanics!J10-Scale_PCA_Mechanics!J40)^2)</f>
        <v/>
      </c>
      <c r="D395">
        <f>INDEX(KMeans_6_2!AA2:AA51,A395)</f>
        <v/>
      </c>
      <c r="E395">
        <f>INDEX(KMeans_6_2!AA2:AA51,B395)</f>
        <v/>
      </c>
      <c r="O395">
        <f>IF(OR(AND(D395=1,E395=2),AND(D395=2,E395=1)),C395,"")</f>
        <v/>
      </c>
      <c r="P395">
        <f>IF(OR(AND(D395=1,E395=3),AND(D395=3,E395=1)),C395,"")</f>
        <v/>
      </c>
      <c r="Q395">
        <f>IF(OR(AND(D395=2,E395=3),AND(D395=3,E395=2)),C395,"")</f>
        <v/>
      </c>
    </row>
    <row r="396">
      <c r="A396" t="n">
        <v>9</v>
      </c>
      <c r="B396" t="n">
        <v>40</v>
      </c>
      <c r="C396">
        <f>SQRT((Scale_PCA_Mechanics!G10-Scale_PCA_Mechanics!G41)^2+(Scale_PCA_Mechanics!H10-Scale_PCA_Mechanics!H41)^2+(Scale_PCA_Mechanics!I10-Scale_PCA_Mechanics!I41)^2+(Scale_PCA_Mechanics!J10-Scale_PCA_Mechanics!J41)^2)</f>
        <v/>
      </c>
      <c r="D396">
        <f>INDEX(KMeans_6_2!AA2:AA51,A396)</f>
        <v/>
      </c>
      <c r="E396">
        <f>INDEX(KMeans_6_2!AA2:AA51,B396)</f>
        <v/>
      </c>
      <c r="O396">
        <f>IF(OR(AND(D396=1,E396=2),AND(D396=2,E396=1)),C396,"")</f>
        <v/>
      </c>
      <c r="P396">
        <f>IF(OR(AND(D396=1,E396=3),AND(D396=3,E396=1)),C396,"")</f>
        <v/>
      </c>
      <c r="Q396">
        <f>IF(OR(AND(D396=2,E396=3),AND(D396=3,E396=2)),C396,"")</f>
        <v/>
      </c>
    </row>
    <row r="397">
      <c r="A397" t="n">
        <v>9</v>
      </c>
      <c r="B397" t="n">
        <v>41</v>
      </c>
      <c r="C397">
        <f>SQRT((Scale_PCA_Mechanics!G10-Scale_PCA_Mechanics!G42)^2+(Scale_PCA_Mechanics!H10-Scale_PCA_Mechanics!H42)^2+(Scale_PCA_Mechanics!I10-Scale_PCA_Mechanics!I42)^2+(Scale_PCA_Mechanics!J10-Scale_PCA_Mechanics!J42)^2)</f>
        <v/>
      </c>
      <c r="D397">
        <f>INDEX(KMeans_6_2!AA2:AA51,A397)</f>
        <v/>
      </c>
      <c r="E397">
        <f>INDEX(KMeans_6_2!AA2:AA51,B397)</f>
        <v/>
      </c>
      <c r="O397">
        <f>IF(OR(AND(D397=1,E397=2),AND(D397=2,E397=1)),C397,"")</f>
        <v/>
      </c>
      <c r="P397">
        <f>IF(OR(AND(D397=1,E397=3),AND(D397=3,E397=1)),C397,"")</f>
        <v/>
      </c>
      <c r="Q397">
        <f>IF(OR(AND(D397=2,E397=3),AND(D397=3,E397=2)),C397,"")</f>
        <v/>
      </c>
    </row>
    <row r="398">
      <c r="A398" t="n">
        <v>9</v>
      </c>
      <c r="B398" t="n">
        <v>42</v>
      </c>
      <c r="C398">
        <f>SQRT((Scale_PCA_Mechanics!G10-Scale_PCA_Mechanics!G43)^2+(Scale_PCA_Mechanics!H10-Scale_PCA_Mechanics!H43)^2+(Scale_PCA_Mechanics!I10-Scale_PCA_Mechanics!I43)^2+(Scale_PCA_Mechanics!J10-Scale_PCA_Mechanics!J43)^2)</f>
        <v/>
      </c>
      <c r="D398">
        <f>INDEX(KMeans_6_2!AA2:AA51,A398)</f>
        <v/>
      </c>
      <c r="E398">
        <f>INDEX(KMeans_6_2!AA2:AA51,B398)</f>
        <v/>
      </c>
      <c r="O398">
        <f>IF(OR(AND(D398=1,E398=2),AND(D398=2,E398=1)),C398,"")</f>
        <v/>
      </c>
      <c r="P398">
        <f>IF(OR(AND(D398=1,E398=3),AND(D398=3,E398=1)),C398,"")</f>
        <v/>
      </c>
      <c r="Q398">
        <f>IF(OR(AND(D398=2,E398=3),AND(D398=3,E398=2)),C398,"")</f>
        <v/>
      </c>
    </row>
    <row r="399">
      <c r="A399" t="n">
        <v>9</v>
      </c>
      <c r="B399" t="n">
        <v>43</v>
      </c>
      <c r="C399">
        <f>SQRT((Scale_PCA_Mechanics!G10-Scale_PCA_Mechanics!G44)^2+(Scale_PCA_Mechanics!H10-Scale_PCA_Mechanics!H44)^2+(Scale_PCA_Mechanics!I10-Scale_PCA_Mechanics!I44)^2+(Scale_PCA_Mechanics!J10-Scale_PCA_Mechanics!J44)^2)</f>
        <v/>
      </c>
      <c r="D399">
        <f>INDEX(KMeans_6_2!AA2:AA51,A399)</f>
        <v/>
      </c>
      <c r="E399">
        <f>INDEX(KMeans_6_2!AA2:AA51,B399)</f>
        <v/>
      </c>
      <c r="O399">
        <f>IF(OR(AND(D399=1,E399=2),AND(D399=2,E399=1)),C399,"")</f>
        <v/>
      </c>
      <c r="P399">
        <f>IF(OR(AND(D399=1,E399=3),AND(D399=3,E399=1)),C399,"")</f>
        <v/>
      </c>
      <c r="Q399">
        <f>IF(OR(AND(D399=2,E399=3),AND(D399=3,E399=2)),C399,"")</f>
        <v/>
      </c>
    </row>
    <row r="400">
      <c r="A400" t="n">
        <v>9</v>
      </c>
      <c r="B400" t="n">
        <v>44</v>
      </c>
      <c r="C400">
        <f>SQRT((Scale_PCA_Mechanics!G10-Scale_PCA_Mechanics!G45)^2+(Scale_PCA_Mechanics!H10-Scale_PCA_Mechanics!H45)^2+(Scale_PCA_Mechanics!I10-Scale_PCA_Mechanics!I45)^2+(Scale_PCA_Mechanics!J10-Scale_PCA_Mechanics!J45)^2)</f>
        <v/>
      </c>
      <c r="D400">
        <f>INDEX(KMeans_6_2!AA2:AA51,A400)</f>
        <v/>
      </c>
      <c r="E400">
        <f>INDEX(KMeans_6_2!AA2:AA51,B400)</f>
        <v/>
      </c>
      <c r="O400">
        <f>IF(OR(AND(D400=1,E400=2),AND(D400=2,E400=1)),C400,"")</f>
        <v/>
      </c>
      <c r="P400">
        <f>IF(OR(AND(D400=1,E400=3),AND(D400=3,E400=1)),C400,"")</f>
        <v/>
      </c>
      <c r="Q400">
        <f>IF(OR(AND(D400=2,E400=3),AND(D400=3,E400=2)),C400,"")</f>
        <v/>
      </c>
    </row>
    <row r="401">
      <c r="A401" t="n">
        <v>9</v>
      </c>
      <c r="B401" t="n">
        <v>45</v>
      </c>
      <c r="C401">
        <f>SQRT((Scale_PCA_Mechanics!G10-Scale_PCA_Mechanics!G46)^2+(Scale_PCA_Mechanics!H10-Scale_PCA_Mechanics!H46)^2+(Scale_PCA_Mechanics!I10-Scale_PCA_Mechanics!I46)^2+(Scale_PCA_Mechanics!J10-Scale_PCA_Mechanics!J46)^2)</f>
        <v/>
      </c>
      <c r="D401">
        <f>INDEX(KMeans_6_2!AA2:AA51,A401)</f>
        <v/>
      </c>
      <c r="E401">
        <f>INDEX(KMeans_6_2!AA2:AA51,B401)</f>
        <v/>
      </c>
      <c r="O401">
        <f>IF(OR(AND(D401=1,E401=2),AND(D401=2,E401=1)),C401,"")</f>
        <v/>
      </c>
      <c r="P401">
        <f>IF(OR(AND(D401=1,E401=3),AND(D401=3,E401=1)),C401,"")</f>
        <v/>
      </c>
      <c r="Q401">
        <f>IF(OR(AND(D401=2,E401=3),AND(D401=3,E401=2)),C401,"")</f>
        <v/>
      </c>
    </row>
    <row r="402">
      <c r="A402" t="n">
        <v>9</v>
      </c>
      <c r="B402" t="n">
        <v>46</v>
      </c>
      <c r="C402">
        <f>SQRT((Scale_PCA_Mechanics!G10-Scale_PCA_Mechanics!G47)^2+(Scale_PCA_Mechanics!H10-Scale_PCA_Mechanics!H47)^2+(Scale_PCA_Mechanics!I10-Scale_PCA_Mechanics!I47)^2+(Scale_PCA_Mechanics!J10-Scale_PCA_Mechanics!J47)^2)</f>
        <v/>
      </c>
      <c r="D402">
        <f>INDEX(KMeans_6_2!AA2:AA51,A402)</f>
        <v/>
      </c>
      <c r="E402">
        <f>INDEX(KMeans_6_2!AA2:AA51,B402)</f>
        <v/>
      </c>
      <c r="O402">
        <f>IF(OR(AND(D402=1,E402=2),AND(D402=2,E402=1)),C402,"")</f>
        <v/>
      </c>
      <c r="P402">
        <f>IF(OR(AND(D402=1,E402=3),AND(D402=3,E402=1)),C402,"")</f>
        <v/>
      </c>
      <c r="Q402">
        <f>IF(OR(AND(D402=2,E402=3),AND(D402=3,E402=2)),C402,"")</f>
        <v/>
      </c>
    </row>
    <row r="403">
      <c r="A403" t="n">
        <v>9</v>
      </c>
      <c r="B403" t="n">
        <v>47</v>
      </c>
      <c r="C403">
        <f>SQRT((Scale_PCA_Mechanics!G10-Scale_PCA_Mechanics!G48)^2+(Scale_PCA_Mechanics!H10-Scale_PCA_Mechanics!H48)^2+(Scale_PCA_Mechanics!I10-Scale_PCA_Mechanics!I48)^2+(Scale_PCA_Mechanics!J10-Scale_PCA_Mechanics!J48)^2)</f>
        <v/>
      </c>
      <c r="D403">
        <f>INDEX(KMeans_6_2!AA2:AA51,A403)</f>
        <v/>
      </c>
      <c r="E403">
        <f>INDEX(KMeans_6_2!AA2:AA51,B403)</f>
        <v/>
      </c>
      <c r="O403">
        <f>IF(OR(AND(D403=1,E403=2),AND(D403=2,E403=1)),C403,"")</f>
        <v/>
      </c>
      <c r="P403">
        <f>IF(OR(AND(D403=1,E403=3),AND(D403=3,E403=1)),C403,"")</f>
        <v/>
      </c>
      <c r="Q403">
        <f>IF(OR(AND(D403=2,E403=3),AND(D403=3,E403=2)),C403,"")</f>
        <v/>
      </c>
    </row>
    <row r="404">
      <c r="A404" t="n">
        <v>9</v>
      </c>
      <c r="B404" t="n">
        <v>48</v>
      </c>
      <c r="C404">
        <f>SQRT((Scale_PCA_Mechanics!G10-Scale_PCA_Mechanics!G49)^2+(Scale_PCA_Mechanics!H10-Scale_PCA_Mechanics!H49)^2+(Scale_PCA_Mechanics!I10-Scale_PCA_Mechanics!I49)^2+(Scale_PCA_Mechanics!J10-Scale_PCA_Mechanics!J49)^2)</f>
        <v/>
      </c>
      <c r="D404">
        <f>INDEX(KMeans_6_2!AA2:AA51,A404)</f>
        <v/>
      </c>
      <c r="E404">
        <f>INDEX(KMeans_6_2!AA2:AA51,B404)</f>
        <v/>
      </c>
      <c r="O404">
        <f>IF(OR(AND(D404=1,E404=2),AND(D404=2,E404=1)),C404,"")</f>
        <v/>
      </c>
      <c r="P404">
        <f>IF(OR(AND(D404=1,E404=3),AND(D404=3,E404=1)),C404,"")</f>
        <v/>
      </c>
      <c r="Q404">
        <f>IF(OR(AND(D404=2,E404=3),AND(D404=3,E404=2)),C404,"")</f>
        <v/>
      </c>
    </row>
    <row r="405">
      <c r="A405" t="n">
        <v>9</v>
      </c>
      <c r="B405" t="n">
        <v>49</v>
      </c>
      <c r="C405">
        <f>SQRT((Scale_PCA_Mechanics!G10-Scale_PCA_Mechanics!G50)^2+(Scale_PCA_Mechanics!H10-Scale_PCA_Mechanics!H50)^2+(Scale_PCA_Mechanics!I10-Scale_PCA_Mechanics!I50)^2+(Scale_PCA_Mechanics!J10-Scale_PCA_Mechanics!J50)^2)</f>
        <v/>
      </c>
      <c r="D405">
        <f>INDEX(KMeans_6_2!AA2:AA51,A405)</f>
        <v/>
      </c>
      <c r="E405">
        <f>INDEX(KMeans_6_2!AA2:AA51,B405)</f>
        <v/>
      </c>
      <c r="O405">
        <f>IF(OR(AND(D405=1,E405=2),AND(D405=2,E405=1)),C405,"")</f>
        <v/>
      </c>
      <c r="P405">
        <f>IF(OR(AND(D405=1,E405=3),AND(D405=3,E405=1)),C405,"")</f>
        <v/>
      </c>
      <c r="Q405">
        <f>IF(OR(AND(D405=2,E405=3),AND(D405=3,E405=2)),C405,"")</f>
        <v/>
      </c>
    </row>
    <row r="406">
      <c r="A406" t="n">
        <v>9</v>
      </c>
      <c r="B406" t="n">
        <v>50</v>
      </c>
      <c r="C406">
        <f>SQRT((Scale_PCA_Mechanics!G10-Scale_PCA_Mechanics!G51)^2+(Scale_PCA_Mechanics!H10-Scale_PCA_Mechanics!H51)^2+(Scale_PCA_Mechanics!I10-Scale_PCA_Mechanics!I51)^2+(Scale_PCA_Mechanics!J10-Scale_PCA_Mechanics!J51)^2)</f>
        <v/>
      </c>
      <c r="D406">
        <f>INDEX(KMeans_6_2!AA2:AA51,A406)</f>
        <v/>
      </c>
      <c r="E406">
        <f>INDEX(KMeans_6_2!AA2:AA51,B406)</f>
        <v/>
      </c>
      <c r="O406">
        <f>IF(OR(AND(D406=1,E406=2),AND(D406=2,E406=1)),C406,"")</f>
        <v/>
      </c>
      <c r="P406">
        <f>IF(OR(AND(D406=1,E406=3),AND(D406=3,E406=1)),C406,"")</f>
        <v/>
      </c>
      <c r="Q406">
        <f>IF(OR(AND(D406=2,E406=3),AND(D406=3,E406=2)),C406,"")</f>
        <v/>
      </c>
    </row>
    <row r="407">
      <c r="A407" t="n">
        <v>10</v>
      </c>
      <c r="B407" t="n">
        <v>11</v>
      </c>
      <c r="C407">
        <f>SQRT((Scale_PCA_Mechanics!G11-Scale_PCA_Mechanics!G12)^2+(Scale_PCA_Mechanics!H11-Scale_PCA_Mechanics!H12)^2+(Scale_PCA_Mechanics!I11-Scale_PCA_Mechanics!I12)^2+(Scale_PCA_Mechanics!J11-Scale_PCA_Mechanics!J12)^2)</f>
        <v/>
      </c>
      <c r="D407">
        <f>INDEX(KMeans_6_2!AA2:AA51,A407)</f>
        <v/>
      </c>
      <c r="E407">
        <f>INDEX(KMeans_6_2!AA2:AA51,B407)</f>
        <v/>
      </c>
      <c r="O407">
        <f>IF(OR(AND(D407=1,E407=2),AND(D407=2,E407=1)),C407,"")</f>
        <v/>
      </c>
      <c r="P407">
        <f>IF(OR(AND(D407=1,E407=3),AND(D407=3,E407=1)),C407,"")</f>
        <v/>
      </c>
      <c r="Q407">
        <f>IF(OR(AND(D407=2,E407=3),AND(D407=3,E407=2)),C407,"")</f>
        <v/>
      </c>
    </row>
    <row r="408">
      <c r="A408" t="n">
        <v>10</v>
      </c>
      <c r="B408" t="n">
        <v>12</v>
      </c>
      <c r="C408">
        <f>SQRT((Scale_PCA_Mechanics!G11-Scale_PCA_Mechanics!G13)^2+(Scale_PCA_Mechanics!H11-Scale_PCA_Mechanics!H13)^2+(Scale_PCA_Mechanics!I11-Scale_PCA_Mechanics!I13)^2+(Scale_PCA_Mechanics!J11-Scale_PCA_Mechanics!J13)^2)</f>
        <v/>
      </c>
      <c r="D408">
        <f>INDEX(KMeans_6_2!AA2:AA51,A408)</f>
        <v/>
      </c>
      <c r="E408">
        <f>INDEX(KMeans_6_2!AA2:AA51,B408)</f>
        <v/>
      </c>
      <c r="O408">
        <f>IF(OR(AND(D408=1,E408=2),AND(D408=2,E408=1)),C408,"")</f>
        <v/>
      </c>
      <c r="P408">
        <f>IF(OR(AND(D408=1,E408=3),AND(D408=3,E408=1)),C408,"")</f>
        <v/>
      </c>
      <c r="Q408">
        <f>IF(OR(AND(D408=2,E408=3),AND(D408=3,E408=2)),C408,"")</f>
        <v/>
      </c>
    </row>
    <row r="409">
      <c r="A409" t="n">
        <v>10</v>
      </c>
      <c r="B409" t="n">
        <v>13</v>
      </c>
      <c r="C409">
        <f>SQRT((Scale_PCA_Mechanics!G11-Scale_PCA_Mechanics!G14)^2+(Scale_PCA_Mechanics!H11-Scale_PCA_Mechanics!H14)^2+(Scale_PCA_Mechanics!I11-Scale_PCA_Mechanics!I14)^2+(Scale_PCA_Mechanics!J11-Scale_PCA_Mechanics!J14)^2)</f>
        <v/>
      </c>
      <c r="D409">
        <f>INDEX(KMeans_6_2!AA2:AA51,A409)</f>
        <v/>
      </c>
      <c r="E409">
        <f>INDEX(KMeans_6_2!AA2:AA51,B409)</f>
        <v/>
      </c>
      <c r="O409">
        <f>IF(OR(AND(D409=1,E409=2),AND(D409=2,E409=1)),C409,"")</f>
        <v/>
      </c>
      <c r="P409">
        <f>IF(OR(AND(D409=1,E409=3),AND(D409=3,E409=1)),C409,"")</f>
        <v/>
      </c>
      <c r="Q409">
        <f>IF(OR(AND(D409=2,E409=3),AND(D409=3,E409=2)),C409,"")</f>
        <v/>
      </c>
    </row>
    <row r="410">
      <c r="A410" t="n">
        <v>10</v>
      </c>
      <c r="B410" t="n">
        <v>14</v>
      </c>
      <c r="C410">
        <f>SQRT((Scale_PCA_Mechanics!G11-Scale_PCA_Mechanics!G15)^2+(Scale_PCA_Mechanics!H11-Scale_PCA_Mechanics!H15)^2+(Scale_PCA_Mechanics!I11-Scale_PCA_Mechanics!I15)^2+(Scale_PCA_Mechanics!J11-Scale_PCA_Mechanics!J15)^2)</f>
        <v/>
      </c>
      <c r="D410">
        <f>INDEX(KMeans_6_2!AA2:AA51,A410)</f>
        <v/>
      </c>
      <c r="E410">
        <f>INDEX(KMeans_6_2!AA2:AA51,B410)</f>
        <v/>
      </c>
      <c r="O410">
        <f>IF(OR(AND(D410=1,E410=2),AND(D410=2,E410=1)),C410,"")</f>
        <v/>
      </c>
      <c r="P410">
        <f>IF(OR(AND(D410=1,E410=3),AND(D410=3,E410=1)),C410,"")</f>
        <v/>
      </c>
      <c r="Q410">
        <f>IF(OR(AND(D410=2,E410=3),AND(D410=3,E410=2)),C410,"")</f>
        <v/>
      </c>
    </row>
    <row r="411">
      <c r="A411" t="n">
        <v>10</v>
      </c>
      <c r="B411" t="n">
        <v>15</v>
      </c>
      <c r="C411">
        <f>SQRT((Scale_PCA_Mechanics!G11-Scale_PCA_Mechanics!G16)^2+(Scale_PCA_Mechanics!H11-Scale_PCA_Mechanics!H16)^2+(Scale_PCA_Mechanics!I11-Scale_PCA_Mechanics!I16)^2+(Scale_PCA_Mechanics!J11-Scale_PCA_Mechanics!J16)^2)</f>
        <v/>
      </c>
      <c r="D411">
        <f>INDEX(KMeans_6_2!AA2:AA51,A411)</f>
        <v/>
      </c>
      <c r="E411">
        <f>INDEX(KMeans_6_2!AA2:AA51,B411)</f>
        <v/>
      </c>
      <c r="O411">
        <f>IF(OR(AND(D411=1,E411=2),AND(D411=2,E411=1)),C411,"")</f>
        <v/>
      </c>
      <c r="P411">
        <f>IF(OR(AND(D411=1,E411=3),AND(D411=3,E411=1)),C411,"")</f>
        <v/>
      </c>
      <c r="Q411">
        <f>IF(OR(AND(D411=2,E411=3),AND(D411=3,E411=2)),C411,"")</f>
        <v/>
      </c>
    </row>
    <row r="412">
      <c r="A412" t="n">
        <v>10</v>
      </c>
      <c r="B412" t="n">
        <v>16</v>
      </c>
      <c r="C412">
        <f>SQRT((Scale_PCA_Mechanics!G11-Scale_PCA_Mechanics!G17)^2+(Scale_PCA_Mechanics!H11-Scale_PCA_Mechanics!H17)^2+(Scale_PCA_Mechanics!I11-Scale_PCA_Mechanics!I17)^2+(Scale_PCA_Mechanics!J11-Scale_PCA_Mechanics!J17)^2)</f>
        <v/>
      </c>
      <c r="D412">
        <f>INDEX(KMeans_6_2!AA2:AA51,A412)</f>
        <v/>
      </c>
      <c r="E412">
        <f>INDEX(KMeans_6_2!AA2:AA51,B412)</f>
        <v/>
      </c>
      <c r="O412">
        <f>IF(OR(AND(D412=1,E412=2),AND(D412=2,E412=1)),C412,"")</f>
        <v/>
      </c>
      <c r="P412">
        <f>IF(OR(AND(D412=1,E412=3),AND(D412=3,E412=1)),C412,"")</f>
        <v/>
      </c>
      <c r="Q412">
        <f>IF(OR(AND(D412=2,E412=3),AND(D412=3,E412=2)),C412,"")</f>
        <v/>
      </c>
    </row>
    <row r="413">
      <c r="A413" t="n">
        <v>10</v>
      </c>
      <c r="B413" t="n">
        <v>17</v>
      </c>
      <c r="C413">
        <f>SQRT((Scale_PCA_Mechanics!G11-Scale_PCA_Mechanics!G18)^2+(Scale_PCA_Mechanics!H11-Scale_PCA_Mechanics!H18)^2+(Scale_PCA_Mechanics!I11-Scale_PCA_Mechanics!I18)^2+(Scale_PCA_Mechanics!J11-Scale_PCA_Mechanics!J18)^2)</f>
        <v/>
      </c>
      <c r="D413">
        <f>INDEX(KMeans_6_2!AA2:AA51,A413)</f>
        <v/>
      </c>
      <c r="E413">
        <f>INDEX(KMeans_6_2!AA2:AA51,B413)</f>
        <v/>
      </c>
      <c r="O413">
        <f>IF(OR(AND(D413=1,E413=2),AND(D413=2,E413=1)),C413,"")</f>
        <v/>
      </c>
      <c r="P413">
        <f>IF(OR(AND(D413=1,E413=3),AND(D413=3,E413=1)),C413,"")</f>
        <v/>
      </c>
      <c r="Q413">
        <f>IF(OR(AND(D413=2,E413=3),AND(D413=3,E413=2)),C413,"")</f>
        <v/>
      </c>
    </row>
    <row r="414">
      <c r="A414" t="n">
        <v>10</v>
      </c>
      <c r="B414" t="n">
        <v>18</v>
      </c>
      <c r="C414">
        <f>SQRT((Scale_PCA_Mechanics!G11-Scale_PCA_Mechanics!G19)^2+(Scale_PCA_Mechanics!H11-Scale_PCA_Mechanics!H19)^2+(Scale_PCA_Mechanics!I11-Scale_PCA_Mechanics!I19)^2+(Scale_PCA_Mechanics!J11-Scale_PCA_Mechanics!J19)^2)</f>
        <v/>
      </c>
      <c r="D414">
        <f>INDEX(KMeans_6_2!AA2:AA51,A414)</f>
        <v/>
      </c>
      <c r="E414">
        <f>INDEX(KMeans_6_2!AA2:AA51,B414)</f>
        <v/>
      </c>
      <c r="O414">
        <f>IF(OR(AND(D414=1,E414=2),AND(D414=2,E414=1)),C414,"")</f>
        <v/>
      </c>
      <c r="P414">
        <f>IF(OR(AND(D414=1,E414=3),AND(D414=3,E414=1)),C414,"")</f>
        <v/>
      </c>
      <c r="Q414">
        <f>IF(OR(AND(D414=2,E414=3),AND(D414=3,E414=2)),C414,"")</f>
        <v/>
      </c>
    </row>
    <row r="415">
      <c r="A415" t="n">
        <v>10</v>
      </c>
      <c r="B415" t="n">
        <v>19</v>
      </c>
      <c r="C415">
        <f>SQRT((Scale_PCA_Mechanics!G11-Scale_PCA_Mechanics!G20)^2+(Scale_PCA_Mechanics!H11-Scale_PCA_Mechanics!H20)^2+(Scale_PCA_Mechanics!I11-Scale_PCA_Mechanics!I20)^2+(Scale_PCA_Mechanics!J11-Scale_PCA_Mechanics!J20)^2)</f>
        <v/>
      </c>
      <c r="D415">
        <f>INDEX(KMeans_6_2!AA2:AA51,A415)</f>
        <v/>
      </c>
      <c r="E415">
        <f>INDEX(KMeans_6_2!AA2:AA51,B415)</f>
        <v/>
      </c>
      <c r="O415">
        <f>IF(OR(AND(D415=1,E415=2),AND(D415=2,E415=1)),C415,"")</f>
        <v/>
      </c>
      <c r="P415">
        <f>IF(OR(AND(D415=1,E415=3),AND(D415=3,E415=1)),C415,"")</f>
        <v/>
      </c>
      <c r="Q415">
        <f>IF(OR(AND(D415=2,E415=3),AND(D415=3,E415=2)),C415,"")</f>
        <v/>
      </c>
    </row>
    <row r="416">
      <c r="A416" t="n">
        <v>10</v>
      </c>
      <c r="B416" t="n">
        <v>20</v>
      </c>
      <c r="C416">
        <f>SQRT((Scale_PCA_Mechanics!G11-Scale_PCA_Mechanics!G21)^2+(Scale_PCA_Mechanics!H11-Scale_PCA_Mechanics!H21)^2+(Scale_PCA_Mechanics!I11-Scale_PCA_Mechanics!I21)^2+(Scale_PCA_Mechanics!J11-Scale_PCA_Mechanics!J21)^2)</f>
        <v/>
      </c>
      <c r="D416">
        <f>INDEX(KMeans_6_2!AA2:AA51,A416)</f>
        <v/>
      </c>
      <c r="E416">
        <f>INDEX(KMeans_6_2!AA2:AA51,B416)</f>
        <v/>
      </c>
      <c r="O416">
        <f>IF(OR(AND(D416=1,E416=2),AND(D416=2,E416=1)),C416,"")</f>
        <v/>
      </c>
      <c r="P416">
        <f>IF(OR(AND(D416=1,E416=3),AND(D416=3,E416=1)),C416,"")</f>
        <v/>
      </c>
      <c r="Q416">
        <f>IF(OR(AND(D416=2,E416=3),AND(D416=3,E416=2)),C416,"")</f>
        <v/>
      </c>
    </row>
    <row r="417">
      <c r="A417" t="n">
        <v>10</v>
      </c>
      <c r="B417" t="n">
        <v>21</v>
      </c>
      <c r="C417">
        <f>SQRT((Scale_PCA_Mechanics!G11-Scale_PCA_Mechanics!G22)^2+(Scale_PCA_Mechanics!H11-Scale_PCA_Mechanics!H22)^2+(Scale_PCA_Mechanics!I11-Scale_PCA_Mechanics!I22)^2+(Scale_PCA_Mechanics!J11-Scale_PCA_Mechanics!J22)^2)</f>
        <v/>
      </c>
      <c r="D417">
        <f>INDEX(KMeans_6_2!AA2:AA51,A417)</f>
        <v/>
      </c>
      <c r="E417">
        <f>INDEX(KMeans_6_2!AA2:AA51,B417)</f>
        <v/>
      </c>
      <c r="O417">
        <f>IF(OR(AND(D417=1,E417=2),AND(D417=2,E417=1)),C417,"")</f>
        <v/>
      </c>
      <c r="P417">
        <f>IF(OR(AND(D417=1,E417=3),AND(D417=3,E417=1)),C417,"")</f>
        <v/>
      </c>
      <c r="Q417">
        <f>IF(OR(AND(D417=2,E417=3),AND(D417=3,E417=2)),C417,"")</f>
        <v/>
      </c>
    </row>
    <row r="418">
      <c r="A418" t="n">
        <v>10</v>
      </c>
      <c r="B418" t="n">
        <v>22</v>
      </c>
      <c r="C418">
        <f>SQRT((Scale_PCA_Mechanics!G11-Scale_PCA_Mechanics!G23)^2+(Scale_PCA_Mechanics!H11-Scale_PCA_Mechanics!H23)^2+(Scale_PCA_Mechanics!I11-Scale_PCA_Mechanics!I23)^2+(Scale_PCA_Mechanics!J11-Scale_PCA_Mechanics!J23)^2)</f>
        <v/>
      </c>
      <c r="D418">
        <f>INDEX(KMeans_6_2!AA2:AA51,A418)</f>
        <v/>
      </c>
      <c r="E418">
        <f>INDEX(KMeans_6_2!AA2:AA51,B418)</f>
        <v/>
      </c>
      <c r="O418">
        <f>IF(OR(AND(D418=1,E418=2),AND(D418=2,E418=1)),C418,"")</f>
        <v/>
      </c>
      <c r="P418">
        <f>IF(OR(AND(D418=1,E418=3),AND(D418=3,E418=1)),C418,"")</f>
        <v/>
      </c>
      <c r="Q418">
        <f>IF(OR(AND(D418=2,E418=3),AND(D418=3,E418=2)),C418,"")</f>
        <v/>
      </c>
    </row>
    <row r="419">
      <c r="A419" t="n">
        <v>10</v>
      </c>
      <c r="B419" t="n">
        <v>23</v>
      </c>
      <c r="C419">
        <f>SQRT((Scale_PCA_Mechanics!G11-Scale_PCA_Mechanics!G24)^2+(Scale_PCA_Mechanics!H11-Scale_PCA_Mechanics!H24)^2+(Scale_PCA_Mechanics!I11-Scale_PCA_Mechanics!I24)^2+(Scale_PCA_Mechanics!J11-Scale_PCA_Mechanics!J24)^2)</f>
        <v/>
      </c>
      <c r="D419">
        <f>INDEX(KMeans_6_2!AA2:AA51,A419)</f>
        <v/>
      </c>
      <c r="E419">
        <f>INDEX(KMeans_6_2!AA2:AA51,B419)</f>
        <v/>
      </c>
      <c r="O419">
        <f>IF(OR(AND(D419=1,E419=2),AND(D419=2,E419=1)),C419,"")</f>
        <v/>
      </c>
      <c r="P419">
        <f>IF(OR(AND(D419=1,E419=3),AND(D419=3,E419=1)),C419,"")</f>
        <v/>
      </c>
      <c r="Q419">
        <f>IF(OR(AND(D419=2,E419=3),AND(D419=3,E419=2)),C419,"")</f>
        <v/>
      </c>
    </row>
    <row r="420">
      <c r="A420" t="n">
        <v>10</v>
      </c>
      <c r="B420" t="n">
        <v>24</v>
      </c>
      <c r="C420">
        <f>SQRT((Scale_PCA_Mechanics!G11-Scale_PCA_Mechanics!G25)^2+(Scale_PCA_Mechanics!H11-Scale_PCA_Mechanics!H25)^2+(Scale_PCA_Mechanics!I11-Scale_PCA_Mechanics!I25)^2+(Scale_PCA_Mechanics!J11-Scale_PCA_Mechanics!J25)^2)</f>
        <v/>
      </c>
      <c r="D420">
        <f>INDEX(KMeans_6_2!AA2:AA51,A420)</f>
        <v/>
      </c>
      <c r="E420">
        <f>INDEX(KMeans_6_2!AA2:AA51,B420)</f>
        <v/>
      </c>
      <c r="O420">
        <f>IF(OR(AND(D420=1,E420=2),AND(D420=2,E420=1)),C420,"")</f>
        <v/>
      </c>
      <c r="P420">
        <f>IF(OR(AND(D420=1,E420=3),AND(D420=3,E420=1)),C420,"")</f>
        <v/>
      </c>
      <c r="Q420">
        <f>IF(OR(AND(D420=2,E420=3),AND(D420=3,E420=2)),C420,"")</f>
        <v/>
      </c>
    </row>
    <row r="421">
      <c r="A421" t="n">
        <v>10</v>
      </c>
      <c r="B421" t="n">
        <v>25</v>
      </c>
      <c r="C421">
        <f>SQRT((Scale_PCA_Mechanics!G11-Scale_PCA_Mechanics!G26)^2+(Scale_PCA_Mechanics!H11-Scale_PCA_Mechanics!H26)^2+(Scale_PCA_Mechanics!I11-Scale_PCA_Mechanics!I26)^2+(Scale_PCA_Mechanics!J11-Scale_PCA_Mechanics!J26)^2)</f>
        <v/>
      </c>
      <c r="D421">
        <f>INDEX(KMeans_6_2!AA2:AA51,A421)</f>
        <v/>
      </c>
      <c r="E421">
        <f>INDEX(KMeans_6_2!AA2:AA51,B421)</f>
        <v/>
      </c>
      <c r="O421">
        <f>IF(OR(AND(D421=1,E421=2),AND(D421=2,E421=1)),C421,"")</f>
        <v/>
      </c>
      <c r="P421">
        <f>IF(OR(AND(D421=1,E421=3),AND(D421=3,E421=1)),C421,"")</f>
        <v/>
      </c>
      <c r="Q421">
        <f>IF(OR(AND(D421=2,E421=3),AND(D421=3,E421=2)),C421,"")</f>
        <v/>
      </c>
    </row>
    <row r="422">
      <c r="A422" t="n">
        <v>10</v>
      </c>
      <c r="B422" t="n">
        <v>26</v>
      </c>
      <c r="C422">
        <f>SQRT((Scale_PCA_Mechanics!G11-Scale_PCA_Mechanics!G27)^2+(Scale_PCA_Mechanics!H11-Scale_PCA_Mechanics!H27)^2+(Scale_PCA_Mechanics!I11-Scale_PCA_Mechanics!I27)^2+(Scale_PCA_Mechanics!J11-Scale_PCA_Mechanics!J27)^2)</f>
        <v/>
      </c>
      <c r="D422">
        <f>INDEX(KMeans_6_2!AA2:AA51,A422)</f>
        <v/>
      </c>
      <c r="E422">
        <f>INDEX(KMeans_6_2!AA2:AA51,B422)</f>
        <v/>
      </c>
      <c r="O422">
        <f>IF(OR(AND(D422=1,E422=2),AND(D422=2,E422=1)),C422,"")</f>
        <v/>
      </c>
      <c r="P422">
        <f>IF(OR(AND(D422=1,E422=3),AND(D422=3,E422=1)),C422,"")</f>
        <v/>
      </c>
      <c r="Q422">
        <f>IF(OR(AND(D422=2,E422=3),AND(D422=3,E422=2)),C422,"")</f>
        <v/>
      </c>
    </row>
    <row r="423">
      <c r="A423" t="n">
        <v>10</v>
      </c>
      <c r="B423" t="n">
        <v>27</v>
      </c>
      <c r="C423">
        <f>SQRT((Scale_PCA_Mechanics!G11-Scale_PCA_Mechanics!G28)^2+(Scale_PCA_Mechanics!H11-Scale_PCA_Mechanics!H28)^2+(Scale_PCA_Mechanics!I11-Scale_PCA_Mechanics!I28)^2+(Scale_PCA_Mechanics!J11-Scale_PCA_Mechanics!J28)^2)</f>
        <v/>
      </c>
      <c r="D423">
        <f>INDEX(KMeans_6_2!AA2:AA51,A423)</f>
        <v/>
      </c>
      <c r="E423">
        <f>INDEX(KMeans_6_2!AA2:AA51,B423)</f>
        <v/>
      </c>
      <c r="O423">
        <f>IF(OR(AND(D423=1,E423=2),AND(D423=2,E423=1)),C423,"")</f>
        <v/>
      </c>
      <c r="P423">
        <f>IF(OR(AND(D423=1,E423=3),AND(D423=3,E423=1)),C423,"")</f>
        <v/>
      </c>
      <c r="Q423">
        <f>IF(OR(AND(D423=2,E423=3),AND(D423=3,E423=2)),C423,"")</f>
        <v/>
      </c>
    </row>
    <row r="424">
      <c r="A424" t="n">
        <v>10</v>
      </c>
      <c r="B424" t="n">
        <v>28</v>
      </c>
      <c r="C424">
        <f>SQRT((Scale_PCA_Mechanics!G11-Scale_PCA_Mechanics!G29)^2+(Scale_PCA_Mechanics!H11-Scale_PCA_Mechanics!H29)^2+(Scale_PCA_Mechanics!I11-Scale_PCA_Mechanics!I29)^2+(Scale_PCA_Mechanics!J11-Scale_PCA_Mechanics!J29)^2)</f>
        <v/>
      </c>
      <c r="D424">
        <f>INDEX(KMeans_6_2!AA2:AA51,A424)</f>
        <v/>
      </c>
      <c r="E424">
        <f>INDEX(KMeans_6_2!AA2:AA51,B424)</f>
        <v/>
      </c>
      <c r="O424">
        <f>IF(OR(AND(D424=1,E424=2),AND(D424=2,E424=1)),C424,"")</f>
        <v/>
      </c>
      <c r="P424">
        <f>IF(OR(AND(D424=1,E424=3),AND(D424=3,E424=1)),C424,"")</f>
        <v/>
      </c>
      <c r="Q424">
        <f>IF(OR(AND(D424=2,E424=3),AND(D424=3,E424=2)),C424,"")</f>
        <v/>
      </c>
    </row>
    <row r="425">
      <c r="A425" t="n">
        <v>10</v>
      </c>
      <c r="B425" t="n">
        <v>29</v>
      </c>
      <c r="C425">
        <f>SQRT((Scale_PCA_Mechanics!G11-Scale_PCA_Mechanics!G30)^2+(Scale_PCA_Mechanics!H11-Scale_PCA_Mechanics!H30)^2+(Scale_PCA_Mechanics!I11-Scale_PCA_Mechanics!I30)^2+(Scale_PCA_Mechanics!J11-Scale_PCA_Mechanics!J30)^2)</f>
        <v/>
      </c>
      <c r="D425">
        <f>INDEX(KMeans_6_2!AA2:AA51,A425)</f>
        <v/>
      </c>
      <c r="E425">
        <f>INDEX(KMeans_6_2!AA2:AA51,B425)</f>
        <v/>
      </c>
      <c r="O425">
        <f>IF(OR(AND(D425=1,E425=2),AND(D425=2,E425=1)),C425,"")</f>
        <v/>
      </c>
      <c r="P425">
        <f>IF(OR(AND(D425=1,E425=3),AND(D425=3,E425=1)),C425,"")</f>
        <v/>
      </c>
      <c r="Q425">
        <f>IF(OR(AND(D425=2,E425=3),AND(D425=3,E425=2)),C425,"")</f>
        <v/>
      </c>
    </row>
    <row r="426">
      <c r="A426" t="n">
        <v>10</v>
      </c>
      <c r="B426" t="n">
        <v>30</v>
      </c>
      <c r="C426">
        <f>SQRT((Scale_PCA_Mechanics!G11-Scale_PCA_Mechanics!G31)^2+(Scale_PCA_Mechanics!H11-Scale_PCA_Mechanics!H31)^2+(Scale_PCA_Mechanics!I11-Scale_PCA_Mechanics!I31)^2+(Scale_PCA_Mechanics!J11-Scale_PCA_Mechanics!J31)^2)</f>
        <v/>
      </c>
      <c r="D426">
        <f>INDEX(KMeans_6_2!AA2:AA51,A426)</f>
        <v/>
      </c>
      <c r="E426">
        <f>INDEX(KMeans_6_2!AA2:AA51,B426)</f>
        <v/>
      </c>
      <c r="O426">
        <f>IF(OR(AND(D426=1,E426=2),AND(D426=2,E426=1)),C426,"")</f>
        <v/>
      </c>
      <c r="P426">
        <f>IF(OR(AND(D426=1,E426=3),AND(D426=3,E426=1)),C426,"")</f>
        <v/>
      </c>
      <c r="Q426">
        <f>IF(OR(AND(D426=2,E426=3),AND(D426=3,E426=2)),C426,"")</f>
        <v/>
      </c>
    </row>
    <row r="427">
      <c r="A427" t="n">
        <v>10</v>
      </c>
      <c r="B427" t="n">
        <v>31</v>
      </c>
      <c r="C427">
        <f>SQRT((Scale_PCA_Mechanics!G11-Scale_PCA_Mechanics!G32)^2+(Scale_PCA_Mechanics!H11-Scale_PCA_Mechanics!H32)^2+(Scale_PCA_Mechanics!I11-Scale_PCA_Mechanics!I32)^2+(Scale_PCA_Mechanics!J11-Scale_PCA_Mechanics!J32)^2)</f>
        <v/>
      </c>
      <c r="D427">
        <f>INDEX(KMeans_6_2!AA2:AA51,A427)</f>
        <v/>
      </c>
      <c r="E427">
        <f>INDEX(KMeans_6_2!AA2:AA51,B427)</f>
        <v/>
      </c>
      <c r="O427">
        <f>IF(OR(AND(D427=1,E427=2),AND(D427=2,E427=1)),C427,"")</f>
        <v/>
      </c>
      <c r="P427">
        <f>IF(OR(AND(D427=1,E427=3),AND(D427=3,E427=1)),C427,"")</f>
        <v/>
      </c>
      <c r="Q427">
        <f>IF(OR(AND(D427=2,E427=3),AND(D427=3,E427=2)),C427,"")</f>
        <v/>
      </c>
    </row>
    <row r="428">
      <c r="A428" t="n">
        <v>10</v>
      </c>
      <c r="B428" t="n">
        <v>32</v>
      </c>
      <c r="C428">
        <f>SQRT((Scale_PCA_Mechanics!G11-Scale_PCA_Mechanics!G33)^2+(Scale_PCA_Mechanics!H11-Scale_PCA_Mechanics!H33)^2+(Scale_PCA_Mechanics!I11-Scale_PCA_Mechanics!I33)^2+(Scale_PCA_Mechanics!J11-Scale_PCA_Mechanics!J33)^2)</f>
        <v/>
      </c>
      <c r="D428">
        <f>INDEX(KMeans_6_2!AA2:AA51,A428)</f>
        <v/>
      </c>
      <c r="E428">
        <f>INDEX(KMeans_6_2!AA2:AA51,B428)</f>
        <v/>
      </c>
      <c r="O428">
        <f>IF(OR(AND(D428=1,E428=2),AND(D428=2,E428=1)),C428,"")</f>
        <v/>
      </c>
      <c r="P428">
        <f>IF(OR(AND(D428=1,E428=3),AND(D428=3,E428=1)),C428,"")</f>
        <v/>
      </c>
      <c r="Q428">
        <f>IF(OR(AND(D428=2,E428=3),AND(D428=3,E428=2)),C428,"")</f>
        <v/>
      </c>
    </row>
    <row r="429">
      <c r="A429" t="n">
        <v>10</v>
      </c>
      <c r="B429" t="n">
        <v>33</v>
      </c>
      <c r="C429">
        <f>SQRT((Scale_PCA_Mechanics!G11-Scale_PCA_Mechanics!G34)^2+(Scale_PCA_Mechanics!H11-Scale_PCA_Mechanics!H34)^2+(Scale_PCA_Mechanics!I11-Scale_PCA_Mechanics!I34)^2+(Scale_PCA_Mechanics!J11-Scale_PCA_Mechanics!J34)^2)</f>
        <v/>
      </c>
      <c r="D429">
        <f>INDEX(KMeans_6_2!AA2:AA51,A429)</f>
        <v/>
      </c>
      <c r="E429">
        <f>INDEX(KMeans_6_2!AA2:AA51,B429)</f>
        <v/>
      </c>
      <c r="O429">
        <f>IF(OR(AND(D429=1,E429=2),AND(D429=2,E429=1)),C429,"")</f>
        <v/>
      </c>
      <c r="P429">
        <f>IF(OR(AND(D429=1,E429=3),AND(D429=3,E429=1)),C429,"")</f>
        <v/>
      </c>
      <c r="Q429">
        <f>IF(OR(AND(D429=2,E429=3),AND(D429=3,E429=2)),C429,"")</f>
        <v/>
      </c>
    </row>
    <row r="430">
      <c r="A430" t="n">
        <v>10</v>
      </c>
      <c r="B430" t="n">
        <v>34</v>
      </c>
      <c r="C430">
        <f>SQRT((Scale_PCA_Mechanics!G11-Scale_PCA_Mechanics!G35)^2+(Scale_PCA_Mechanics!H11-Scale_PCA_Mechanics!H35)^2+(Scale_PCA_Mechanics!I11-Scale_PCA_Mechanics!I35)^2+(Scale_PCA_Mechanics!J11-Scale_PCA_Mechanics!J35)^2)</f>
        <v/>
      </c>
      <c r="D430">
        <f>INDEX(KMeans_6_2!AA2:AA51,A430)</f>
        <v/>
      </c>
      <c r="E430">
        <f>INDEX(KMeans_6_2!AA2:AA51,B430)</f>
        <v/>
      </c>
      <c r="O430">
        <f>IF(OR(AND(D430=1,E430=2),AND(D430=2,E430=1)),C430,"")</f>
        <v/>
      </c>
      <c r="P430">
        <f>IF(OR(AND(D430=1,E430=3),AND(D430=3,E430=1)),C430,"")</f>
        <v/>
      </c>
      <c r="Q430">
        <f>IF(OR(AND(D430=2,E430=3),AND(D430=3,E430=2)),C430,"")</f>
        <v/>
      </c>
    </row>
    <row r="431">
      <c r="A431" t="n">
        <v>10</v>
      </c>
      <c r="B431" t="n">
        <v>35</v>
      </c>
      <c r="C431">
        <f>SQRT((Scale_PCA_Mechanics!G11-Scale_PCA_Mechanics!G36)^2+(Scale_PCA_Mechanics!H11-Scale_PCA_Mechanics!H36)^2+(Scale_PCA_Mechanics!I11-Scale_PCA_Mechanics!I36)^2+(Scale_PCA_Mechanics!J11-Scale_PCA_Mechanics!J36)^2)</f>
        <v/>
      </c>
      <c r="D431">
        <f>INDEX(KMeans_6_2!AA2:AA51,A431)</f>
        <v/>
      </c>
      <c r="E431">
        <f>INDEX(KMeans_6_2!AA2:AA51,B431)</f>
        <v/>
      </c>
      <c r="O431">
        <f>IF(OR(AND(D431=1,E431=2),AND(D431=2,E431=1)),C431,"")</f>
        <v/>
      </c>
      <c r="P431">
        <f>IF(OR(AND(D431=1,E431=3),AND(D431=3,E431=1)),C431,"")</f>
        <v/>
      </c>
      <c r="Q431">
        <f>IF(OR(AND(D431=2,E431=3),AND(D431=3,E431=2)),C431,"")</f>
        <v/>
      </c>
    </row>
    <row r="432">
      <c r="A432" t="n">
        <v>10</v>
      </c>
      <c r="B432" t="n">
        <v>36</v>
      </c>
      <c r="C432">
        <f>SQRT((Scale_PCA_Mechanics!G11-Scale_PCA_Mechanics!G37)^2+(Scale_PCA_Mechanics!H11-Scale_PCA_Mechanics!H37)^2+(Scale_PCA_Mechanics!I11-Scale_PCA_Mechanics!I37)^2+(Scale_PCA_Mechanics!J11-Scale_PCA_Mechanics!J37)^2)</f>
        <v/>
      </c>
      <c r="D432">
        <f>INDEX(KMeans_6_2!AA2:AA51,A432)</f>
        <v/>
      </c>
      <c r="E432">
        <f>INDEX(KMeans_6_2!AA2:AA51,B432)</f>
        <v/>
      </c>
      <c r="O432">
        <f>IF(OR(AND(D432=1,E432=2),AND(D432=2,E432=1)),C432,"")</f>
        <v/>
      </c>
      <c r="P432">
        <f>IF(OR(AND(D432=1,E432=3),AND(D432=3,E432=1)),C432,"")</f>
        <v/>
      </c>
      <c r="Q432">
        <f>IF(OR(AND(D432=2,E432=3),AND(D432=3,E432=2)),C432,"")</f>
        <v/>
      </c>
    </row>
    <row r="433">
      <c r="A433" t="n">
        <v>10</v>
      </c>
      <c r="B433" t="n">
        <v>37</v>
      </c>
      <c r="C433">
        <f>SQRT((Scale_PCA_Mechanics!G11-Scale_PCA_Mechanics!G38)^2+(Scale_PCA_Mechanics!H11-Scale_PCA_Mechanics!H38)^2+(Scale_PCA_Mechanics!I11-Scale_PCA_Mechanics!I38)^2+(Scale_PCA_Mechanics!J11-Scale_PCA_Mechanics!J38)^2)</f>
        <v/>
      </c>
      <c r="D433">
        <f>INDEX(KMeans_6_2!AA2:AA51,A433)</f>
        <v/>
      </c>
      <c r="E433">
        <f>INDEX(KMeans_6_2!AA2:AA51,B433)</f>
        <v/>
      </c>
      <c r="O433">
        <f>IF(OR(AND(D433=1,E433=2),AND(D433=2,E433=1)),C433,"")</f>
        <v/>
      </c>
      <c r="P433">
        <f>IF(OR(AND(D433=1,E433=3),AND(D433=3,E433=1)),C433,"")</f>
        <v/>
      </c>
      <c r="Q433">
        <f>IF(OR(AND(D433=2,E433=3),AND(D433=3,E433=2)),C433,"")</f>
        <v/>
      </c>
    </row>
    <row r="434">
      <c r="A434" t="n">
        <v>10</v>
      </c>
      <c r="B434" t="n">
        <v>38</v>
      </c>
      <c r="C434">
        <f>SQRT((Scale_PCA_Mechanics!G11-Scale_PCA_Mechanics!G39)^2+(Scale_PCA_Mechanics!H11-Scale_PCA_Mechanics!H39)^2+(Scale_PCA_Mechanics!I11-Scale_PCA_Mechanics!I39)^2+(Scale_PCA_Mechanics!J11-Scale_PCA_Mechanics!J39)^2)</f>
        <v/>
      </c>
      <c r="D434">
        <f>INDEX(KMeans_6_2!AA2:AA51,A434)</f>
        <v/>
      </c>
      <c r="E434">
        <f>INDEX(KMeans_6_2!AA2:AA51,B434)</f>
        <v/>
      </c>
      <c r="O434">
        <f>IF(OR(AND(D434=1,E434=2),AND(D434=2,E434=1)),C434,"")</f>
        <v/>
      </c>
      <c r="P434">
        <f>IF(OR(AND(D434=1,E434=3),AND(D434=3,E434=1)),C434,"")</f>
        <v/>
      </c>
      <c r="Q434">
        <f>IF(OR(AND(D434=2,E434=3),AND(D434=3,E434=2)),C434,"")</f>
        <v/>
      </c>
    </row>
    <row r="435">
      <c r="A435" t="n">
        <v>10</v>
      </c>
      <c r="B435" t="n">
        <v>39</v>
      </c>
      <c r="C435">
        <f>SQRT((Scale_PCA_Mechanics!G11-Scale_PCA_Mechanics!G40)^2+(Scale_PCA_Mechanics!H11-Scale_PCA_Mechanics!H40)^2+(Scale_PCA_Mechanics!I11-Scale_PCA_Mechanics!I40)^2+(Scale_PCA_Mechanics!J11-Scale_PCA_Mechanics!J40)^2)</f>
        <v/>
      </c>
      <c r="D435">
        <f>INDEX(KMeans_6_2!AA2:AA51,A435)</f>
        <v/>
      </c>
      <c r="E435">
        <f>INDEX(KMeans_6_2!AA2:AA51,B435)</f>
        <v/>
      </c>
      <c r="O435">
        <f>IF(OR(AND(D435=1,E435=2),AND(D435=2,E435=1)),C435,"")</f>
        <v/>
      </c>
      <c r="P435">
        <f>IF(OR(AND(D435=1,E435=3),AND(D435=3,E435=1)),C435,"")</f>
        <v/>
      </c>
      <c r="Q435">
        <f>IF(OR(AND(D435=2,E435=3),AND(D435=3,E435=2)),C435,"")</f>
        <v/>
      </c>
    </row>
    <row r="436">
      <c r="A436" t="n">
        <v>10</v>
      </c>
      <c r="B436" t="n">
        <v>40</v>
      </c>
      <c r="C436">
        <f>SQRT((Scale_PCA_Mechanics!G11-Scale_PCA_Mechanics!G41)^2+(Scale_PCA_Mechanics!H11-Scale_PCA_Mechanics!H41)^2+(Scale_PCA_Mechanics!I11-Scale_PCA_Mechanics!I41)^2+(Scale_PCA_Mechanics!J11-Scale_PCA_Mechanics!J41)^2)</f>
        <v/>
      </c>
      <c r="D436">
        <f>INDEX(KMeans_6_2!AA2:AA51,A436)</f>
        <v/>
      </c>
      <c r="E436">
        <f>INDEX(KMeans_6_2!AA2:AA51,B436)</f>
        <v/>
      </c>
      <c r="O436">
        <f>IF(OR(AND(D436=1,E436=2),AND(D436=2,E436=1)),C436,"")</f>
        <v/>
      </c>
      <c r="P436">
        <f>IF(OR(AND(D436=1,E436=3),AND(D436=3,E436=1)),C436,"")</f>
        <v/>
      </c>
      <c r="Q436">
        <f>IF(OR(AND(D436=2,E436=3),AND(D436=3,E436=2)),C436,"")</f>
        <v/>
      </c>
    </row>
    <row r="437">
      <c r="A437" t="n">
        <v>10</v>
      </c>
      <c r="B437" t="n">
        <v>41</v>
      </c>
      <c r="C437">
        <f>SQRT((Scale_PCA_Mechanics!G11-Scale_PCA_Mechanics!G42)^2+(Scale_PCA_Mechanics!H11-Scale_PCA_Mechanics!H42)^2+(Scale_PCA_Mechanics!I11-Scale_PCA_Mechanics!I42)^2+(Scale_PCA_Mechanics!J11-Scale_PCA_Mechanics!J42)^2)</f>
        <v/>
      </c>
      <c r="D437">
        <f>INDEX(KMeans_6_2!AA2:AA51,A437)</f>
        <v/>
      </c>
      <c r="E437">
        <f>INDEX(KMeans_6_2!AA2:AA51,B437)</f>
        <v/>
      </c>
      <c r="O437">
        <f>IF(OR(AND(D437=1,E437=2),AND(D437=2,E437=1)),C437,"")</f>
        <v/>
      </c>
      <c r="P437">
        <f>IF(OR(AND(D437=1,E437=3),AND(D437=3,E437=1)),C437,"")</f>
        <v/>
      </c>
      <c r="Q437">
        <f>IF(OR(AND(D437=2,E437=3),AND(D437=3,E437=2)),C437,"")</f>
        <v/>
      </c>
    </row>
    <row r="438">
      <c r="A438" t="n">
        <v>10</v>
      </c>
      <c r="B438" t="n">
        <v>42</v>
      </c>
      <c r="C438">
        <f>SQRT((Scale_PCA_Mechanics!G11-Scale_PCA_Mechanics!G43)^2+(Scale_PCA_Mechanics!H11-Scale_PCA_Mechanics!H43)^2+(Scale_PCA_Mechanics!I11-Scale_PCA_Mechanics!I43)^2+(Scale_PCA_Mechanics!J11-Scale_PCA_Mechanics!J43)^2)</f>
        <v/>
      </c>
      <c r="D438">
        <f>INDEX(KMeans_6_2!AA2:AA51,A438)</f>
        <v/>
      </c>
      <c r="E438">
        <f>INDEX(KMeans_6_2!AA2:AA51,B438)</f>
        <v/>
      </c>
      <c r="O438">
        <f>IF(OR(AND(D438=1,E438=2),AND(D438=2,E438=1)),C438,"")</f>
        <v/>
      </c>
      <c r="P438">
        <f>IF(OR(AND(D438=1,E438=3),AND(D438=3,E438=1)),C438,"")</f>
        <v/>
      </c>
      <c r="Q438">
        <f>IF(OR(AND(D438=2,E438=3),AND(D438=3,E438=2)),C438,"")</f>
        <v/>
      </c>
    </row>
    <row r="439">
      <c r="A439" t="n">
        <v>10</v>
      </c>
      <c r="B439" t="n">
        <v>43</v>
      </c>
      <c r="C439">
        <f>SQRT((Scale_PCA_Mechanics!G11-Scale_PCA_Mechanics!G44)^2+(Scale_PCA_Mechanics!H11-Scale_PCA_Mechanics!H44)^2+(Scale_PCA_Mechanics!I11-Scale_PCA_Mechanics!I44)^2+(Scale_PCA_Mechanics!J11-Scale_PCA_Mechanics!J44)^2)</f>
        <v/>
      </c>
      <c r="D439">
        <f>INDEX(KMeans_6_2!AA2:AA51,A439)</f>
        <v/>
      </c>
      <c r="E439">
        <f>INDEX(KMeans_6_2!AA2:AA51,B439)</f>
        <v/>
      </c>
      <c r="O439">
        <f>IF(OR(AND(D439=1,E439=2),AND(D439=2,E439=1)),C439,"")</f>
        <v/>
      </c>
      <c r="P439">
        <f>IF(OR(AND(D439=1,E439=3),AND(D439=3,E439=1)),C439,"")</f>
        <v/>
      </c>
      <c r="Q439">
        <f>IF(OR(AND(D439=2,E439=3),AND(D439=3,E439=2)),C439,"")</f>
        <v/>
      </c>
    </row>
    <row r="440">
      <c r="A440" t="n">
        <v>10</v>
      </c>
      <c r="B440" t="n">
        <v>44</v>
      </c>
      <c r="C440">
        <f>SQRT((Scale_PCA_Mechanics!G11-Scale_PCA_Mechanics!G45)^2+(Scale_PCA_Mechanics!H11-Scale_PCA_Mechanics!H45)^2+(Scale_PCA_Mechanics!I11-Scale_PCA_Mechanics!I45)^2+(Scale_PCA_Mechanics!J11-Scale_PCA_Mechanics!J45)^2)</f>
        <v/>
      </c>
      <c r="D440">
        <f>INDEX(KMeans_6_2!AA2:AA51,A440)</f>
        <v/>
      </c>
      <c r="E440">
        <f>INDEX(KMeans_6_2!AA2:AA51,B440)</f>
        <v/>
      </c>
      <c r="O440">
        <f>IF(OR(AND(D440=1,E440=2),AND(D440=2,E440=1)),C440,"")</f>
        <v/>
      </c>
      <c r="P440">
        <f>IF(OR(AND(D440=1,E440=3),AND(D440=3,E440=1)),C440,"")</f>
        <v/>
      </c>
      <c r="Q440">
        <f>IF(OR(AND(D440=2,E440=3),AND(D440=3,E440=2)),C440,"")</f>
        <v/>
      </c>
    </row>
    <row r="441">
      <c r="A441" t="n">
        <v>10</v>
      </c>
      <c r="B441" t="n">
        <v>45</v>
      </c>
      <c r="C441">
        <f>SQRT((Scale_PCA_Mechanics!G11-Scale_PCA_Mechanics!G46)^2+(Scale_PCA_Mechanics!H11-Scale_PCA_Mechanics!H46)^2+(Scale_PCA_Mechanics!I11-Scale_PCA_Mechanics!I46)^2+(Scale_PCA_Mechanics!J11-Scale_PCA_Mechanics!J46)^2)</f>
        <v/>
      </c>
      <c r="D441">
        <f>INDEX(KMeans_6_2!AA2:AA51,A441)</f>
        <v/>
      </c>
      <c r="E441">
        <f>INDEX(KMeans_6_2!AA2:AA51,B441)</f>
        <v/>
      </c>
      <c r="O441">
        <f>IF(OR(AND(D441=1,E441=2),AND(D441=2,E441=1)),C441,"")</f>
        <v/>
      </c>
      <c r="P441">
        <f>IF(OR(AND(D441=1,E441=3),AND(D441=3,E441=1)),C441,"")</f>
        <v/>
      </c>
      <c r="Q441">
        <f>IF(OR(AND(D441=2,E441=3),AND(D441=3,E441=2)),C441,"")</f>
        <v/>
      </c>
    </row>
    <row r="442">
      <c r="A442" t="n">
        <v>10</v>
      </c>
      <c r="B442" t="n">
        <v>46</v>
      </c>
      <c r="C442">
        <f>SQRT((Scale_PCA_Mechanics!G11-Scale_PCA_Mechanics!G47)^2+(Scale_PCA_Mechanics!H11-Scale_PCA_Mechanics!H47)^2+(Scale_PCA_Mechanics!I11-Scale_PCA_Mechanics!I47)^2+(Scale_PCA_Mechanics!J11-Scale_PCA_Mechanics!J47)^2)</f>
        <v/>
      </c>
      <c r="D442">
        <f>INDEX(KMeans_6_2!AA2:AA51,A442)</f>
        <v/>
      </c>
      <c r="E442">
        <f>INDEX(KMeans_6_2!AA2:AA51,B442)</f>
        <v/>
      </c>
      <c r="O442">
        <f>IF(OR(AND(D442=1,E442=2),AND(D442=2,E442=1)),C442,"")</f>
        <v/>
      </c>
      <c r="P442">
        <f>IF(OR(AND(D442=1,E442=3),AND(D442=3,E442=1)),C442,"")</f>
        <v/>
      </c>
      <c r="Q442">
        <f>IF(OR(AND(D442=2,E442=3),AND(D442=3,E442=2)),C442,"")</f>
        <v/>
      </c>
    </row>
    <row r="443">
      <c r="A443" t="n">
        <v>10</v>
      </c>
      <c r="B443" t="n">
        <v>47</v>
      </c>
      <c r="C443">
        <f>SQRT((Scale_PCA_Mechanics!G11-Scale_PCA_Mechanics!G48)^2+(Scale_PCA_Mechanics!H11-Scale_PCA_Mechanics!H48)^2+(Scale_PCA_Mechanics!I11-Scale_PCA_Mechanics!I48)^2+(Scale_PCA_Mechanics!J11-Scale_PCA_Mechanics!J48)^2)</f>
        <v/>
      </c>
      <c r="D443">
        <f>INDEX(KMeans_6_2!AA2:AA51,A443)</f>
        <v/>
      </c>
      <c r="E443">
        <f>INDEX(KMeans_6_2!AA2:AA51,B443)</f>
        <v/>
      </c>
      <c r="O443">
        <f>IF(OR(AND(D443=1,E443=2),AND(D443=2,E443=1)),C443,"")</f>
        <v/>
      </c>
      <c r="P443">
        <f>IF(OR(AND(D443=1,E443=3),AND(D443=3,E443=1)),C443,"")</f>
        <v/>
      </c>
      <c r="Q443">
        <f>IF(OR(AND(D443=2,E443=3),AND(D443=3,E443=2)),C443,"")</f>
        <v/>
      </c>
    </row>
    <row r="444">
      <c r="A444" t="n">
        <v>10</v>
      </c>
      <c r="B444" t="n">
        <v>48</v>
      </c>
      <c r="C444">
        <f>SQRT((Scale_PCA_Mechanics!G11-Scale_PCA_Mechanics!G49)^2+(Scale_PCA_Mechanics!H11-Scale_PCA_Mechanics!H49)^2+(Scale_PCA_Mechanics!I11-Scale_PCA_Mechanics!I49)^2+(Scale_PCA_Mechanics!J11-Scale_PCA_Mechanics!J49)^2)</f>
        <v/>
      </c>
      <c r="D444">
        <f>INDEX(KMeans_6_2!AA2:AA51,A444)</f>
        <v/>
      </c>
      <c r="E444">
        <f>INDEX(KMeans_6_2!AA2:AA51,B444)</f>
        <v/>
      </c>
      <c r="O444">
        <f>IF(OR(AND(D444=1,E444=2),AND(D444=2,E444=1)),C444,"")</f>
        <v/>
      </c>
      <c r="P444">
        <f>IF(OR(AND(D444=1,E444=3),AND(D444=3,E444=1)),C444,"")</f>
        <v/>
      </c>
      <c r="Q444">
        <f>IF(OR(AND(D444=2,E444=3),AND(D444=3,E444=2)),C444,"")</f>
        <v/>
      </c>
    </row>
    <row r="445">
      <c r="A445" t="n">
        <v>10</v>
      </c>
      <c r="B445" t="n">
        <v>49</v>
      </c>
      <c r="C445">
        <f>SQRT((Scale_PCA_Mechanics!G11-Scale_PCA_Mechanics!G50)^2+(Scale_PCA_Mechanics!H11-Scale_PCA_Mechanics!H50)^2+(Scale_PCA_Mechanics!I11-Scale_PCA_Mechanics!I50)^2+(Scale_PCA_Mechanics!J11-Scale_PCA_Mechanics!J50)^2)</f>
        <v/>
      </c>
      <c r="D445">
        <f>INDEX(KMeans_6_2!AA2:AA51,A445)</f>
        <v/>
      </c>
      <c r="E445">
        <f>INDEX(KMeans_6_2!AA2:AA51,B445)</f>
        <v/>
      </c>
      <c r="O445">
        <f>IF(OR(AND(D445=1,E445=2),AND(D445=2,E445=1)),C445,"")</f>
        <v/>
      </c>
      <c r="P445">
        <f>IF(OR(AND(D445=1,E445=3),AND(D445=3,E445=1)),C445,"")</f>
        <v/>
      </c>
      <c r="Q445">
        <f>IF(OR(AND(D445=2,E445=3),AND(D445=3,E445=2)),C445,"")</f>
        <v/>
      </c>
    </row>
    <row r="446">
      <c r="A446" t="n">
        <v>10</v>
      </c>
      <c r="B446" t="n">
        <v>50</v>
      </c>
      <c r="C446">
        <f>SQRT((Scale_PCA_Mechanics!G11-Scale_PCA_Mechanics!G51)^2+(Scale_PCA_Mechanics!H11-Scale_PCA_Mechanics!H51)^2+(Scale_PCA_Mechanics!I11-Scale_PCA_Mechanics!I51)^2+(Scale_PCA_Mechanics!J11-Scale_PCA_Mechanics!J51)^2)</f>
        <v/>
      </c>
      <c r="D446">
        <f>INDEX(KMeans_6_2!AA2:AA51,A446)</f>
        <v/>
      </c>
      <c r="E446">
        <f>INDEX(KMeans_6_2!AA2:AA51,B446)</f>
        <v/>
      </c>
      <c r="O446">
        <f>IF(OR(AND(D446=1,E446=2),AND(D446=2,E446=1)),C446,"")</f>
        <v/>
      </c>
      <c r="P446">
        <f>IF(OR(AND(D446=1,E446=3),AND(D446=3,E446=1)),C446,"")</f>
        <v/>
      </c>
      <c r="Q446">
        <f>IF(OR(AND(D446=2,E446=3),AND(D446=3,E446=2)),C446,"")</f>
        <v/>
      </c>
    </row>
    <row r="447">
      <c r="A447" t="n">
        <v>11</v>
      </c>
      <c r="B447" t="n">
        <v>12</v>
      </c>
      <c r="C447">
        <f>SQRT((Scale_PCA_Mechanics!G12-Scale_PCA_Mechanics!G13)^2+(Scale_PCA_Mechanics!H12-Scale_PCA_Mechanics!H13)^2+(Scale_PCA_Mechanics!I12-Scale_PCA_Mechanics!I13)^2+(Scale_PCA_Mechanics!J12-Scale_PCA_Mechanics!J13)^2)</f>
        <v/>
      </c>
      <c r="D447">
        <f>INDEX(KMeans_6_2!AA2:AA51,A447)</f>
        <v/>
      </c>
      <c r="E447">
        <f>INDEX(KMeans_6_2!AA2:AA51,B447)</f>
        <v/>
      </c>
      <c r="O447">
        <f>IF(OR(AND(D447=1,E447=2),AND(D447=2,E447=1)),C447,"")</f>
        <v/>
      </c>
      <c r="P447">
        <f>IF(OR(AND(D447=1,E447=3),AND(D447=3,E447=1)),C447,"")</f>
        <v/>
      </c>
      <c r="Q447">
        <f>IF(OR(AND(D447=2,E447=3),AND(D447=3,E447=2)),C447,"")</f>
        <v/>
      </c>
    </row>
    <row r="448">
      <c r="A448" t="n">
        <v>11</v>
      </c>
      <c r="B448" t="n">
        <v>13</v>
      </c>
      <c r="C448">
        <f>SQRT((Scale_PCA_Mechanics!G12-Scale_PCA_Mechanics!G14)^2+(Scale_PCA_Mechanics!H12-Scale_PCA_Mechanics!H14)^2+(Scale_PCA_Mechanics!I12-Scale_PCA_Mechanics!I14)^2+(Scale_PCA_Mechanics!J12-Scale_PCA_Mechanics!J14)^2)</f>
        <v/>
      </c>
      <c r="D448">
        <f>INDEX(KMeans_6_2!AA2:AA51,A448)</f>
        <v/>
      </c>
      <c r="E448">
        <f>INDEX(KMeans_6_2!AA2:AA51,B448)</f>
        <v/>
      </c>
      <c r="O448">
        <f>IF(OR(AND(D448=1,E448=2),AND(D448=2,E448=1)),C448,"")</f>
        <v/>
      </c>
      <c r="P448">
        <f>IF(OR(AND(D448=1,E448=3),AND(D448=3,E448=1)),C448,"")</f>
        <v/>
      </c>
      <c r="Q448">
        <f>IF(OR(AND(D448=2,E448=3),AND(D448=3,E448=2)),C448,"")</f>
        <v/>
      </c>
    </row>
    <row r="449">
      <c r="A449" t="n">
        <v>11</v>
      </c>
      <c r="B449" t="n">
        <v>14</v>
      </c>
      <c r="C449">
        <f>SQRT((Scale_PCA_Mechanics!G12-Scale_PCA_Mechanics!G15)^2+(Scale_PCA_Mechanics!H12-Scale_PCA_Mechanics!H15)^2+(Scale_PCA_Mechanics!I12-Scale_PCA_Mechanics!I15)^2+(Scale_PCA_Mechanics!J12-Scale_PCA_Mechanics!J15)^2)</f>
        <v/>
      </c>
      <c r="D449">
        <f>INDEX(KMeans_6_2!AA2:AA51,A449)</f>
        <v/>
      </c>
      <c r="E449">
        <f>INDEX(KMeans_6_2!AA2:AA51,B449)</f>
        <v/>
      </c>
      <c r="O449">
        <f>IF(OR(AND(D449=1,E449=2),AND(D449=2,E449=1)),C449,"")</f>
        <v/>
      </c>
      <c r="P449">
        <f>IF(OR(AND(D449=1,E449=3),AND(D449=3,E449=1)),C449,"")</f>
        <v/>
      </c>
      <c r="Q449">
        <f>IF(OR(AND(D449=2,E449=3),AND(D449=3,E449=2)),C449,"")</f>
        <v/>
      </c>
    </row>
    <row r="450">
      <c r="A450" t="n">
        <v>11</v>
      </c>
      <c r="B450" t="n">
        <v>15</v>
      </c>
      <c r="C450">
        <f>SQRT((Scale_PCA_Mechanics!G12-Scale_PCA_Mechanics!G16)^2+(Scale_PCA_Mechanics!H12-Scale_PCA_Mechanics!H16)^2+(Scale_PCA_Mechanics!I12-Scale_PCA_Mechanics!I16)^2+(Scale_PCA_Mechanics!J12-Scale_PCA_Mechanics!J16)^2)</f>
        <v/>
      </c>
      <c r="D450">
        <f>INDEX(KMeans_6_2!AA2:AA51,A450)</f>
        <v/>
      </c>
      <c r="E450">
        <f>INDEX(KMeans_6_2!AA2:AA51,B450)</f>
        <v/>
      </c>
      <c r="O450">
        <f>IF(OR(AND(D450=1,E450=2),AND(D450=2,E450=1)),C450,"")</f>
        <v/>
      </c>
      <c r="P450">
        <f>IF(OR(AND(D450=1,E450=3),AND(D450=3,E450=1)),C450,"")</f>
        <v/>
      </c>
      <c r="Q450">
        <f>IF(OR(AND(D450=2,E450=3),AND(D450=3,E450=2)),C450,"")</f>
        <v/>
      </c>
    </row>
    <row r="451">
      <c r="A451" t="n">
        <v>11</v>
      </c>
      <c r="B451" t="n">
        <v>16</v>
      </c>
      <c r="C451">
        <f>SQRT((Scale_PCA_Mechanics!G12-Scale_PCA_Mechanics!G17)^2+(Scale_PCA_Mechanics!H12-Scale_PCA_Mechanics!H17)^2+(Scale_PCA_Mechanics!I12-Scale_PCA_Mechanics!I17)^2+(Scale_PCA_Mechanics!J12-Scale_PCA_Mechanics!J17)^2)</f>
        <v/>
      </c>
      <c r="D451">
        <f>INDEX(KMeans_6_2!AA2:AA51,A451)</f>
        <v/>
      </c>
      <c r="E451">
        <f>INDEX(KMeans_6_2!AA2:AA51,B451)</f>
        <v/>
      </c>
      <c r="O451">
        <f>IF(OR(AND(D451=1,E451=2),AND(D451=2,E451=1)),C451,"")</f>
        <v/>
      </c>
      <c r="P451">
        <f>IF(OR(AND(D451=1,E451=3),AND(D451=3,E451=1)),C451,"")</f>
        <v/>
      </c>
      <c r="Q451">
        <f>IF(OR(AND(D451=2,E451=3),AND(D451=3,E451=2)),C451,"")</f>
        <v/>
      </c>
    </row>
    <row r="452">
      <c r="A452" t="n">
        <v>11</v>
      </c>
      <c r="B452" t="n">
        <v>17</v>
      </c>
      <c r="C452">
        <f>SQRT((Scale_PCA_Mechanics!G12-Scale_PCA_Mechanics!G18)^2+(Scale_PCA_Mechanics!H12-Scale_PCA_Mechanics!H18)^2+(Scale_PCA_Mechanics!I12-Scale_PCA_Mechanics!I18)^2+(Scale_PCA_Mechanics!J12-Scale_PCA_Mechanics!J18)^2)</f>
        <v/>
      </c>
      <c r="D452">
        <f>INDEX(KMeans_6_2!AA2:AA51,A452)</f>
        <v/>
      </c>
      <c r="E452">
        <f>INDEX(KMeans_6_2!AA2:AA51,B452)</f>
        <v/>
      </c>
      <c r="O452">
        <f>IF(OR(AND(D452=1,E452=2),AND(D452=2,E452=1)),C452,"")</f>
        <v/>
      </c>
      <c r="P452">
        <f>IF(OR(AND(D452=1,E452=3),AND(D452=3,E452=1)),C452,"")</f>
        <v/>
      </c>
      <c r="Q452">
        <f>IF(OR(AND(D452=2,E452=3),AND(D452=3,E452=2)),C452,"")</f>
        <v/>
      </c>
    </row>
    <row r="453">
      <c r="A453" t="n">
        <v>11</v>
      </c>
      <c r="B453" t="n">
        <v>18</v>
      </c>
      <c r="C453">
        <f>SQRT((Scale_PCA_Mechanics!G12-Scale_PCA_Mechanics!G19)^2+(Scale_PCA_Mechanics!H12-Scale_PCA_Mechanics!H19)^2+(Scale_PCA_Mechanics!I12-Scale_PCA_Mechanics!I19)^2+(Scale_PCA_Mechanics!J12-Scale_PCA_Mechanics!J19)^2)</f>
        <v/>
      </c>
      <c r="D453">
        <f>INDEX(KMeans_6_2!AA2:AA51,A453)</f>
        <v/>
      </c>
      <c r="E453">
        <f>INDEX(KMeans_6_2!AA2:AA51,B453)</f>
        <v/>
      </c>
      <c r="O453">
        <f>IF(OR(AND(D453=1,E453=2),AND(D453=2,E453=1)),C453,"")</f>
        <v/>
      </c>
      <c r="P453">
        <f>IF(OR(AND(D453=1,E453=3),AND(D453=3,E453=1)),C453,"")</f>
        <v/>
      </c>
      <c r="Q453">
        <f>IF(OR(AND(D453=2,E453=3),AND(D453=3,E453=2)),C453,"")</f>
        <v/>
      </c>
    </row>
    <row r="454">
      <c r="A454" t="n">
        <v>11</v>
      </c>
      <c r="B454" t="n">
        <v>19</v>
      </c>
      <c r="C454">
        <f>SQRT((Scale_PCA_Mechanics!G12-Scale_PCA_Mechanics!G20)^2+(Scale_PCA_Mechanics!H12-Scale_PCA_Mechanics!H20)^2+(Scale_PCA_Mechanics!I12-Scale_PCA_Mechanics!I20)^2+(Scale_PCA_Mechanics!J12-Scale_PCA_Mechanics!J20)^2)</f>
        <v/>
      </c>
      <c r="D454">
        <f>INDEX(KMeans_6_2!AA2:AA51,A454)</f>
        <v/>
      </c>
      <c r="E454">
        <f>INDEX(KMeans_6_2!AA2:AA51,B454)</f>
        <v/>
      </c>
      <c r="O454">
        <f>IF(OR(AND(D454=1,E454=2),AND(D454=2,E454=1)),C454,"")</f>
        <v/>
      </c>
      <c r="P454">
        <f>IF(OR(AND(D454=1,E454=3),AND(D454=3,E454=1)),C454,"")</f>
        <v/>
      </c>
      <c r="Q454">
        <f>IF(OR(AND(D454=2,E454=3),AND(D454=3,E454=2)),C454,"")</f>
        <v/>
      </c>
    </row>
    <row r="455">
      <c r="A455" t="n">
        <v>11</v>
      </c>
      <c r="B455" t="n">
        <v>20</v>
      </c>
      <c r="C455">
        <f>SQRT((Scale_PCA_Mechanics!G12-Scale_PCA_Mechanics!G21)^2+(Scale_PCA_Mechanics!H12-Scale_PCA_Mechanics!H21)^2+(Scale_PCA_Mechanics!I12-Scale_PCA_Mechanics!I21)^2+(Scale_PCA_Mechanics!J12-Scale_PCA_Mechanics!J21)^2)</f>
        <v/>
      </c>
      <c r="D455">
        <f>INDEX(KMeans_6_2!AA2:AA51,A455)</f>
        <v/>
      </c>
      <c r="E455">
        <f>INDEX(KMeans_6_2!AA2:AA51,B455)</f>
        <v/>
      </c>
      <c r="O455">
        <f>IF(OR(AND(D455=1,E455=2),AND(D455=2,E455=1)),C455,"")</f>
        <v/>
      </c>
      <c r="P455">
        <f>IF(OR(AND(D455=1,E455=3),AND(D455=3,E455=1)),C455,"")</f>
        <v/>
      </c>
      <c r="Q455">
        <f>IF(OR(AND(D455=2,E455=3),AND(D455=3,E455=2)),C455,"")</f>
        <v/>
      </c>
    </row>
    <row r="456">
      <c r="A456" t="n">
        <v>11</v>
      </c>
      <c r="B456" t="n">
        <v>21</v>
      </c>
      <c r="C456">
        <f>SQRT((Scale_PCA_Mechanics!G12-Scale_PCA_Mechanics!G22)^2+(Scale_PCA_Mechanics!H12-Scale_PCA_Mechanics!H22)^2+(Scale_PCA_Mechanics!I12-Scale_PCA_Mechanics!I22)^2+(Scale_PCA_Mechanics!J12-Scale_PCA_Mechanics!J22)^2)</f>
        <v/>
      </c>
      <c r="D456">
        <f>INDEX(KMeans_6_2!AA2:AA51,A456)</f>
        <v/>
      </c>
      <c r="E456">
        <f>INDEX(KMeans_6_2!AA2:AA51,B456)</f>
        <v/>
      </c>
      <c r="O456">
        <f>IF(OR(AND(D456=1,E456=2),AND(D456=2,E456=1)),C456,"")</f>
        <v/>
      </c>
      <c r="P456">
        <f>IF(OR(AND(D456=1,E456=3),AND(D456=3,E456=1)),C456,"")</f>
        <v/>
      </c>
      <c r="Q456">
        <f>IF(OR(AND(D456=2,E456=3),AND(D456=3,E456=2)),C456,"")</f>
        <v/>
      </c>
    </row>
    <row r="457">
      <c r="A457" t="n">
        <v>11</v>
      </c>
      <c r="B457" t="n">
        <v>22</v>
      </c>
      <c r="C457">
        <f>SQRT((Scale_PCA_Mechanics!G12-Scale_PCA_Mechanics!G23)^2+(Scale_PCA_Mechanics!H12-Scale_PCA_Mechanics!H23)^2+(Scale_PCA_Mechanics!I12-Scale_PCA_Mechanics!I23)^2+(Scale_PCA_Mechanics!J12-Scale_PCA_Mechanics!J23)^2)</f>
        <v/>
      </c>
      <c r="D457">
        <f>INDEX(KMeans_6_2!AA2:AA51,A457)</f>
        <v/>
      </c>
      <c r="E457">
        <f>INDEX(KMeans_6_2!AA2:AA51,B457)</f>
        <v/>
      </c>
      <c r="O457">
        <f>IF(OR(AND(D457=1,E457=2),AND(D457=2,E457=1)),C457,"")</f>
        <v/>
      </c>
      <c r="P457">
        <f>IF(OR(AND(D457=1,E457=3),AND(D457=3,E457=1)),C457,"")</f>
        <v/>
      </c>
      <c r="Q457">
        <f>IF(OR(AND(D457=2,E457=3),AND(D457=3,E457=2)),C457,"")</f>
        <v/>
      </c>
    </row>
    <row r="458">
      <c r="A458" t="n">
        <v>11</v>
      </c>
      <c r="B458" t="n">
        <v>23</v>
      </c>
      <c r="C458">
        <f>SQRT((Scale_PCA_Mechanics!G12-Scale_PCA_Mechanics!G24)^2+(Scale_PCA_Mechanics!H12-Scale_PCA_Mechanics!H24)^2+(Scale_PCA_Mechanics!I12-Scale_PCA_Mechanics!I24)^2+(Scale_PCA_Mechanics!J12-Scale_PCA_Mechanics!J24)^2)</f>
        <v/>
      </c>
      <c r="D458">
        <f>INDEX(KMeans_6_2!AA2:AA51,A458)</f>
        <v/>
      </c>
      <c r="E458">
        <f>INDEX(KMeans_6_2!AA2:AA51,B458)</f>
        <v/>
      </c>
      <c r="O458">
        <f>IF(OR(AND(D458=1,E458=2),AND(D458=2,E458=1)),C458,"")</f>
        <v/>
      </c>
      <c r="P458">
        <f>IF(OR(AND(D458=1,E458=3),AND(D458=3,E458=1)),C458,"")</f>
        <v/>
      </c>
      <c r="Q458">
        <f>IF(OR(AND(D458=2,E458=3),AND(D458=3,E458=2)),C458,"")</f>
        <v/>
      </c>
    </row>
    <row r="459">
      <c r="A459" t="n">
        <v>11</v>
      </c>
      <c r="B459" t="n">
        <v>24</v>
      </c>
      <c r="C459">
        <f>SQRT((Scale_PCA_Mechanics!G12-Scale_PCA_Mechanics!G25)^2+(Scale_PCA_Mechanics!H12-Scale_PCA_Mechanics!H25)^2+(Scale_PCA_Mechanics!I12-Scale_PCA_Mechanics!I25)^2+(Scale_PCA_Mechanics!J12-Scale_PCA_Mechanics!J25)^2)</f>
        <v/>
      </c>
      <c r="D459">
        <f>INDEX(KMeans_6_2!AA2:AA51,A459)</f>
        <v/>
      </c>
      <c r="E459">
        <f>INDEX(KMeans_6_2!AA2:AA51,B459)</f>
        <v/>
      </c>
      <c r="O459">
        <f>IF(OR(AND(D459=1,E459=2),AND(D459=2,E459=1)),C459,"")</f>
        <v/>
      </c>
      <c r="P459">
        <f>IF(OR(AND(D459=1,E459=3),AND(D459=3,E459=1)),C459,"")</f>
        <v/>
      </c>
      <c r="Q459">
        <f>IF(OR(AND(D459=2,E459=3),AND(D459=3,E459=2)),C459,"")</f>
        <v/>
      </c>
    </row>
    <row r="460">
      <c r="A460" t="n">
        <v>11</v>
      </c>
      <c r="B460" t="n">
        <v>25</v>
      </c>
      <c r="C460">
        <f>SQRT((Scale_PCA_Mechanics!G12-Scale_PCA_Mechanics!G26)^2+(Scale_PCA_Mechanics!H12-Scale_PCA_Mechanics!H26)^2+(Scale_PCA_Mechanics!I12-Scale_PCA_Mechanics!I26)^2+(Scale_PCA_Mechanics!J12-Scale_PCA_Mechanics!J26)^2)</f>
        <v/>
      </c>
      <c r="D460">
        <f>INDEX(KMeans_6_2!AA2:AA51,A460)</f>
        <v/>
      </c>
      <c r="E460">
        <f>INDEX(KMeans_6_2!AA2:AA51,B460)</f>
        <v/>
      </c>
      <c r="O460">
        <f>IF(OR(AND(D460=1,E460=2),AND(D460=2,E460=1)),C460,"")</f>
        <v/>
      </c>
      <c r="P460">
        <f>IF(OR(AND(D460=1,E460=3),AND(D460=3,E460=1)),C460,"")</f>
        <v/>
      </c>
      <c r="Q460">
        <f>IF(OR(AND(D460=2,E460=3),AND(D460=3,E460=2)),C460,"")</f>
        <v/>
      </c>
    </row>
    <row r="461">
      <c r="A461" t="n">
        <v>11</v>
      </c>
      <c r="B461" t="n">
        <v>26</v>
      </c>
      <c r="C461">
        <f>SQRT((Scale_PCA_Mechanics!G12-Scale_PCA_Mechanics!G27)^2+(Scale_PCA_Mechanics!H12-Scale_PCA_Mechanics!H27)^2+(Scale_PCA_Mechanics!I12-Scale_PCA_Mechanics!I27)^2+(Scale_PCA_Mechanics!J12-Scale_PCA_Mechanics!J27)^2)</f>
        <v/>
      </c>
      <c r="D461">
        <f>INDEX(KMeans_6_2!AA2:AA51,A461)</f>
        <v/>
      </c>
      <c r="E461">
        <f>INDEX(KMeans_6_2!AA2:AA51,B461)</f>
        <v/>
      </c>
      <c r="O461">
        <f>IF(OR(AND(D461=1,E461=2),AND(D461=2,E461=1)),C461,"")</f>
        <v/>
      </c>
      <c r="P461">
        <f>IF(OR(AND(D461=1,E461=3),AND(D461=3,E461=1)),C461,"")</f>
        <v/>
      </c>
      <c r="Q461">
        <f>IF(OR(AND(D461=2,E461=3),AND(D461=3,E461=2)),C461,"")</f>
        <v/>
      </c>
    </row>
    <row r="462">
      <c r="A462" t="n">
        <v>11</v>
      </c>
      <c r="B462" t="n">
        <v>27</v>
      </c>
      <c r="C462">
        <f>SQRT((Scale_PCA_Mechanics!G12-Scale_PCA_Mechanics!G28)^2+(Scale_PCA_Mechanics!H12-Scale_PCA_Mechanics!H28)^2+(Scale_PCA_Mechanics!I12-Scale_PCA_Mechanics!I28)^2+(Scale_PCA_Mechanics!J12-Scale_PCA_Mechanics!J28)^2)</f>
        <v/>
      </c>
      <c r="D462">
        <f>INDEX(KMeans_6_2!AA2:AA51,A462)</f>
        <v/>
      </c>
      <c r="E462">
        <f>INDEX(KMeans_6_2!AA2:AA51,B462)</f>
        <v/>
      </c>
      <c r="O462">
        <f>IF(OR(AND(D462=1,E462=2),AND(D462=2,E462=1)),C462,"")</f>
        <v/>
      </c>
      <c r="P462">
        <f>IF(OR(AND(D462=1,E462=3),AND(D462=3,E462=1)),C462,"")</f>
        <v/>
      </c>
      <c r="Q462">
        <f>IF(OR(AND(D462=2,E462=3),AND(D462=3,E462=2)),C462,"")</f>
        <v/>
      </c>
    </row>
    <row r="463">
      <c r="A463" t="n">
        <v>11</v>
      </c>
      <c r="B463" t="n">
        <v>28</v>
      </c>
      <c r="C463">
        <f>SQRT((Scale_PCA_Mechanics!G12-Scale_PCA_Mechanics!G29)^2+(Scale_PCA_Mechanics!H12-Scale_PCA_Mechanics!H29)^2+(Scale_PCA_Mechanics!I12-Scale_PCA_Mechanics!I29)^2+(Scale_PCA_Mechanics!J12-Scale_PCA_Mechanics!J29)^2)</f>
        <v/>
      </c>
      <c r="D463">
        <f>INDEX(KMeans_6_2!AA2:AA51,A463)</f>
        <v/>
      </c>
      <c r="E463">
        <f>INDEX(KMeans_6_2!AA2:AA51,B463)</f>
        <v/>
      </c>
      <c r="O463">
        <f>IF(OR(AND(D463=1,E463=2),AND(D463=2,E463=1)),C463,"")</f>
        <v/>
      </c>
      <c r="P463">
        <f>IF(OR(AND(D463=1,E463=3),AND(D463=3,E463=1)),C463,"")</f>
        <v/>
      </c>
      <c r="Q463">
        <f>IF(OR(AND(D463=2,E463=3),AND(D463=3,E463=2)),C463,"")</f>
        <v/>
      </c>
    </row>
    <row r="464">
      <c r="A464" t="n">
        <v>11</v>
      </c>
      <c r="B464" t="n">
        <v>29</v>
      </c>
      <c r="C464">
        <f>SQRT((Scale_PCA_Mechanics!G12-Scale_PCA_Mechanics!G30)^2+(Scale_PCA_Mechanics!H12-Scale_PCA_Mechanics!H30)^2+(Scale_PCA_Mechanics!I12-Scale_PCA_Mechanics!I30)^2+(Scale_PCA_Mechanics!J12-Scale_PCA_Mechanics!J30)^2)</f>
        <v/>
      </c>
      <c r="D464">
        <f>INDEX(KMeans_6_2!AA2:AA51,A464)</f>
        <v/>
      </c>
      <c r="E464">
        <f>INDEX(KMeans_6_2!AA2:AA51,B464)</f>
        <v/>
      </c>
      <c r="O464">
        <f>IF(OR(AND(D464=1,E464=2),AND(D464=2,E464=1)),C464,"")</f>
        <v/>
      </c>
      <c r="P464">
        <f>IF(OR(AND(D464=1,E464=3),AND(D464=3,E464=1)),C464,"")</f>
        <v/>
      </c>
      <c r="Q464">
        <f>IF(OR(AND(D464=2,E464=3),AND(D464=3,E464=2)),C464,"")</f>
        <v/>
      </c>
    </row>
    <row r="465">
      <c r="A465" t="n">
        <v>11</v>
      </c>
      <c r="B465" t="n">
        <v>30</v>
      </c>
      <c r="C465">
        <f>SQRT((Scale_PCA_Mechanics!G12-Scale_PCA_Mechanics!G31)^2+(Scale_PCA_Mechanics!H12-Scale_PCA_Mechanics!H31)^2+(Scale_PCA_Mechanics!I12-Scale_PCA_Mechanics!I31)^2+(Scale_PCA_Mechanics!J12-Scale_PCA_Mechanics!J31)^2)</f>
        <v/>
      </c>
      <c r="D465">
        <f>INDEX(KMeans_6_2!AA2:AA51,A465)</f>
        <v/>
      </c>
      <c r="E465">
        <f>INDEX(KMeans_6_2!AA2:AA51,B465)</f>
        <v/>
      </c>
      <c r="O465">
        <f>IF(OR(AND(D465=1,E465=2),AND(D465=2,E465=1)),C465,"")</f>
        <v/>
      </c>
      <c r="P465">
        <f>IF(OR(AND(D465=1,E465=3),AND(D465=3,E465=1)),C465,"")</f>
        <v/>
      </c>
      <c r="Q465">
        <f>IF(OR(AND(D465=2,E465=3),AND(D465=3,E465=2)),C465,"")</f>
        <v/>
      </c>
    </row>
    <row r="466">
      <c r="A466" t="n">
        <v>11</v>
      </c>
      <c r="B466" t="n">
        <v>31</v>
      </c>
      <c r="C466">
        <f>SQRT((Scale_PCA_Mechanics!G12-Scale_PCA_Mechanics!G32)^2+(Scale_PCA_Mechanics!H12-Scale_PCA_Mechanics!H32)^2+(Scale_PCA_Mechanics!I12-Scale_PCA_Mechanics!I32)^2+(Scale_PCA_Mechanics!J12-Scale_PCA_Mechanics!J32)^2)</f>
        <v/>
      </c>
      <c r="D466">
        <f>INDEX(KMeans_6_2!AA2:AA51,A466)</f>
        <v/>
      </c>
      <c r="E466">
        <f>INDEX(KMeans_6_2!AA2:AA51,B466)</f>
        <v/>
      </c>
      <c r="O466">
        <f>IF(OR(AND(D466=1,E466=2),AND(D466=2,E466=1)),C466,"")</f>
        <v/>
      </c>
      <c r="P466">
        <f>IF(OR(AND(D466=1,E466=3),AND(D466=3,E466=1)),C466,"")</f>
        <v/>
      </c>
      <c r="Q466">
        <f>IF(OR(AND(D466=2,E466=3),AND(D466=3,E466=2)),C466,"")</f>
        <v/>
      </c>
    </row>
    <row r="467">
      <c r="A467" t="n">
        <v>11</v>
      </c>
      <c r="B467" t="n">
        <v>32</v>
      </c>
      <c r="C467">
        <f>SQRT((Scale_PCA_Mechanics!G12-Scale_PCA_Mechanics!G33)^2+(Scale_PCA_Mechanics!H12-Scale_PCA_Mechanics!H33)^2+(Scale_PCA_Mechanics!I12-Scale_PCA_Mechanics!I33)^2+(Scale_PCA_Mechanics!J12-Scale_PCA_Mechanics!J33)^2)</f>
        <v/>
      </c>
      <c r="D467">
        <f>INDEX(KMeans_6_2!AA2:AA51,A467)</f>
        <v/>
      </c>
      <c r="E467">
        <f>INDEX(KMeans_6_2!AA2:AA51,B467)</f>
        <v/>
      </c>
      <c r="O467">
        <f>IF(OR(AND(D467=1,E467=2),AND(D467=2,E467=1)),C467,"")</f>
        <v/>
      </c>
      <c r="P467">
        <f>IF(OR(AND(D467=1,E467=3),AND(D467=3,E467=1)),C467,"")</f>
        <v/>
      </c>
      <c r="Q467">
        <f>IF(OR(AND(D467=2,E467=3),AND(D467=3,E467=2)),C467,"")</f>
        <v/>
      </c>
    </row>
    <row r="468">
      <c r="A468" t="n">
        <v>11</v>
      </c>
      <c r="B468" t="n">
        <v>33</v>
      </c>
      <c r="C468">
        <f>SQRT((Scale_PCA_Mechanics!G12-Scale_PCA_Mechanics!G34)^2+(Scale_PCA_Mechanics!H12-Scale_PCA_Mechanics!H34)^2+(Scale_PCA_Mechanics!I12-Scale_PCA_Mechanics!I34)^2+(Scale_PCA_Mechanics!J12-Scale_PCA_Mechanics!J34)^2)</f>
        <v/>
      </c>
      <c r="D468">
        <f>INDEX(KMeans_6_2!AA2:AA51,A468)</f>
        <v/>
      </c>
      <c r="E468">
        <f>INDEX(KMeans_6_2!AA2:AA51,B468)</f>
        <v/>
      </c>
      <c r="O468">
        <f>IF(OR(AND(D468=1,E468=2),AND(D468=2,E468=1)),C468,"")</f>
        <v/>
      </c>
      <c r="P468">
        <f>IF(OR(AND(D468=1,E468=3),AND(D468=3,E468=1)),C468,"")</f>
        <v/>
      </c>
      <c r="Q468">
        <f>IF(OR(AND(D468=2,E468=3),AND(D468=3,E468=2)),C468,"")</f>
        <v/>
      </c>
    </row>
    <row r="469">
      <c r="A469" t="n">
        <v>11</v>
      </c>
      <c r="B469" t="n">
        <v>34</v>
      </c>
      <c r="C469">
        <f>SQRT((Scale_PCA_Mechanics!G12-Scale_PCA_Mechanics!G35)^2+(Scale_PCA_Mechanics!H12-Scale_PCA_Mechanics!H35)^2+(Scale_PCA_Mechanics!I12-Scale_PCA_Mechanics!I35)^2+(Scale_PCA_Mechanics!J12-Scale_PCA_Mechanics!J35)^2)</f>
        <v/>
      </c>
      <c r="D469">
        <f>INDEX(KMeans_6_2!AA2:AA51,A469)</f>
        <v/>
      </c>
      <c r="E469">
        <f>INDEX(KMeans_6_2!AA2:AA51,B469)</f>
        <v/>
      </c>
      <c r="O469">
        <f>IF(OR(AND(D469=1,E469=2),AND(D469=2,E469=1)),C469,"")</f>
        <v/>
      </c>
      <c r="P469">
        <f>IF(OR(AND(D469=1,E469=3),AND(D469=3,E469=1)),C469,"")</f>
        <v/>
      </c>
      <c r="Q469">
        <f>IF(OR(AND(D469=2,E469=3),AND(D469=3,E469=2)),C469,"")</f>
        <v/>
      </c>
    </row>
    <row r="470">
      <c r="A470" t="n">
        <v>11</v>
      </c>
      <c r="B470" t="n">
        <v>35</v>
      </c>
      <c r="C470">
        <f>SQRT((Scale_PCA_Mechanics!G12-Scale_PCA_Mechanics!G36)^2+(Scale_PCA_Mechanics!H12-Scale_PCA_Mechanics!H36)^2+(Scale_PCA_Mechanics!I12-Scale_PCA_Mechanics!I36)^2+(Scale_PCA_Mechanics!J12-Scale_PCA_Mechanics!J36)^2)</f>
        <v/>
      </c>
      <c r="D470">
        <f>INDEX(KMeans_6_2!AA2:AA51,A470)</f>
        <v/>
      </c>
      <c r="E470">
        <f>INDEX(KMeans_6_2!AA2:AA51,B470)</f>
        <v/>
      </c>
      <c r="O470">
        <f>IF(OR(AND(D470=1,E470=2),AND(D470=2,E470=1)),C470,"")</f>
        <v/>
      </c>
      <c r="P470">
        <f>IF(OR(AND(D470=1,E470=3),AND(D470=3,E470=1)),C470,"")</f>
        <v/>
      </c>
      <c r="Q470">
        <f>IF(OR(AND(D470=2,E470=3),AND(D470=3,E470=2)),C470,"")</f>
        <v/>
      </c>
    </row>
    <row r="471">
      <c r="A471" t="n">
        <v>11</v>
      </c>
      <c r="B471" t="n">
        <v>36</v>
      </c>
      <c r="C471">
        <f>SQRT((Scale_PCA_Mechanics!G12-Scale_PCA_Mechanics!G37)^2+(Scale_PCA_Mechanics!H12-Scale_PCA_Mechanics!H37)^2+(Scale_PCA_Mechanics!I12-Scale_PCA_Mechanics!I37)^2+(Scale_PCA_Mechanics!J12-Scale_PCA_Mechanics!J37)^2)</f>
        <v/>
      </c>
      <c r="D471">
        <f>INDEX(KMeans_6_2!AA2:AA51,A471)</f>
        <v/>
      </c>
      <c r="E471">
        <f>INDEX(KMeans_6_2!AA2:AA51,B471)</f>
        <v/>
      </c>
      <c r="O471">
        <f>IF(OR(AND(D471=1,E471=2),AND(D471=2,E471=1)),C471,"")</f>
        <v/>
      </c>
      <c r="P471">
        <f>IF(OR(AND(D471=1,E471=3),AND(D471=3,E471=1)),C471,"")</f>
        <v/>
      </c>
      <c r="Q471">
        <f>IF(OR(AND(D471=2,E471=3),AND(D471=3,E471=2)),C471,"")</f>
        <v/>
      </c>
    </row>
    <row r="472">
      <c r="A472" t="n">
        <v>11</v>
      </c>
      <c r="B472" t="n">
        <v>37</v>
      </c>
      <c r="C472">
        <f>SQRT((Scale_PCA_Mechanics!G12-Scale_PCA_Mechanics!G38)^2+(Scale_PCA_Mechanics!H12-Scale_PCA_Mechanics!H38)^2+(Scale_PCA_Mechanics!I12-Scale_PCA_Mechanics!I38)^2+(Scale_PCA_Mechanics!J12-Scale_PCA_Mechanics!J38)^2)</f>
        <v/>
      </c>
      <c r="D472">
        <f>INDEX(KMeans_6_2!AA2:AA51,A472)</f>
        <v/>
      </c>
      <c r="E472">
        <f>INDEX(KMeans_6_2!AA2:AA51,B472)</f>
        <v/>
      </c>
      <c r="O472">
        <f>IF(OR(AND(D472=1,E472=2),AND(D472=2,E472=1)),C472,"")</f>
        <v/>
      </c>
      <c r="P472">
        <f>IF(OR(AND(D472=1,E472=3),AND(D472=3,E472=1)),C472,"")</f>
        <v/>
      </c>
      <c r="Q472">
        <f>IF(OR(AND(D472=2,E472=3),AND(D472=3,E472=2)),C472,"")</f>
        <v/>
      </c>
    </row>
    <row r="473">
      <c r="A473" t="n">
        <v>11</v>
      </c>
      <c r="B473" t="n">
        <v>38</v>
      </c>
      <c r="C473">
        <f>SQRT((Scale_PCA_Mechanics!G12-Scale_PCA_Mechanics!G39)^2+(Scale_PCA_Mechanics!H12-Scale_PCA_Mechanics!H39)^2+(Scale_PCA_Mechanics!I12-Scale_PCA_Mechanics!I39)^2+(Scale_PCA_Mechanics!J12-Scale_PCA_Mechanics!J39)^2)</f>
        <v/>
      </c>
      <c r="D473">
        <f>INDEX(KMeans_6_2!AA2:AA51,A473)</f>
        <v/>
      </c>
      <c r="E473">
        <f>INDEX(KMeans_6_2!AA2:AA51,B473)</f>
        <v/>
      </c>
      <c r="O473">
        <f>IF(OR(AND(D473=1,E473=2),AND(D473=2,E473=1)),C473,"")</f>
        <v/>
      </c>
      <c r="P473">
        <f>IF(OR(AND(D473=1,E473=3),AND(D473=3,E473=1)),C473,"")</f>
        <v/>
      </c>
      <c r="Q473">
        <f>IF(OR(AND(D473=2,E473=3),AND(D473=3,E473=2)),C473,"")</f>
        <v/>
      </c>
    </row>
    <row r="474">
      <c r="A474" t="n">
        <v>11</v>
      </c>
      <c r="B474" t="n">
        <v>39</v>
      </c>
      <c r="C474">
        <f>SQRT((Scale_PCA_Mechanics!G12-Scale_PCA_Mechanics!G40)^2+(Scale_PCA_Mechanics!H12-Scale_PCA_Mechanics!H40)^2+(Scale_PCA_Mechanics!I12-Scale_PCA_Mechanics!I40)^2+(Scale_PCA_Mechanics!J12-Scale_PCA_Mechanics!J40)^2)</f>
        <v/>
      </c>
      <c r="D474">
        <f>INDEX(KMeans_6_2!AA2:AA51,A474)</f>
        <v/>
      </c>
      <c r="E474">
        <f>INDEX(KMeans_6_2!AA2:AA51,B474)</f>
        <v/>
      </c>
      <c r="O474">
        <f>IF(OR(AND(D474=1,E474=2),AND(D474=2,E474=1)),C474,"")</f>
        <v/>
      </c>
      <c r="P474">
        <f>IF(OR(AND(D474=1,E474=3),AND(D474=3,E474=1)),C474,"")</f>
        <v/>
      </c>
      <c r="Q474">
        <f>IF(OR(AND(D474=2,E474=3),AND(D474=3,E474=2)),C474,"")</f>
        <v/>
      </c>
    </row>
    <row r="475">
      <c r="A475" t="n">
        <v>11</v>
      </c>
      <c r="B475" t="n">
        <v>40</v>
      </c>
      <c r="C475">
        <f>SQRT((Scale_PCA_Mechanics!G12-Scale_PCA_Mechanics!G41)^2+(Scale_PCA_Mechanics!H12-Scale_PCA_Mechanics!H41)^2+(Scale_PCA_Mechanics!I12-Scale_PCA_Mechanics!I41)^2+(Scale_PCA_Mechanics!J12-Scale_PCA_Mechanics!J41)^2)</f>
        <v/>
      </c>
      <c r="D475">
        <f>INDEX(KMeans_6_2!AA2:AA51,A475)</f>
        <v/>
      </c>
      <c r="E475">
        <f>INDEX(KMeans_6_2!AA2:AA51,B475)</f>
        <v/>
      </c>
      <c r="O475">
        <f>IF(OR(AND(D475=1,E475=2),AND(D475=2,E475=1)),C475,"")</f>
        <v/>
      </c>
      <c r="P475">
        <f>IF(OR(AND(D475=1,E475=3),AND(D475=3,E475=1)),C475,"")</f>
        <v/>
      </c>
      <c r="Q475">
        <f>IF(OR(AND(D475=2,E475=3),AND(D475=3,E475=2)),C475,"")</f>
        <v/>
      </c>
    </row>
    <row r="476">
      <c r="A476" t="n">
        <v>11</v>
      </c>
      <c r="B476" t="n">
        <v>41</v>
      </c>
      <c r="C476">
        <f>SQRT((Scale_PCA_Mechanics!G12-Scale_PCA_Mechanics!G42)^2+(Scale_PCA_Mechanics!H12-Scale_PCA_Mechanics!H42)^2+(Scale_PCA_Mechanics!I12-Scale_PCA_Mechanics!I42)^2+(Scale_PCA_Mechanics!J12-Scale_PCA_Mechanics!J42)^2)</f>
        <v/>
      </c>
      <c r="D476">
        <f>INDEX(KMeans_6_2!AA2:AA51,A476)</f>
        <v/>
      </c>
      <c r="E476">
        <f>INDEX(KMeans_6_2!AA2:AA51,B476)</f>
        <v/>
      </c>
      <c r="O476">
        <f>IF(OR(AND(D476=1,E476=2),AND(D476=2,E476=1)),C476,"")</f>
        <v/>
      </c>
      <c r="P476">
        <f>IF(OR(AND(D476=1,E476=3),AND(D476=3,E476=1)),C476,"")</f>
        <v/>
      </c>
      <c r="Q476">
        <f>IF(OR(AND(D476=2,E476=3),AND(D476=3,E476=2)),C476,"")</f>
        <v/>
      </c>
    </row>
    <row r="477">
      <c r="A477" t="n">
        <v>11</v>
      </c>
      <c r="B477" t="n">
        <v>42</v>
      </c>
      <c r="C477">
        <f>SQRT((Scale_PCA_Mechanics!G12-Scale_PCA_Mechanics!G43)^2+(Scale_PCA_Mechanics!H12-Scale_PCA_Mechanics!H43)^2+(Scale_PCA_Mechanics!I12-Scale_PCA_Mechanics!I43)^2+(Scale_PCA_Mechanics!J12-Scale_PCA_Mechanics!J43)^2)</f>
        <v/>
      </c>
      <c r="D477">
        <f>INDEX(KMeans_6_2!AA2:AA51,A477)</f>
        <v/>
      </c>
      <c r="E477">
        <f>INDEX(KMeans_6_2!AA2:AA51,B477)</f>
        <v/>
      </c>
      <c r="O477">
        <f>IF(OR(AND(D477=1,E477=2),AND(D477=2,E477=1)),C477,"")</f>
        <v/>
      </c>
      <c r="P477">
        <f>IF(OR(AND(D477=1,E477=3),AND(D477=3,E477=1)),C477,"")</f>
        <v/>
      </c>
      <c r="Q477">
        <f>IF(OR(AND(D477=2,E477=3),AND(D477=3,E477=2)),C477,"")</f>
        <v/>
      </c>
    </row>
    <row r="478">
      <c r="A478" t="n">
        <v>11</v>
      </c>
      <c r="B478" t="n">
        <v>43</v>
      </c>
      <c r="C478">
        <f>SQRT((Scale_PCA_Mechanics!G12-Scale_PCA_Mechanics!G44)^2+(Scale_PCA_Mechanics!H12-Scale_PCA_Mechanics!H44)^2+(Scale_PCA_Mechanics!I12-Scale_PCA_Mechanics!I44)^2+(Scale_PCA_Mechanics!J12-Scale_PCA_Mechanics!J44)^2)</f>
        <v/>
      </c>
      <c r="D478">
        <f>INDEX(KMeans_6_2!AA2:AA51,A478)</f>
        <v/>
      </c>
      <c r="E478">
        <f>INDEX(KMeans_6_2!AA2:AA51,B478)</f>
        <v/>
      </c>
      <c r="O478">
        <f>IF(OR(AND(D478=1,E478=2),AND(D478=2,E478=1)),C478,"")</f>
        <v/>
      </c>
      <c r="P478">
        <f>IF(OR(AND(D478=1,E478=3),AND(D478=3,E478=1)),C478,"")</f>
        <v/>
      </c>
      <c r="Q478">
        <f>IF(OR(AND(D478=2,E478=3),AND(D478=3,E478=2)),C478,"")</f>
        <v/>
      </c>
    </row>
    <row r="479">
      <c r="A479" t="n">
        <v>11</v>
      </c>
      <c r="B479" t="n">
        <v>44</v>
      </c>
      <c r="C479">
        <f>SQRT((Scale_PCA_Mechanics!G12-Scale_PCA_Mechanics!G45)^2+(Scale_PCA_Mechanics!H12-Scale_PCA_Mechanics!H45)^2+(Scale_PCA_Mechanics!I12-Scale_PCA_Mechanics!I45)^2+(Scale_PCA_Mechanics!J12-Scale_PCA_Mechanics!J45)^2)</f>
        <v/>
      </c>
      <c r="D479">
        <f>INDEX(KMeans_6_2!AA2:AA51,A479)</f>
        <v/>
      </c>
      <c r="E479">
        <f>INDEX(KMeans_6_2!AA2:AA51,B479)</f>
        <v/>
      </c>
      <c r="O479">
        <f>IF(OR(AND(D479=1,E479=2),AND(D479=2,E479=1)),C479,"")</f>
        <v/>
      </c>
      <c r="P479">
        <f>IF(OR(AND(D479=1,E479=3),AND(D479=3,E479=1)),C479,"")</f>
        <v/>
      </c>
      <c r="Q479">
        <f>IF(OR(AND(D479=2,E479=3),AND(D479=3,E479=2)),C479,"")</f>
        <v/>
      </c>
    </row>
    <row r="480">
      <c r="A480" t="n">
        <v>11</v>
      </c>
      <c r="B480" t="n">
        <v>45</v>
      </c>
      <c r="C480">
        <f>SQRT((Scale_PCA_Mechanics!G12-Scale_PCA_Mechanics!G46)^2+(Scale_PCA_Mechanics!H12-Scale_PCA_Mechanics!H46)^2+(Scale_PCA_Mechanics!I12-Scale_PCA_Mechanics!I46)^2+(Scale_PCA_Mechanics!J12-Scale_PCA_Mechanics!J46)^2)</f>
        <v/>
      </c>
      <c r="D480">
        <f>INDEX(KMeans_6_2!AA2:AA51,A480)</f>
        <v/>
      </c>
      <c r="E480">
        <f>INDEX(KMeans_6_2!AA2:AA51,B480)</f>
        <v/>
      </c>
      <c r="O480">
        <f>IF(OR(AND(D480=1,E480=2),AND(D480=2,E480=1)),C480,"")</f>
        <v/>
      </c>
      <c r="P480">
        <f>IF(OR(AND(D480=1,E480=3),AND(D480=3,E480=1)),C480,"")</f>
        <v/>
      </c>
      <c r="Q480">
        <f>IF(OR(AND(D480=2,E480=3),AND(D480=3,E480=2)),C480,"")</f>
        <v/>
      </c>
    </row>
    <row r="481">
      <c r="A481" t="n">
        <v>11</v>
      </c>
      <c r="B481" t="n">
        <v>46</v>
      </c>
      <c r="C481">
        <f>SQRT((Scale_PCA_Mechanics!G12-Scale_PCA_Mechanics!G47)^2+(Scale_PCA_Mechanics!H12-Scale_PCA_Mechanics!H47)^2+(Scale_PCA_Mechanics!I12-Scale_PCA_Mechanics!I47)^2+(Scale_PCA_Mechanics!J12-Scale_PCA_Mechanics!J47)^2)</f>
        <v/>
      </c>
      <c r="D481">
        <f>INDEX(KMeans_6_2!AA2:AA51,A481)</f>
        <v/>
      </c>
      <c r="E481">
        <f>INDEX(KMeans_6_2!AA2:AA51,B481)</f>
        <v/>
      </c>
      <c r="O481">
        <f>IF(OR(AND(D481=1,E481=2),AND(D481=2,E481=1)),C481,"")</f>
        <v/>
      </c>
      <c r="P481">
        <f>IF(OR(AND(D481=1,E481=3),AND(D481=3,E481=1)),C481,"")</f>
        <v/>
      </c>
      <c r="Q481">
        <f>IF(OR(AND(D481=2,E481=3),AND(D481=3,E481=2)),C481,"")</f>
        <v/>
      </c>
    </row>
    <row r="482">
      <c r="A482" t="n">
        <v>11</v>
      </c>
      <c r="B482" t="n">
        <v>47</v>
      </c>
      <c r="C482">
        <f>SQRT((Scale_PCA_Mechanics!G12-Scale_PCA_Mechanics!G48)^2+(Scale_PCA_Mechanics!H12-Scale_PCA_Mechanics!H48)^2+(Scale_PCA_Mechanics!I12-Scale_PCA_Mechanics!I48)^2+(Scale_PCA_Mechanics!J12-Scale_PCA_Mechanics!J48)^2)</f>
        <v/>
      </c>
      <c r="D482">
        <f>INDEX(KMeans_6_2!AA2:AA51,A482)</f>
        <v/>
      </c>
      <c r="E482">
        <f>INDEX(KMeans_6_2!AA2:AA51,B482)</f>
        <v/>
      </c>
      <c r="O482">
        <f>IF(OR(AND(D482=1,E482=2),AND(D482=2,E482=1)),C482,"")</f>
        <v/>
      </c>
      <c r="P482">
        <f>IF(OR(AND(D482=1,E482=3),AND(D482=3,E482=1)),C482,"")</f>
        <v/>
      </c>
      <c r="Q482">
        <f>IF(OR(AND(D482=2,E482=3),AND(D482=3,E482=2)),C482,"")</f>
        <v/>
      </c>
    </row>
    <row r="483">
      <c r="A483" t="n">
        <v>11</v>
      </c>
      <c r="B483" t="n">
        <v>48</v>
      </c>
      <c r="C483">
        <f>SQRT((Scale_PCA_Mechanics!G12-Scale_PCA_Mechanics!G49)^2+(Scale_PCA_Mechanics!H12-Scale_PCA_Mechanics!H49)^2+(Scale_PCA_Mechanics!I12-Scale_PCA_Mechanics!I49)^2+(Scale_PCA_Mechanics!J12-Scale_PCA_Mechanics!J49)^2)</f>
        <v/>
      </c>
      <c r="D483">
        <f>INDEX(KMeans_6_2!AA2:AA51,A483)</f>
        <v/>
      </c>
      <c r="E483">
        <f>INDEX(KMeans_6_2!AA2:AA51,B483)</f>
        <v/>
      </c>
      <c r="O483">
        <f>IF(OR(AND(D483=1,E483=2),AND(D483=2,E483=1)),C483,"")</f>
        <v/>
      </c>
      <c r="P483">
        <f>IF(OR(AND(D483=1,E483=3),AND(D483=3,E483=1)),C483,"")</f>
        <v/>
      </c>
      <c r="Q483">
        <f>IF(OR(AND(D483=2,E483=3),AND(D483=3,E483=2)),C483,"")</f>
        <v/>
      </c>
    </row>
    <row r="484">
      <c r="A484" t="n">
        <v>11</v>
      </c>
      <c r="B484" t="n">
        <v>49</v>
      </c>
      <c r="C484">
        <f>SQRT((Scale_PCA_Mechanics!G12-Scale_PCA_Mechanics!G50)^2+(Scale_PCA_Mechanics!H12-Scale_PCA_Mechanics!H50)^2+(Scale_PCA_Mechanics!I12-Scale_PCA_Mechanics!I50)^2+(Scale_PCA_Mechanics!J12-Scale_PCA_Mechanics!J50)^2)</f>
        <v/>
      </c>
      <c r="D484">
        <f>INDEX(KMeans_6_2!AA2:AA51,A484)</f>
        <v/>
      </c>
      <c r="E484">
        <f>INDEX(KMeans_6_2!AA2:AA51,B484)</f>
        <v/>
      </c>
      <c r="O484">
        <f>IF(OR(AND(D484=1,E484=2),AND(D484=2,E484=1)),C484,"")</f>
        <v/>
      </c>
      <c r="P484">
        <f>IF(OR(AND(D484=1,E484=3),AND(D484=3,E484=1)),C484,"")</f>
        <v/>
      </c>
      <c r="Q484">
        <f>IF(OR(AND(D484=2,E484=3),AND(D484=3,E484=2)),C484,"")</f>
        <v/>
      </c>
    </row>
    <row r="485">
      <c r="A485" t="n">
        <v>11</v>
      </c>
      <c r="B485" t="n">
        <v>50</v>
      </c>
      <c r="C485">
        <f>SQRT((Scale_PCA_Mechanics!G12-Scale_PCA_Mechanics!G51)^2+(Scale_PCA_Mechanics!H12-Scale_PCA_Mechanics!H51)^2+(Scale_PCA_Mechanics!I12-Scale_PCA_Mechanics!I51)^2+(Scale_PCA_Mechanics!J12-Scale_PCA_Mechanics!J51)^2)</f>
        <v/>
      </c>
      <c r="D485">
        <f>INDEX(KMeans_6_2!AA2:AA51,A485)</f>
        <v/>
      </c>
      <c r="E485">
        <f>INDEX(KMeans_6_2!AA2:AA51,B485)</f>
        <v/>
      </c>
      <c r="O485">
        <f>IF(OR(AND(D485=1,E485=2),AND(D485=2,E485=1)),C485,"")</f>
        <v/>
      </c>
      <c r="P485">
        <f>IF(OR(AND(D485=1,E485=3),AND(D485=3,E485=1)),C485,"")</f>
        <v/>
      </c>
      <c r="Q485">
        <f>IF(OR(AND(D485=2,E485=3),AND(D485=3,E485=2)),C485,"")</f>
        <v/>
      </c>
    </row>
    <row r="486">
      <c r="A486" t="n">
        <v>12</v>
      </c>
      <c r="B486" t="n">
        <v>13</v>
      </c>
      <c r="C486">
        <f>SQRT((Scale_PCA_Mechanics!G13-Scale_PCA_Mechanics!G14)^2+(Scale_PCA_Mechanics!H13-Scale_PCA_Mechanics!H14)^2+(Scale_PCA_Mechanics!I13-Scale_PCA_Mechanics!I14)^2+(Scale_PCA_Mechanics!J13-Scale_PCA_Mechanics!J14)^2)</f>
        <v/>
      </c>
      <c r="D486">
        <f>INDEX(KMeans_6_2!AA2:AA51,A486)</f>
        <v/>
      </c>
      <c r="E486">
        <f>INDEX(KMeans_6_2!AA2:AA51,B486)</f>
        <v/>
      </c>
      <c r="O486">
        <f>IF(OR(AND(D486=1,E486=2),AND(D486=2,E486=1)),C486,"")</f>
        <v/>
      </c>
      <c r="P486">
        <f>IF(OR(AND(D486=1,E486=3),AND(D486=3,E486=1)),C486,"")</f>
        <v/>
      </c>
      <c r="Q486">
        <f>IF(OR(AND(D486=2,E486=3),AND(D486=3,E486=2)),C486,"")</f>
        <v/>
      </c>
    </row>
    <row r="487">
      <c r="A487" t="n">
        <v>12</v>
      </c>
      <c r="B487" t="n">
        <v>14</v>
      </c>
      <c r="C487">
        <f>SQRT((Scale_PCA_Mechanics!G13-Scale_PCA_Mechanics!G15)^2+(Scale_PCA_Mechanics!H13-Scale_PCA_Mechanics!H15)^2+(Scale_PCA_Mechanics!I13-Scale_PCA_Mechanics!I15)^2+(Scale_PCA_Mechanics!J13-Scale_PCA_Mechanics!J15)^2)</f>
        <v/>
      </c>
      <c r="D487">
        <f>INDEX(KMeans_6_2!AA2:AA51,A487)</f>
        <v/>
      </c>
      <c r="E487">
        <f>INDEX(KMeans_6_2!AA2:AA51,B487)</f>
        <v/>
      </c>
      <c r="O487">
        <f>IF(OR(AND(D487=1,E487=2),AND(D487=2,E487=1)),C487,"")</f>
        <v/>
      </c>
      <c r="P487">
        <f>IF(OR(AND(D487=1,E487=3),AND(D487=3,E487=1)),C487,"")</f>
        <v/>
      </c>
      <c r="Q487">
        <f>IF(OR(AND(D487=2,E487=3),AND(D487=3,E487=2)),C487,"")</f>
        <v/>
      </c>
    </row>
    <row r="488">
      <c r="A488" t="n">
        <v>12</v>
      </c>
      <c r="B488" t="n">
        <v>15</v>
      </c>
      <c r="C488">
        <f>SQRT((Scale_PCA_Mechanics!G13-Scale_PCA_Mechanics!G16)^2+(Scale_PCA_Mechanics!H13-Scale_PCA_Mechanics!H16)^2+(Scale_PCA_Mechanics!I13-Scale_PCA_Mechanics!I16)^2+(Scale_PCA_Mechanics!J13-Scale_PCA_Mechanics!J16)^2)</f>
        <v/>
      </c>
      <c r="D488">
        <f>INDEX(KMeans_6_2!AA2:AA51,A488)</f>
        <v/>
      </c>
      <c r="E488">
        <f>INDEX(KMeans_6_2!AA2:AA51,B488)</f>
        <v/>
      </c>
      <c r="O488">
        <f>IF(OR(AND(D488=1,E488=2),AND(D488=2,E488=1)),C488,"")</f>
        <v/>
      </c>
      <c r="P488">
        <f>IF(OR(AND(D488=1,E488=3),AND(D488=3,E488=1)),C488,"")</f>
        <v/>
      </c>
      <c r="Q488">
        <f>IF(OR(AND(D488=2,E488=3),AND(D488=3,E488=2)),C488,"")</f>
        <v/>
      </c>
    </row>
    <row r="489">
      <c r="A489" t="n">
        <v>12</v>
      </c>
      <c r="B489" t="n">
        <v>16</v>
      </c>
      <c r="C489">
        <f>SQRT((Scale_PCA_Mechanics!G13-Scale_PCA_Mechanics!G17)^2+(Scale_PCA_Mechanics!H13-Scale_PCA_Mechanics!H17)^2+(Scale_PCA_Mechanics!I13-Scale_PCA_Mechanics!I17)^2+(Scale_PCA_Mechanics!J13-Scale_PCA_Mechanics!J17)^2)</f>
        <v/>
      </c>
      <c r="D489">
        <f>INDEX(KMeans_6_2!AA2:AA51,A489)</f>
        <v/>
      </c>
      <c r="E489">
        <f>INDEX(KMeans_6_2!AA2:AA51,B489)</f>
        <v/>
      </c>
      <c r="O489">
        <f>IF(OR(AND(D489=1,E489=2),AND(D489=2,E489=1)),C489,"")</f>
        <v/>
      </c>
      <c r="P489">
        <f>IF(OR(AND(D489=1,E489=3),AND(D489=3,E489=1)),C489,"")</f>
        <v/>
      </c>
      <c r="Q489">
        <f>IF(OR(AND(D489=2,E489=3),AND(D489=3,E489=2)),C489,"")</f>
        <v/>
      </c>
    </row>
    <row r="490">
      <c r="A490" t="n">
        <v>12</v>
      </c>
      <c r="B490" t="n">
        <v>17</v>
      </c>
      <c r="C490">
        <f>SQRT((Scale_PCA_Mechanics!G13-Scale_PCA_Mechanics!G18)^2+(Scale_PCA_Mechanics!H13-Scale_PCA_Mechanics!H18)^2+(Scale_PCA_Mechanics!I13-Scale_PCA_Mechanics!I18)^2+(Scale_PCA_Mechanics!J13-Scale_PCA_Mechanics!J18)^2)</f>
        <v/>
      </c>
      <c r="D490">
        <f>INDEX(KMeans_6_2!AA2:AA51,A490)</f>
        <v/>
      </c>
      <c r="E490">
        <f>INDEX(KMeans_6_2!AA2:AA51,B490)</f>
        <v/>
      </c>
      <c r="O490">
        <f>IF(OR(AND(D490=1,E490=2),AND(D490=2,E490=1)),C490,"")</f>
        <v/>
      </c>
      <c r="P490">
        <f>IF(OR(AND(D490=1,E490=3),AND(D490=3,E490=1)),C490,"")</f>
        <v/>
      </c>
      <c r="Q490">
        <f>IF(OR(AND(D490=2,E490=3),AND(D490=3,E490=2)),C490,"")</f>
        <v/>
      </c>
    </row>
    <row r="491">
      <c r="A491" t="n">
        <v>12</v>
      </c>
      <c r="B491" t="n">
        <v>18</v>
      </c>
      <c r="C491">
        <f>SQRT((Scale_PCA_Mechanics!G13-Scale_PCA_Mechanics!G19)^2+(Scale_PCA_Mechanics!H13-Scale_PCA_Mechanics!H19)^2+(Scale_PCA_Mechanics!I13-Scale_PCA_Mechanics!I19)^2+(Scale_PCA_Mechanics!J13-Scale_PCA_Mechanics!J19)^2)</f>
        <v/>
      </c>
      <c r="D491">
        <f>INDEX(KMeans_6_2!AA2:AA51,A491)</f>
        <v/>
      </c>
      <c r="E491">
        <f>INDEX(KMeans_6_2!AA2:AA51,B491)</f>
        <v/>
      </c>
      <c r="O491">
        <f>IF(OR(AND(D491=1,E491=2),AND(D491=2,E491=1)),C491,"")</f>
        <v/>
      </c>
      <c r="P491">
        <f>IF(OR(AND(D491=1,E491=3),AND(D491=3,E491=1)),C491,"")</f>
        <v/>
      </c>
      <c r="Q491">
        <f>IF(OR(AND(D491=2,E491=3),AND(D491=3,E491=2)),C491,"")</f>
        <v/>
      </c>
    </row>
    <row r="492">
      <c r="A492" t="n">
        <v>12</v>
      </c>
      <c r="B492" t="n">
        <v>19</v>
      </c>
      <c r="C492">
        <f>SQRT((Scale_PCA_Mechanics!G13-Scale_PCA_Mechanics!G20)^2+(Scale_PCA_Mechanics!H13-Scale_PCA_Mechanics!H20)^2+(Scale_PCA_Mechanics!I13-Scale_PCA_Mechanics!I20)^2+(Scale_PCA_Mechanics!J13-Scale_PCA_Mechanics!J20)^2)</f>
        <v/>
      </c>
      <c r="D492">
        <f>INDEX(KMeans_6_2!AA2:AA51,A492)</f>
        <v/>
      </c>
      <c r="E492">
        <f>INDEX(KMeans_6_2!AA2:AA51,B492)</f>
        <v/>
      </c>
      <c r="O492">
        <f>IF(OR(AND(D492=1,E492=2),AND(D492=2,E492=1)),C492,"")</f>
        <v/>
      </c>
      <c r="P492">
        <f>IF(OR(AND(D492=1,E492=3),AND(D492=3,E492=1)),C492,"")</f>
        <v/>
      </c>
      <c r="Q492">
        <f>IF(OR(AND(D492=2,E492=3),AND(D492=3,E492=2)),C492,"")</f>
        <v/>
      </c>
    </row>
    <row r="493">
      <c r="A493" t="n">
        <v>12</v>
      </c>
      <c r="B493" t="n">
        <v>20</v>
      </c>
      <c r="C493">
        <f>SQRT((Scale_PCA_Mechanics!G13-Scale_PCA_Mechanics!G21)^2+(Scale_PCA_Mechanics!H13-Scale_PCA_Mechanics!H21)^2+(Scale_PCA_Mechanics!I13-Scale_PCA_Mechanics!I21)^2+(Scale_PCA_Mechanics!J13-Scale_PCA_Mechanics!J21)^2)</f>
        <v/>
      </c>
      <c r="D493">
        <f>INDEX(KMeans_6_2!AA2:AA51,A493)</f>
        <v/>
      </c>
      <c r="E493">
        <f>INDEX(KMeans_6_2!AA2:AA51,B493)</f>
        <v/>
      </c>
      <c r="O493">
        <f>IF(OR(AND(D493=1,E493=2),AND(D493=2,E493=1)),C493,"")</f>
        <v/>
      </c>
      <c r="P493">
        <f>IF(OR(AND(D493=1,E493=3),AND(D493=3,E493=1)),C493,"")</f>
        <v/>
      </c>
      <c r="Q493">
        <f>IF(OR(AND(D493=2,E493=3),AND(D493=3,E493=2)),C493,"")</f>
        <v/>
      </c>
    </row>
    <row r="494">
      <c r="A494" t="n">
        <v>12</v>
      </c>
      <c r="B494" t="n">
        <v>21</v>
      </c>
      <c r="C494">
        <f>SQRT((Scale_PCA_Mechanics!G13-Scale_PCA_Mechanics!G22)^2+(Scale_PCA_Mechanics!H13-Scale_PCA_Mechanics!H22)^2+(Scale_PCA_Mechanics!I13-Scale_PCA_Mechanics!I22)^2+(Scale_PCA_Mechanics!J13-Scale_PCA_Mechanics!J22)^2)</f>
        <v/>
      </c>
      <c r="D494">
        <f>INDEX(KMeans_6_2!AA2:AA51,A494)</f>
        <v/>
      </c>
      <c r="E494">
        <f>INDEX(KMeans_6_2!AA2:AA51,B494)</f>
        <v/>
      </c>
      <c r="O494">
        <f>IF(OR(AND(D494=1,E494=2),AND(D494=2,E494=1)),C494,"")</f>
        <v/>
      </c>
      <c r="P494">
        <f>IF(OR(AND(D494=1,E494=3),AND(D494=3,E494=1)),C494,"")</f>
        <v/>
      </c>
      <c r="Q494">
        <f>IF(OR(AND(D494=2,E494=3),AND(D494=3,E494=2)),C494,"")</f>
        <v/>
      </c>
    </row>
    <row r="495">
      <c r="A495" t="n">
        <v>12</v>
      </c>
      <c r="B495" t="n">
        <v>22</v>
      </c>
      <c r="C495">
        <f>SQRT((Scale_PCA_Mechanics!G13-Scale_PCA_Mechanics!G23)^2+(Scale_PCA_Mechanics!H13-Scale_PCA_Mechanics!H23)^2+(Scale_PCA_Mechanics!I13-Scale_PCA_Mechanics!I23)^2+(Scale_PCA_Mechanics!J13-Scale_PCA_Mechanics!J23)^2)</f>
        <v/>
      </c>
      <c r="D495">
        <f>INDEX(KMeans_6_2!AA2:AA51,A495)</f>
        <v/>
      </c>
      <c r="E495">
        <f>INDEX(KMeans_6_2!AA2:AA51,B495)</f>
        <v/>
      </c>
      <c r="O495">
        <f>IF(OR(AND(D495=1,E495=2),AND(D495=2,E495=1)),C495,"")</f>
        <v/>
      </c>
      <c r="P495">
        <f>IF(OR(AND(D495=1,E495=3),AND(D495=3,E495=1)),C495,"")</f>
        <v/>
      </c>
      <c r="Q495">
        <f>IF(OR(AND(D495=2,E495=3),AND(D495=3,E495=2)),C495,"")</f>
        <v/>
      </c>
    </row>
    <row r="496">
      <c r="A496" t="n">
        <v>12</v>
      </c>
      <c r="B496" t="n">
        <v>23</v>
      </c>
      <c r="C496">
        <f>SQRT((Scale_PCA_Mechanics!G13-Scale_PCA_Mechanics!G24)^2+(Scale_PCA_Mechanics!H13-Scale_PCA_Mechanics!H24)^2+(Scale_PCA_Mechanics!I13-Scale_PCA_Mechanics!I24)^2+(Scale_PCA_Mechanics!J13-Scale_PCA_Mechanics!J24)^2)</f>
        <v/>
      </c>
      <c r="D496">
        <f>INDEX(KMeans_6_2!AA2:AA51,A496)</f>
        <v/>
      </c>
      <c r="E496">
        <f>INDEX(KMeans_6_2!AA2:AA51,B496)</f>
        <v/>
      </c>
      <c r="O496">
        <f>IF(OR(AND(D496=1,E496=2),AND(D496=2,E496=1)),C496,"")</f>
        <v/>
      </c>
      <c r="P496">
        <f>IF(OR(AND(D496=1,E496=3),AND(D496=3,E496=1)),C496,"")</f>
        <v/>
      </c>
      <c r="Q496">
        <f>IF(OR(AND(D496=2,E496=3),AND(D496=3,E496=2)),C496,"")</f>
        <v/>
      </c>
    </row>
    <row r="497">
      <c r="A497" t="n">
        <v>12</v>
      </c>
      <c r="B497" t="n">
        <v>24</v>
      </c>
      <c r="C497">
        <f>SQRT((Scale_PCA_Mechanics!G13-Scale_PCA_Mechanics!G25)^2+(Scale_PCA_Mechanics!H13-Scale_PCA_Mechanics!H25)^2+(Scale_PCA_Mechanics!I13-Scale_PCA_Mechanics!I25)^2+(Scale_PCA_Mechanics!J13-Scale_PCA_Mechanics!J25)^2)</f>
        <v/>
      </c>
      <c r="D497">
        <f>INDEX(KMeans_6_2!AA2:AA51,A497)</f>
        <v/>
      </c>
      <c r="E497">
        <f>INDEX(KMeans_6_2!AA2:AA51,B497)</f>
        <v/>
      </c>
      <c r="O497">
        <f>IF(OR(AND(D497=1,E497=2),AND(D497=2,E497=1)),C497,"")</f>
        <v/>
      </c>
      <c r="P497">
        <f>IF(OR(AND(D497=1,E497=3),AND(D497=3,E497=1)),C497,"")</f>
        <v/>
      </c>
      <c r="Q497">
        <f>IF(OR(AND(D497=2,E497=3),AND(D497=3,E497=2)),C497,"")</f>
        <v/>
      </c>
    </row>
    <row r="498">
      <c r="A498" t="n">
        <v>12</v>
      </c>
      <c r="B498" t="n">
        <v>25</v>
      </c>
      <c r="C498">
        <f>SQRT((Scale_PCA_Mechanics!G13-Scale_PCA_Mechanics!G26)^2+(Scale_PCA_Mechanics!H13-Scale_PCA_Mechanics!H26)^2+(Scale_PCA_Mechanics!I13-Scale_PCA_Mechanics!I26)^2+(Scale_PCA_Mechanics!J13-Scale_PCA_Mechanics!J26)^2)</f>
        <v/>
      </c>
      <c r="D498">
        <f>INDEX(KMeans_6_2!AA2:AA51,A498)</f>
        <v/>
      </c>
      <c r="E498">
        <f>INDEX(KMeans_6_2!AA2:AA51,B498)</f>
        <v/>
      </c>
      <c r="O498">
        <f>IF(OR(AND(D498=1,E498=2),AND(D498=2,E498=1)),C498,"")</f>
        <v/>
      </c>
      <c r="P498">
        <f>IF(OR(AND(D498=1,E498=3),AND(D498=3,E498=1)),C498,"")</f>
        <v/>
      </c>
      <c r="Q498">
        <f>IF(OR(AND(D498=2,E498=3),AND(D498=3,E498=2)),C498,"")</f>
        <v/>
      </c>
    </row>
    <row r="499">
      <c r="A499" t="n">
        <v>12</v>
      </c>
      <c r="B499" t="n">
        <v>26</v>
      </c>
      <c r="C499">
        <f>SQRT((Scale_PCA_Mechanics!G13-Scale_PCA_Mechanics!G27)^2+(Scale_PCA_Mechanics!H13-Scale_PCA_Mechanics!H27)^2+(Scale_PCA_Mechanics!I13-Scale_PCA_Mechanics!I27)^2+(Scale_PCA_Mechanics!J13-Scale_PCA_Mechanics!J27)^2)</f>
        <v/>
      </c>
      <c r="D499">
        <f>INDEX(KMeans_6_2!AA2:AA51,A499)</f>
        <v/>
      </c>
      <c r="E499">
        <f>INDEX(KMeans_6_2!AA2:AA51,B499)</f>
        <v/>
      </c>
      <c r="O499">
        <f>IF(OR(AND(D499=1,E499=2),AND(D499=2,E499=1)),C499,"")</f>
        <v/>
      </c>
      <c r="P499">
        <f>IF(OR(AND(D499=1,E499=3),AND(D499=3,E499=1)),C499,"")</f>
        <v/>
      </c>
      <c r="Q499">
        <f>IF(OR(AND(D499=2,E499=3),AND(D499=3,E499=2)),C499,"")</f>
        <v/>
      </c>
    </row>
    <row r="500">
      <c r="A500" t="n">
        <v>12</v>
      </c>
      <c r="B500" t="n">
        <v>27</v>
      </c>
      <c r="C500">
        <f>SQRT((Scale_PCA_Mechanics!G13-Scale_PCA_Mechanics!G28)^2+(Scale_PCA_Mechanics!H13-Scale_PCA_Mechanics!H28)^2+(Scale_PCA_Mechanics!I13-Scale_PCA_Mechanics!I28)^2+(Scale_PCA_Mechanics!J13-Scale_PCA_Mechanics!J28)^2)</f>
        <v/>
      </c>
      <c r="D500">
        <f>INDEX(KMeans_6_2!AA2:AA51,A500)</f>
        <v/>
      </c>
      <c r="E500">
        <f>INDEX(KMeans_6_2!AA2:AA51,B500)</f>
        <v/>
      </c>
      <c r="O500">
        <f>IF(OR(AND(D500=1,E500=2),AND(D500=2,E500=1)),C500,"")</f>
        <v/>
      </c>
      <c r="P500">
        <f>IF(OR(AND(D500=1,E500=3),AND(D500=3,E500=1)),C500,"")</f>
        <v/>
      </c>
      <c r="Q500">
        <f>IF(OR(AND(D500=2,E500=3),AND(D500=3,E500=2)),C500,"")</f>
        <v/>
      </c>
    </row>
    <row r="501">
      <c r="A501" t="n">
        <v>12</v>
      </c>
      <c r="B501" t="n">
        <v>28</v>
      </c>
      <c r="C501">
        <f>SQRT((Scale_PCA_Mechanics!G13-Scale_PCA_Mechanics!G29)^2+(Scale_PCA_Mechanics!H13-Scale_PCA_Mechanics!H29)^2+(Scale_PCA_Mechanics!I13-Scale_PCA_Mechanics!I29)^2+(Scale_PCA_Mechanics!J13-Scale_PCA_Mechanics!J29)^2)</f>
        <v/>
      </c>
      <c r="D501">
        <f>INDEX(KMeans_6_2!AA2:AA51,A501)</f>
        <v/>
      </c>
      <c r="E501">
        <f>INDEX(KMeans_6_2!AA2:AA51,B501)</f>
        <v/>
      </c>
      <c r="O501">
        <f>IF(OR(AND(D501=1,E501=2),AND(D501=2,E501=1)),C501,"")</f>
        <v/>
      </c>
      <c r="P501">
        <f>IF(OR(AND(D501=1,E501=3),AND(D501=3,E501=1)),C501,"")</f>
        <v/>
      </c>
      <c r="Q501">
        <f>IF(OR(AND(D501=2,E501=3),AND(D501=3,E501=2)),C501,"")</f>
        <v/>
      </c>
    </row>
    <row r="502">
      <c r="A502" t="n">
        <v>12</v>
      </c>
      <c r="B502" t="n">
        <v>29</v>
      </c>
      <c r="C502">
        <f>SQRT((Scale_PCA_Mechanics!G13-Scale_PCA_Mechanics!G30)^2+(Scale_PCA_Mechanics!H13-Scale_PCA_Mechanics!H30)^2+(Scale_PCA_Mechanics!I13-Scale_PCA_Mechanics!I30)^2+(Scale_PCA_Mechanics!J13-Scale_PCA_Mechanics!J30)^2)</f>
        <v/>
      </c>
      <c r="D502">
        <f>INDEX(KMeans_6_2!AA2:AA51,A502)</f>
        <v/>
      </c>
      <c r="E502">
        <f>INDEX(KMeans_6_2!AA2:AA51,B502)</f>
        <v/>
      </c>
      <c r="O502">
        <f>IF(OR(AND(D502=1,E502=2),AND(D502=2,E502=1)),C502,"")</f>
        <v/>
      </c>
      <c r="P502">
        <f>IF(OR(AND(D502=1,E502=3),AND(D502=3,E502=1)),C502,"")</f>
        <v/>
      </c>
      <c r="Q502">
        <f>IF(OR(AND(D502=2,E502=3),AND(D502=3,E502=2)),C502,"")</f>
        <v/>
      </c>
    </row>
    <row r="503">
      <c r="A503" t="n">
        <v>12</v>
      </c>
      <c r="B503" t="n">
        <v>30</v>
      </c>
      <c r="C503">
        <f>SQRT((Scale_PCA_Mechanics!G13-Scale_PCA_Mechanics!G31)^2+(Scale_PCA_Mechanics!H13-Scale_PCA_Mechanics!H31)^2+(Scale_PCA_Mechanics!I13-Scale_PCA_Mechanics!I31)^2+(Scale_PCA_Mechanics!J13-Scale_PCA_Mechanics!J31)^2)</f>
        <v/>
      </c>
      <c r="D503">
        <f>INDEX(KMeans_6_2!AA2:AA51,A503)</f>
        <v/>
      </c>
      <c r="E503">
        <f>INDEX(KMeans_6_2!AA2:AA51,B503)</f>
        <v/>
      </c>
      <c r="O503">
        <f>IF(OR(AND(D503=1,E503=2),AND(D503=2,E503=1)),C503,"")</f>
        <v/>
      </c>
      <c r="P503">
        <f>IF(OR(AND(D503=1,E503=3),AND(D503=3,E503=1)),C503,"")</f>
        <v/>
      </c>
      <c r="Q503">
        <f>IF(OR(AND(D503=2,E503=3),AND(D503=3,E503=2)),C503,"")</f>
        <v/>
      </c>
    </row>
    <row r="504">
      <c r="A504" t="n">
        <v>12</v>
      </c>
      <c r="B504" t="n">
        <v>31</v>
      </c>
      <c r="C504">
        <f>SQRT((Scale_PCA_Mechanics!G13-Scale_PCA_Mechanics!G32)^2+(Scale_PCA_Mechanics!H13-Scale_PCA_Mechanics!H32)^2+(Scale_PCA_Mechanics!I13-Scale_PCA_Mechanics!I32)^2+(Scale_PCA_Mechanics!J13-Scale_PCA_Mechanics!J32)^2)</f>
        <v/>
      </c>
      <c r="D504">
        <f>INDEX(KMeans_6_2!AA2:AA51,A504)</f>
        <v/>
      </c>
      <c r="E504">
        <f>INDEX(KMeans_6_2!AA2:AA51,B504)</f>
        <v/>
      </c>
      <c r="O504">
        <f>IF(OR(AND(D504=1,E504=2),AND(D504=2,E504=1)),C504,"")</f>
        <v/>
      </c>
      <c r="P504">
        <f>IF(OR(AND(D504=1,E504=3),AND(D504=3,E504=1)),C504,"")</f>
        <v/>
      </c>
      <c r="Q504">
        <f>IF(OR(AND(D504=2,E504=3),AND(D504=3,E504=2)),C504,"")</f>
        <v/>
      </c>
    </row>
    <row r="505">
      <c r="A505" t="n">
        <v>12</v>
      </c>
      <c r="B505" t="n">
        <v>32</v>
      </c>
      <c r="C505">
        <f>SQRT((Scale_PCA_Mechanics!G13-Scale_PCA_Mechanics!G33)^2+(Scale_PCA_Mechanics!H13-Scale_PCA_Mechanics!H33)^2+(Scale_PCA_Mechanics!I13-Scale_PCA_Mechanics!I33)^2+(Scale_PCA_Mechanics!J13-Scale_PCA_Mechanics!J33)^2)</f>
        <v/>
      </c>
      <c r="D505">
        <f>INDEX(KMeans_6_2!AA2:AA51,A505)</f>
        <v/>
      </c>
      <c r="E505">
        <f>INDEX(KMeans_6_2!AA2:AA51,B505)</f>
        <v/>
      </c>
      <c r="O505">
        <f>IF(OR(AND(D505=1,E505=2),AND(D505=2,E505=1)),C505,"")</f>
        <v/>
      </c>
      <c r="P505">
        <f>IF(OR(AND(D505=1,E505=3),AND(D505=3,E505=1)),C505,"")</f>
        <v/>
      </c>
      <c r="Q505">
        <f>IF(OR(AND(D505=2,E505=3),AND(D505=3,E505=2)),C505,"")</f>
        <v/>
      </c>
    </row>
    <row r="506">
      <c r="A506" t="n">
        <v>12</v>
      </c>
      <c r="B506" t="n">
        <v>33</v>
      </c>
      <c r="C506">
        <f>SQRT((Scale_PCA_Mechanics!G13-Scale_PCA_Mechanics!G34)^2+(Scale_PCA_Mechanics!H13-Scale_PCA_Mechanics!H34)^2+(Scale_PCA_Mechanics!I13-Scale_PCA_Mechanics!I34)^2+(Scale_PCA_Mechanics!J13-Scale_PCA_Mechanics!J34)^2)</f>
        <v/>
      </c>
      <c r="D506">
        <f>INDEX(KMeans_6_2!AA2:AA51,A506)</f>
        <v/>
      </c>
      <c r="E506">
        <f>INDEX(KMeans_6_2!AA2:AA51,B506)</f>
        <v/>
      </c>
      <c r="O506">
        <f>IF(OR(AND(D506=1,E506=2),AND(D506=2,E506=1)),C506,"")</f>
        <v/>
      </c>
      <c r="P506">
        <f>IF(OR(AND(D506=1,E506=3),AND(D506=3,E506=1)),C506,"")</f>
        <v/>
      </c>
      <c r="Q506">
        <f>IF(OR(AND(D506=2,E506=3),AND(D506=3,E506=2)),C506,"")</f>
        <v/>
      </c>
    </row>
    <row r="507">
      <c r="A507" t="n">
        <v>12</v>
      </c>
      <c r="B507" t="n">
        <v>34</v>
      </c>
      <c r="C507">
        <f>SQRT((Scale_PCA_Mechanics!G13-Scale_PCA_Mechanics!G35)^2+(Scale_PCA_Mechanics!H13-Scale_PCA_Mechanics!H35)^2+(Scale_PCA_Mechanics!I13-Scale_PCA_Mechanics!I35)^2+(Scale_PCA_Mechanics!J13-Scale_PCA_Mechanics!J35)^2)</f>
        <v/>
      </c>
      <c r="D507">
        <f>INDEX(KMeans_6_2!AA2:AA51,A507)</f>
        <v/>
      </c>
      <c r="E507">
        <f>INDEX(KMeans_6_2!AA2:AA51,B507)</f>
        <v/>
      </c>
      <c r="O507">
        <f>IF(OR(AND(D507=1,E507=2),AND(D507=2,E507=1)),C507,"")</f>
        <v/>
      </c>
      <c r="P507">
        <f>IF(OR(AND(D507=1,E507=3),AND(D507=3,E507=1)),C507,"")</f>
        <v/>
      </c>
      <c r="Q507">
        <f>IF(OR(AND(D507=2,E507=3),AND(D507=3,E507=2)),C507,"")</f>
        <v/>
      </c>
    </row>
    <row r="508">
      <c r="A508" t="n">
        <v>12</v>
      </c>
      <c r="B508" t="n">
        <v>35</v>
      </c>
      <c r="C508">
        <f>SQRT((Scale_PCA_Mechanics!G13-Scale_PCA_Mechanics!G36)^2+(Scale_PCA_Mechanics!H13-Scale_PCA_Mechanics!H36)^2+(Scale_PCA_Mechanics!I13-Scale_PCA_Mechanics!I36)^2+(Scale_PCA_Mechanics!J13-Scale_PCA_Mechanics!J36)^2)</f>
        <v/>
      </c>
      <c r="D508">
        <f>INDEX(KMeans_6_2!AA2:AA51,A508)</f>
        <v/>
      </c>
      <c r="E508">
        <f>INDEX(KMeans_6_2!AA2:AA51,B508)</f>
        <v/>
      </c>
      <c r="O508">
        <f>IF(OR(AND(D508=1,E508=2),AND(D508=2,E508=1)),C508,"")</f>
        <v/>
      </c>
      <c r="P508">
        <f>IF(OR(AND(D508=1,E508=3),AND(D508=3,E508=1)),C508,"")</f>
        <v/>
      </c>
      <c r="Q508">
        <f>IF(OR(AND(D508=2,E508=3),AND(D508=3,E508=2)),C508,"")</f>
        <v/>
      </c>
    </row>
    <row r="509">
      <c r="A509" t="n">
        <v>12</v>
      </c>
      <c r="B509" t="n">
        <v>36</v>
      </c>
      <c r="C509">
        <f>SQRT((Scale_PCA_Mechanics!G13-Scale_PCA_Mechanics!G37)^2+(Scale_PCA_Mechanics!H13-Scale_PCA_Mechanics!H37)^2+(Scale_PCA_Mechanics!I13-Scale_PCA_Mechanics!I37)^2+(Scale_PCA_Mechanics!J13-Scale_PCA_Mechanics!J37)^2)</f>
        <v/>
      </c>
      <c r="D509">
        <f>INDEX(KMeans_6_2!AA2:AA51,A509)</f>
        <v/>
      </c>
      <c r="E509">
        <f>INDEX(KMeans_6_2!AA2:AA51,B509)</f>
        <v/>
      </c>
      <c r="O509">
        <f>IF(OR(AND(D509=1,E509=2),AND(D509=2,E509=1)),C509,"")</f>
        <v/>
      </c>
      <c r="P509">
        <f>IF(OR(AND(D509=1,E509=3),AND(D509=3,E509=1)),C509,"")</f>
        <v/>
      </c>
      <c r="Q509">
        <f>IF(OR(AND(D509=2,E509=3),AND(D509=3,E509=2)),C509,"")</f>
        <v/>
      </c>
    </row>
    <row r="510">
      <c r="A510" t="n">
        <v>12</v>
      </c>
      <c r="B510" t="n">
        <v>37</v>
      </c>
      <c r="C510">
        <f>SQRT((Scale_PCA_Mechanics!G13-Scale_PCA_Mechanics!G38)^2+(Scale_PCA_Mechanics!H13-Scale_PCA_Mechanics!H38)^2+(Scale_PCA_Mechanics!I13-Scale_PCA_Mechanics!I38)^2+(Scale_PCA_Mechanics!J13-Scale_PCA_Mechanics!J38)^2)</f>
        <v/>
      </c>
      <c r="D510">
        <f>INDEX(KMeans_6_2!AA2:AA51,A510)</f>
        <v/>
      </c>
      <c r="E510">
        <f>INDEX(KMeans_6_2!AA2:AA51,B510)</f>
        <v/>
      </c>
      <c r="O510">
        <f>IF(OR(AND(D510=1,E510=2),AND(D510=2,E510=1)),C510,"")</f>
        <v/>
      </c>
      <c r="P510">
        <f>IF(OR(AND(D510=1,E510=3),AND(D510=3,E510=1)),C510,"")</f>
        <v/>
      </c>
      <c r="Q510">
        <f>IF(OR(AND(D510=2,E510=3),AND(D510=3,E510=2)),C510,"")</f>
        <v/>
      </c>
    </row>
    <row r="511">
      <c r="A511" t="n">
        <v>12</v>
      </c>
      <c r="B511" t="n">
        <v>38</v>
      </c>
      <c r="C511">
        <f>SQRT((Scale_PCA_Mechanics!G13-Scale_PCA_Mechanics!G39)^2+(Scale_PCA_Mechanics!H13-Scale_PCA_Mechanics!H39)^2+(Scale_PCA_Mechanics!I13-Scale_PCA_Mechanics!I39)^2+(Scale_PCA_Mechanics!J13-Scale_PCA_Mechanics!J39)^2)</f>
        <v/>
      </c>
      <c r="D511">
        <f>INDEX(KMeans_6_2!AA2:AA51,A511)</f>
        <v/>
      </c>
      <c r="E511">
        <f>INDEX(KMeans_6_2!AA2:AA51,B511)</f>
        <v/>
      </c>
      <c r="O511">
        <f>IF(OR(AND(D511=1,E511=2),AND(D511=2,E511=1)),C511,"")</f>
        <v/>
      </c>
      <c r="P511">
        <f>IF(OR(AND(D511=1,E511=3),AND(D511=3,E511=1)),C511,"")</f>
        <v/>
      </c>
      <c r="Q511">
        <f>IF(OR(AND(D511=2,E511=3),AND(D511=3,E511=2)),C511,"")</f>
        <v/>
      </c>
    </row>
    <row r="512">
      <c r="A512" t="n">
        <v>12</v>
      </c>
      <c r="B512" t="n">
        <v>39</v>
      </c>
      <c r="C512">
        <f>SQRT((Scale_PCA_Mechanics!G13-Scale_PCA_Mechanics!G40)^2+(Scale_PCA_Mechanics!H13-Scale_PCA_Mechanics!H40)^2+(Scale_PCA_Mechanics!I13-Scale_PCA_Mechanics!I40)^2+(Scale_PCA_Mechanics!J13-Scale_PCA_Mechanics!J40)^2)</f>
        <v/>
      </c>
      <c r="D512">
        <f>INDEX(KMeans_6_2!AA2:AA51,A512)</f>
        <v/>
      </c>
      <c r="E512">
        <f>INDEX(KMeans_6_2!AA2:AA51,B512)</f>
        <v/>
      </c>
      <c r="O512">
        <f>IF(OR(AND(D512=1,E512=2),AND(D512=2,E512=1)),C512,"")</f>
        <v/>
      </c>
      <c r="P512">
        <f>IF(OR(AND(D512=1,E512=3),AND(D512=3,E512=1)),C512,"")</f>
        <v/>
      </c>
      <c r="Q512">
        <f>IF(OR(AND(D512=2,E512=3),AND(D512=3,E512=2)),C512,"")</f>
        <v/>
      </c>
    </row>
    <row r="513">
      <c r="A513" t="n">
        <v>12</v>
      </c>
      <c r="B513" t="n">
        <v>40</v>
      </c>
      <c r="C513">
        <f>SQRT((Scale_PCA_Mechanics!G13-Scale_PCA_Mechanics!G41)^2+(Scale_PCA_Mechanics!H13-Scale_PCA_Mechanics!H41)^2+(Scale_PCA_Mechanics!I13-Scale_PCA_Mechanics!I41)^2+(Scale_PCA_Mechanics!J13-Scale_PCA_Mechanics!J41)^2)</f>
        <v/>
      </c>
      <c r="D513">
        <f>INDEX(KMeans_6_2!AA2:AA51,A513)</f>
        <v/>
      </c>
      <c r="E513">
        <f>INDEX(KMeans_6_2!AA2:AA51,B513)</f>
        <v/>
      </c>
      <c r="O513">
        <f>IF(OR(AND(D513=1,E513=2),AND(D513=2,E513=1)),C513,"")</f>
        <v/>
      </c>
      <c r="P513">
        <f>IF(OR(AND(D513=1,E513=3),AND(D513=3,E513=1)),C513,"")</f>
        <v/>
      </c>
      <c r="Q513">
        <f>IF(OR(AND(D513=2,E513=3),AND(D513=3,E513=2)),C513,"")</f>
        <v/>
      </c>
    </row>
    <row r="514">
      <c r="A514" t="n">
        <v>12</v>
      </c>
      <c r="B514" t="n">
        <v>41</v>
      </c>
      <c r="C514">
        <f>SQRT((Scale_PCA_Mechanics!G13-Scale_PCA_Mechanics!G42)^2+(Scale_PCA_Mechanics!H13-Scale_PCA_Mechanics!H42)^2+(Scale_PCA_Mechanics!I13-Scale_PCA_Mechanics!I42)^2+(Scale_PCA_Mechanics!J13-Scale_PCA_Mechanics!J42)^2)</f>
        <v/>
      </c>
      <c r="D514">
        <f>INDEX(KMeans_6_2!AA2:AA51,A514)</f>
        <v/>
      </c>
      <c r="E514">
        <f>INDEX(KMeans_6_2!AA2:AA51,B514)</f>
        <v/>
      </c>
      <c r="O514">
        <f>IF(OR(AND(D514=1,E514=2),AND(D514=2,E514=1)),C514,"")</f>
        <v/>
      </c>
      <c r="P514">
        <f>IF(OR(AND(D514=1,E514=3),AND(D514=3,E514=1)),C514,"")</f>
        <v/>
      </c>
      <c r="Q514">
        <f>IF(OR(AND(D514=2,E514=3),AND(D514=3,E514=2)),C514,"")</f>
        <v/>
      </c>
    </row>
    <row r="515">
      <c r="A515" t="n">
        <v>12</v>
      </c>
      <c r="B515" t="n">
        <v>42</v>
      </c>
      <c r="C515">
        <f>SQRT((Scale_PCA_Mechanics!G13-Scale_PCA_Mechanics!G43)^2+(Scale_PCA_Mechanics!H13-Scale_PCA_Mechanics!H43)^2+(Scale_PCA_Mechanics!I13-Scale_PCA_Mechanics!I43)^2+(Scale_PCA_Mechanics!J13-Scale_PCA_Mechanics!J43)^2)</f>
        <v/>
      </c>
      <c r="D515">
        <f>INDEX(KMeans_6_2!AA2:AA51,A515)</f>
        <v/>
      </c>
      <c r="E515">
        <f>INDEX(KMeans_6_2!AA2:AA51,B515)</f>
        <v/>
      </c>
      <c r="O515">
        <f>IF(OR(AND(D515=1,E515=2),AND(D515=2,E515=1)),C515,"")</f>
        <v/>
      </c>
      <c r="P515">
        <f>IF(OR(AND(D515=1,E515=3),AND(D515=3,E515=1)),C515,"")</f>
        <v/>
      </c>
      <c r="Q515">
        <f>IF(OR(AND(D515=2,E515=3),AND(D515=3,E515=2)),C515,"")</f>
        <v/>
      </c>
    </row>
    <row r="516">
      <c r="A516" t="n">
        <v>12</v>
      </c>
      <c r="B516" t="n">
        <v>43</v>
      </c>
      <c r="C516">
        <f>SQRT((Scale_PCA_Mechanics!G13-Scale_PCA_Mechanics!G44)^2+(Scale_PCA_Mechanics!H13-Scale_PCA_Mechanics!H44)^2+(Scale_PCA_Mechanics!I13-Scale_PCA_Mechanics!I44)^2+(Scale_PCA_Mechanics!J13-Scale_PCA_Mechanics!J44)^2)</f>
        <v/>
      </c>
      <c r="D516">
        <f>INDEX(KMeans_6_2!AA2:AA51,A516)</f>
        <v/>
      </c>
      <c r="E516">
        <f>INDEX(KMeans_6_2!AA2:AA51,B516)</f>
        <v/>
      </c>
      <c r="O516">
        <f>IF(OR(AND(D516=1,E516=2),AND(D516=2,E516=1)),C516,"")</f>
        <v/>
      </c>
      <c r="P516">
        <f>IF(OR(AND(D516=1,E516=3),AND(D516=3,E516=1)),C516,"")</f>
        <v/>
      </c>
      <c r="Q516">
        <f>IF(OR(AND(D516=2,E516=3),AND(D516=3,E516=2)),C516,"")</f>
        <v/>
      </c>
    </row>
    <row r="517">
      <c r="A517" t="n">
        <v>12</v>
      </c>
      <c r="B517" t="n">
        <v>44</v>
      </c>
      <c r="C517">
        <f>SQRT((Scale_PCA_Mechanics!G13-Scale_PCA_Mechanics!G45)^2+(Scale_PCA_Mechanics!H13-Scale_PCA_Mechanics!H45)^2+(Scale_PCA_Mechanics!I13-Scale_PCA_Mechanics!I45)^2+(Scale_PCA_Mechanics!J13-Scale_PCA_Mechanics!J45)^2)</f>
        <v/>
      </c>
      <c r="D517">
        <f>INDEX(KMeans_6_2!AA2:AA51,A517)</f>
        <v/>
      </c>
      <c r="E517">
        <f>INDEX(KMeans_6_2!AA2:AA51,B517)</f>
        <v/>
      </c>
      <c r="O517">
        <f>IF(OR(AND(D517=1,E517=2),AND(D517=2,E517=1)),C517,"")</f>
        <v/>
      </c>
      <c r="P517">
        <f>IF(OR(AND(D517=1,E517=3),AND(D517=3,E517=1)),C517,"")</f>
        <v/>
      </c>
      <c r="Q517">
        <f>IF(OR(AND(D517=2,E517=3),AND(D517=3,E517=2)),C517,"")</f>
        <v/>
      </c>
    </row>
    <row r="518">
      <c r="A518" t="n">
        <v>12</v>
      </c>
      <c r="B518" t="n">
        <v>45</v>
      </c>
      <c r="C518">
        <f>SQRT((Scale_PCA_Mechanics!G13-Scale_PCA_Mechanics!G46)^2+(Scale_PCA_Mechanics!H13-Scale_PCA_Mechanics!H46)^2+(Scale_PCA_Mechanics!I13-Scale_PCA_Mechanics!I46)^2+(Scale_PCA_Mechanics!J13-Scale_PCA_Mechanics!J46)^2)</f>
        <v/>
      </c>
      <c r="D518">
        <f>INDEX(KMeans_6_2!AA2:AA51,A518)</f>
        <v/>
      </c>
      <c r="E518">
        <f>INDEX(KMeans_6_2!AA2:AA51,B518)</f>
        <v/>
      </c>
      <c r="O518">
        <f>IF(OR(AND(D518=1,E518=2),AND(D518=2,E518=1)),C518,"")</f>
        <v/>
      </c>
      <c r="P518">
        <f>IF(OR(AND(D518=1,E518=3),AND(D518=3,E518=1)),C518,"")</f>
        <v/>
      </c>
      <c r="Q518">
        <f>IF(OR(AND(D518=2,E518=3),AND(D518=3,E518=2)),C518,"")</f>
        <v/>
      </c>
    </row>
    <row r="519">
      <c r="A519" t="n">
        <v>12</v>
      </c>
      <c r="B519" t="n">
        <v>46</v>
      </c>
      <c r="C519">
        <f>SQRT((Scale_PCA_Mechanics!G13-Scale_PCA_Mechanics!G47)^2+(Scale_PCA_Mechanics!H13-Scale_PCA_Mechanics!H47)^2+(Scale_PCA_Mechanics!I13-Scale_PCA_Mechanics!I47)^2+(Scale_PCA_Mechanics!J13-Scale_PCA_Mechanics!J47)^2)</f>
        <v/>
      </c>
      <c r="D519">
        <f>INDEX(KMeans_6_2!AA2:AA51,A519)</f>
        <v/>
      </c>
      <c r="E519">
        <f>INDEX(KMeans_6_2!AA2:AA51,B519)</f>
        <v/>
      </c>
      <c r="O519">
        <f>IF(OR(AND(D519=1,E519=2),AND(D519=2,E519=1)),C519,"")</f>
        <v/>
      </c>
      <c r="P519">
        <f>IF(OR(AND(D519=1,E519=3),AND(D519=3,E519=1)),C519,"")</f>
        <v/>
      </c>
      <c r="Q519">
        <f>IF(OR(AND(D519=2,E519=3),AND(D519=3,E519=2)),C519,"")</f>
        <v/>
      </c>
    </row>
    <row r="520">
      <c r="A520" t="n">
        <v>12</v>
      </c>
      <c r="B520" t="n">
        <v>47</v>
      </c>
      <c r="C520">
        <f>SQRT((Scale_PCA_Mechanics!G13-Scale_PCA_Mechanics!G48)^2+(Scale_PCA_Mechanics!H13-Scale_PCA_Mechanics!H48)^2+(Scale_PCA_Mechanics!I13-Scale_PCA_Mechanics!I48)^2+(Scale_PCA_Mechanics!J13-Scale_PCA_Mechanics!J48)^2)</f>
        <v/>
      </c>
      <c r="D520">
        <f>INDEX(KMeans_6_2!AA2:AA51,A520)</f>
        <v/>
      </c>
      <c r="E520">
        <f>INDEX(KMeans_6_2!AA2:AA51,B520)</f>
        <v/>
      </c>
      <c r="O520">
        <f>IF(OR(AND(D520=1,E520=2),AND(D520=2,E520=1)),C520,"")</f>
        <v/>
      </c>
      <c r="P520">
        <f>IF(OR(AND(D520=1,E520=3),AND(D520=3,E520=1)),C520,"")</f>
        <v/>
      </c>
      <c r="Q520">
        <f>IF(OR(AND(D520=2,E520=3),AND(D520=3,E520=2)),C520,"")</f>
        <v/>
      </c>
    </row>
    <row r="521">
      <c r="A521" t="n">
        <v>12</v>
      </c>
      <c r="B521" t="n">
        <v>48</v>
      </c>
      <c r="C521">
        <f>SQRT((Scale_PCA_Mechanics!G13-Scale_PCA_Mechanics!G49)^2+(Scale_PCA_Mechanics!H13-Scale_PCA_Mechanics!H49)^2+(Scale_PCA_Mechanics!I13-Scale_PCA_Mechanics!I49)^2+(Scale_PCA_Mechanics!J13-Scale_PCA_Mechanics!J49)^2)</f>
        <v/>
      </c>
      <c r="D521">
        <f>INDEX(KMeans_6_2!AA2:AA51,A521)</f>
        <v/>
      </c>
      <c r="E521">
        <f>INDEX(KMeans_6_2!AA2:AA51,B521)</f>
        <v/>
      </c>
      <c r="O521">
        <f>IF(OR(AND(D521=1,E521=2),AND(D521=2,E521=1)),C521,"")</f>
        <v/>
      </c>
      <c r="P521">
        <f>IF(OR(AND(D521=1,E521=3),AND(D521=3,E521=1)),C521,"")</f>
        <v/>
      </c>
      <c r="Q521">
        <f>IF(OR(AND(D521=2,E521=3),AND(D521=3,E521=2)),C521,"")</f>
        <v/>
      </c>
    </row>
    <row r="522">
      <c r="A522" t="n">
        <v>12</v>
      </c>
      <c r="B522" t="n">
        <v>49</v>
      </c>
      <c r="C522">
        <f>SQRT((Scale_PCA_Mechanics!G13-Scale_PCA_Mechanics!G50)^2+(Scale_PCA_Mechanics!H13-Scale_PCA_Mechanics!H50)^2+(Scale_PCA_Mechanics!I13-Scale_PCA_Mechanics!I50)^2+(Scale_PCA_Mechanics!J13-Scale_PCA_Mechanics!J50)^2)</f>
        <v/>
      </c>
      <c r="D522">
        <f>INDEX(KMeans_6_2!AA2:AA51,A522)</f>
        <v/>
      </c>
      <c r="E522">
        <f>INDEX(KMeans_6_2!AA2:AA51,B522)</f>
        <v/>
      </c>
      <c r="O522">
        <f>IF(OR(AND(D522=1,E522=2),AND(D522=2,E522=1)),C522,"")</f>
        <v/>
      </c>
      <c r="P522">
        <f>IF(OR(AND(D522=1,E522=3),AND(D522=3,E522=1)),C522,"")</f>
        <v/>
      </c>
      <c r="Q522">
        <f>IF(OR(AND(D522=2,E522=3),AND(D522=3,E522=2)),C522,"")</f>
        <v/>
      </c>
    </row>
    <row r="523">
      <c r="A523" t="n">
        <v>12</v>
      </c>
      <c r="B523" t="n">
        <v>50</v>
      </c>
      <c r="C523">
        <f>SQRT((Scale_PCA_Mechanics!G13-Scale_PCA_Mechanics!G51)^2+(Scale_PCA_Mechanics!H13-Scale_PCA_Mechanics!H51)^2+(Scale_PCA_Mechanics!I13-Scale_PCA_Mechanics!I51)^2+(Scale_PCA_Mechanics!J13-Scale_PCA_Mechanics!J51)^2)</f>
        <v/>
      </c>
      <c r="D523">
        <f>INDEX(KMeans_6_2!AA2:AA51,A523)</f>
        <v/>
      </c>
      <c r="E523">
        <f>INDEX(KMeans_6_2!AA2:AA51,B523)</f>
        <v/>
      </c>
      <c r="O523">
        <f>IF(OR(AND(D523=1,E523=2),AND(D523=2,E523=1)),C523,"")</f>
        <v/>
      </c>
      <c r="P523">
        <f>IF(OR(AND(D523=1,E523=3),AND(D523=3,E523=1)),C523,"")</f>
        <v/>
      </c>
      <c r="Q523">
        <f>IF(OR(AND(D523=2,E523=3),AND(D523=3,E523=2)),C523,"")</f>
        <v/>
      </c>
    </row>
    <row r="524">
      <c r="A524" t="n">
        <v>13</v>
      </c>
      <c r="B524" t="n">
        <v>14</v>
      </c>
      <c r="C524">
        <f>SQRT((Scale_PCA_Mechanics!G14-Scale_PCA_Mechanics!G15)^2+(Scale_PCA_Mechanics!H14-Scale_PCA_Mechanics!H15)^2+(Scale_PCA_Mechanics!I14-Scale_PCA_Mechanics!I15)^2+(Scale_PCA_Mechanics!J14-Scale_PCA_Mechanics!J15)^2)</f>
        <v/>
      </c>
      <c r="D524">
        <f>INDEX(KMeans_6_2!AA2:AA51,A524)</f>
        <v/>
      </c>
      <c r="E524">
        <f>INDEX(KMeans_6_2!AA2:AA51,B524)</f>
        <v/>
      </c>
      <c r="O524">
        <f>IF(OR(AND(D524=1,E524=2),AND(D524=2,E524=1)),C524,"")</f>
        <v/>
      </c>
      <c r="P524">
        <f>IF(OR(AND(D524=1,E524=3),AND(D524=3,E524=1)),C524,"")</f>
        <v/>
      </c>
      <c r="Q524">
        <f>IF(OR(AND(D524=2,E524=3),AND(D524=3,E524=2)),C524,"")</f>
        <v/>
      </c>
    </row>
    <row r="525">
      <c r="A525" t="n">
        <v>13</v>
      </c>
      <c r="B525" t="n">
        <v>15</v>
      </c>
      <c r="C525">
        <f>SQRT((Scale_PCA_Mechanics!G14-Scale_PCA_Mechanics!G16)^2+(Scale_PCA_Mechanics!H14-Scale_PCA_Mechanics!H16)^2+(Scale_PCA_Mechanics!I14-Scale_PCA_Mechanics!I16)^2+(Scale_PCA_Mechanics!J14-Scale_PCA_Mechanics!J16)^2)</f>
        <v/>
      </c>
      <c r="D525">
        <f>INDEX(KMeans_6_2!AA2:AA51,A525)</f>
        <v/>
      </c>
      <c r="E525">
        <f>INDEX(KMeans_6_2!AA2:AA51,B525)</f>
        <v/>
      </c>
      <c r="O525">
        <f>IF(OR(AND(D525=1,E525=2),AND(D525=2,E525=1)),C525,"")</f>
        <v/>
      </c>
      <c r="P525">
        <f>IF(OR(AND(D525=1,E525=3),AND(D525=3,E525=1)),C525,"")</f>
        <v/>
      </c>
      <c r="Q525">
        <f>IF(OR(AND(D525=2,E525=3),AND(D525=3,E525=2)),C525,"")</f>
        <v/>
      </c>
    </row>
    <row r="526">
      <c r="A526" t="n">
        <v>13</v>
      </c>
      <c r="B526" t="n">
        <v>16</v>
      </c>
      <c r="C526">
        <f>SQRT((Scale_PCA_Mechanics!G14-Scale_PCA_Mechanics!G17)^2+(Scale_PCA_Mechanics!H14-Scale_PCA_Mechanics!H17)^2+(Scale_PCA_Mechanics!I14-Scale_PCA_Mechanics!I17)^2+(Scale_PCA_Mechanics!J14-Scale_PCA_Mechanics!J17)^2)</f>
        <v/>
      </c>
      <c r="D526">
        <f>INDEX(KMeans_6_2!AA2:AA51,A526)</f>
        <v/>
      </c>
      <c r="E526">
        <f>INDEX(KMeans_6_2!AA2:AA51,B526)</f>
        <v/>
      </c>
      <c r="O526">
        <f>IF(OR(AND(D526=1,E526=2),AND(D526=2,E526=1)),C526,"")</f>
        <v/>
      </c>
      <c r="P526">
        <f>IF(OR(AND(D526=1,E526=3),AND(D526=3,E526=1)),C526,"")</f>
        <v/>
      </c>
      <c r="Q526">
        <f>IF(OR(AND(D526=2,E526=3),AND(D526=3,E526=2)),C526,"")</f>
        <v/>
      </c>
    </row>
    <row r="527">
      <c r="A527" t="n">
        <v>13</v>
      </c>
      <c r="B527" t="n">
        <v>17</v>
      </c>
      <c r="C527">
        <f>SQRT((Scale_PCA_Mechanics!G14-Scale_PCA_Mechanics!G18)^2+(Scale_PCA_Mechanics!H14-Scale_PCA_Mechanics!H18)^2+(Scale_PCA_Mechanics!I14-Scale_PCA_Mechanics!I18)^2+(Scale_PCA_Mechanics!J14-Scale_PCA_Mechanics!J18)^2)</f>
        <v/>
      </c>
      <c r="D527">
        <f>INDEX(KMeans_6_2!AA2:AA51,A527)</f>
        <v/>
      </c>
      <c r="E527">
        <f>INDEX(KMeans_6_2!AA2:AA51,B527)</f>
        <v/>
      </c>
      <c r="O527">
        <f>IF(OR(AND(D527=1,E527=2),AND(D527=2,E527=1)),C527,"")</f>
        <v/>
      </c>
      <c r="P527">
        <f>IF(OR(AND(D527=1,E527=3),AND(D527=3,E527=1)),C527,"")</f>
        <v/>
      </c>
      <c r="Q527">
        <f>IF(OR(AND(D527=2,E527=3),AND(D527=3,E527=2)),C527,"")</f>
        <v/>
      </c>
    </row>
    <row r="528">
      <c r="A528" t="n">
        <v>13</v>
      </c>
      <c r="B528" t="n">
        <v>18</v>
      </c>
      <c r="C528">
        <f>SQRT((Scale_PCA_Mechanics!G14-Scale_PCA_Mechanics!G19)^2+(Scale_PCA_Mechanics!H14-Scale_PCA_Mechanics!H19)^2+(Scale_PCA_Mechanics!I14-Scale_PCA_Mechanics!I19)^2+(Scale_PCA_Mechanics!J14-Scale_PCA_Mechanics!J19)^2)</f>
        <v/>
      </c>
      <c r="D528">
        <f>INDEX(KMeans_6_2!AA2:AA51,A528)</f>
        <v/>
      </c>
      <c r="E528">
        <f>INDEX(KMeans_6_2!AA2:AA51,B528)</f>
        <v/>
      </c>
      <c r="O528">
        <f>IF(OR(AND(D528=1,E528=2),AND(D528=2,E528=1)),C528,"")</f>
        <v/>
      </c>
      <c r="P528">
        <f>IF(OR(AND(D528=1,E528=3),AND(D528=3,E528=1)),C528,"")</f>
        <v/>
      </c>
      <c r="Q528">
        <f>IF(OR(AND(D528=2,E528=3),AND(D528=3,E528=2)),C528,"")</f>
        <v/>
      </c>
    </row>
    <row r="529">
      <c r="A529" t="n">
        <v>13</v>
      </c>
      <c r="B529" t="n">
        <v>19</v>
      </c>
      <c r="C529">
        <f>SQRT((Scale_PCA_Mechanics!G14-Scale_PCA_Mechanics!G20)^2+(Scale_PCA_Mechanics!H14-Scale_PCA_Mechanics!H20)^2+(Scale_PCA_Mechanics!I14-Scale_PCA_Mechanics!I20)^2+(Scale_PCA_Mechanics!J14-Scale_PCA_Mechanics!J20)^2)</f>
        <v/>
      </c>
      <c r="D529">
        <f>INDEX(KMeans_6_2!AA2:AA51,A529)</f>
        <v/>
      </c>
      <c r="E529">
        <f>INDEX(KMeans_6_2!AA2:AA51,B529)</f>
        <v/>
      </c>
      <c r="O529">
        <f>IF(OR(AND(D529=1,E529=2),AND(D529=2,E529=1)),C529,"")</f>
        <v/>
      </c>
      <c r="P529">
        <f>IF(OR(AND(D529=1,E529=3),AND(D529=3,E529=1)),C529,"")</f>
        <v/>
      </c>
      <c r="Q529">
        <f>IF(OR(AND(D529=2,E529=3),AND(D529=3,E529=2)),C529,"")</f>
        <v/>
      </c>
    </row>
    <row r="530">
      <c r="A530" t="n">
        <v>13</v>
      </c>
      <c r="B530" t="n">
        <v>20</v>
      </c>
      <c r="C530">
        <f>SQRT((Scale_PCA_Mechanics!G14-Scale_PCA_Mechanics!G21)^2+(Scale_PCA_Mechanics!H14-Scale_PCA_Mechanics!H21)^2+(Scale_PCA_Mechanics!I14-Scale_PCA_Mechanics!I21)^2+(Scale_PCA_Mechanics!J14-Scale_PCA_Mechanics!J21)^2)</f>
        <v/>
      </c>
      <c r="D530">
        <f>INDEX(KMeans_6_2!AA2:AA51,A530)</f>
        <v/>
      </c>
      <c r="E530">
        <f>INDEX(KMeans_6_2!AA2:AA51,B530)</f>
        <v/>
      </c>
      <c r="O530">
        <f>IF(OR(AND(D530=1,E530=2),AND(D530=2,E530=1)),C530,"")</f>
        <v/>
      </c>
      <c r="P530">
        <f>IF(OR(AND(D530=1,E530=3),AND(D530=3,E530=1)),C530,"")</f>
        <v/>
      </c>
      <c r="Q530">
        <f>IF(OR(AND(D530=2,E530=3),AND(D530=3,E530=2)),C530,"")</f>
        <v/>
      </c>
    </row>
    <row r="531">
      <c r="A531" t="n">
        <v>13</v>
      </c>
      <c r="B531" t="n">
        <v>21</v>
      </c>
      <c r="C531">
        <f>SQRT((Scale_PCA_Mechanics!G14-Scale_PCA_Mechanics!G22)^2+(Scale_PCA_Mechanics!H14-Scale_PCA_Mechanics!H22)^2+(Scale_PCA_Mechanics!I14-Scale_PCA_Mechanics!I22)^2+(Scale_PCA_Mechanics!J14-Scale_PCA_Mechanics!J22)^2)</f>
        <v/>
      </c>
      <c r="D531">
        <f>INDEX(KMeans_6_2!AA2:AA51,A531)</f>
        <v/>
      </c>
      <c r="E531">
        <f>INDEX(KMeans_6_2!AA2:AA51,B531)</f>
        <v/>
      </c>
      <c r="O531">
        <f>IF(OR(AND(D531=1,E531=2),AND(D531=2,E531=1)),C531,"")</f>
        <v/>
      </c>
      <c r="P531">
        <f>IF(OR(AND(D531=1,E531=3),AND(D531=3,E531=1)),C531,"")</f>
        <v/>
      </c>
      <c r="Q531">
        <f>IF(OR(AND(D531=2,E531=3),AND(D531=3,E531=2)),C531,"")</f>
        <v/>
      </c>
    </row>
    <row r="532">
      <c r="A532" t="n">
        <v>13</v>
      </c>
      <c r="B532" t="n">
        <v>22</v>
      </c>
      <c r="C532">
        <f>SQRT((Scale_PCA_Mechanics!G14-Scale_PCA_Mechanics!G23)^2+(Scale_PCA_Mechanics!H14-Scale_PCA_Mechanics!H23)^2+(Scale_PCA_Mechanics!I14-Scale_PCA_Mechanics!I23)^2+(Scale_PCA_Mechanics!J14-Scale_PCA_Mechanics!J23)^2)</f>
        <v/>
      </c>
      <c r="D532">
        <f>INDEX(KMeans_6_2!AA2:AA51,A532)</f>
        <v/>
      </c>
      <c r="E532">
        <f>INDEX(KMeans_6_2!AA2:AA51,B532)</f>
        <v/>
      </c>
      <c r="O532">
        <f>IF(OR(AND(D532=1,E532=2),AND(D532=2,E532=1)),C532,"")</f>
        <v/>
      </c>
      <c r="P532">
        <f>IF(OR(AND(D532=1,E532=3),AND(D532=3,E532=1)),C532,"")</f>
        <v/>
      </c>
      <c r="Q532">
        <f>IF(OR(AND(D532=2,E532=3),AND(D532=3,E532=2)),C532,"")</f>
        <v/>
      </c>
    </row>
    <row r="533">
      <c r="A533" t="n">
        <v>13</v>
      </c>
      <c r="B533" t="n">
        <v>23</v>
      </c>
      <c r="C533">
        <f>SQRT((Scale_PCA_Mechanics!G14-Scale_PCA_Mechanics!G24)^2+(Scale_PCA_Mechanics!H14-Scale_PCA_Mechanics!H24)^2+(Scale_PCA_Mechanics!I14-Scale_PCA_Mechanics!I24)^2+(Scale_PCA_Mechanics!J14-Scale_PCA_Mechanics!J24)^2)</f>
        <v/>
      </c>
      <c r="D533">
        <f>INDEX(KMeans_6_2!AA2:AA51,A533)</f>
        <v/>
      </c>
      <c r="E533">
        <f>INDEX(KMeans_6_2!AA2:AA51,B533)</f>
        <v/>
      </c>
      <c r="O533">
        <f>IF(OR(AND(D533=1,E533=2),AND(D533=2,E533=1)),C533,"")</f>
        <v/>
      </c>
      <c r="P533">
        <f>IF(OR(AND(D533=1,E533=3),AND(D533=3,E533=1)),C533,"")</f>
        <v/>
      </c>
      <c r="Q533">
        <f>IF(OR(AND(D533=2,E533=3),AND(D533=3,E533=2)),C533,"")</f>
        <v/>
      </c>
    </row>
    <row r="534">
      <c r="A534" t="n">
        <v>13</v>
      </c>
      <c r="B534" t="n">
        <v>24</v>
      </c>
      <c r="C534">
        <f>SQRT((Scale_PCA_Mechanics!G14-Scale_PCA_Mechanics!G25)^2+(Scale_PCA_Mechanics!H14-Scale_PCA_Mechanics!H25)^2+(Scale_PCA_Mechanics!I14-Scale_PCA_Mechanics!I25)^2+(Scale_PCA_Mechanics!J14-Scale_PCA_Mechanics!J25)^2)</f>
        <v/>
      </c>
      <c r="D534">
        <f>INDEX(KMeans_6_2!AA2:AA51,A534)</f>
        <v/>
      </c>
      <c r="E534">
        <f>INDEX(KMeans_6_2!AA2:AA51,B534)</f>
        <v/>
      </c>
      <c r="O534">
        <f>IF(OR(AND(D534=1,E534=2),AND(D534=2,E534=1)),C534,"")</f>
        <v/>
      </c>
      <c r="P534">
        <f>IF(OR(AND(D534=1,E534=3),AND(D534=3,E534=1)),C534,"")</f>
        <v/>
      </c>
      <c r="Q534">
        <f>IF(OR(AND(D534=2,E534=3),AND(D534=3,E534=2)),C534,"")</f>
        <v/>
      </c>
    </row>
    <row r="535">
      <c r="A535" t="n">
        <v>13</v>
      </c>
      <c r="B535" t="n">
        <v>25</v>
      </c>
      <c r="C535">
        <f>SQRT((Scale_PCA_Mechanics!G14-Scale_PCA_Mechanics!G26)^2+(Scale_PCA_Mechanics!H14-Scale_PCA_Mechanics!H26)^2+(Scale_PCA_Mechanics!I14-Scale_PCA_Mechanics!I26)^2+(Scale_PCA_Mechanics!J14-Scale_PCA_Mechanics!J26)^2)</f>
        <v/>
      </c>
      <c r="D535">
        <f>INDEX(KMeans_6_2!AA2:AA51,A535)</f>
        <v/>
      </c>
      <c r="E535">
        <f>INDEX(KMeans_6_2!AA2:AA51,B535)</f>
        <v/>
      </c>
      <c r="O535">
        <f>IF(OR(AND(D535=1,E535=2),AND(D535=2,E535=1)),C535,"")</f>
        <v/>
      </c>
      <c r="P535">
        <f>IF(OR(AND(D535=1,E535=3),AND(D535=3,E535=1)),C535,"")</f>
        <v/>
      </c>
      <c r="Q535">
        <f>IF(OR(AND(D535=2,E535=3),AND(D535=3,E535=2)),C535,"")</f>
        <v/>
      </c>
    </row>
    <row r="536">
      <c r="A536" t="n">
        <v>13</v>
      </c>
      <c r="B536" t="n">
        <v>26</v>
      </c>
      <c r="C536">
        <f>SQRT((Scale_PCA_Mechanics!G14-Scale_PCA_Mechanics!G27)^2+(Scale_PCA_Mechanics!H14-Scale_PCA_Mechanics!H27)^2+(Scale_PCA_Mechanics!I14-Scale_PCA_Mechanics!I27)^2+(Scale_PCA_Mechanics!J14-Scale_PCA_Mechanics!J27)^2)</f>
        <v/>
      </c>
      <c r="D536">
        <f>INDEX(KMeans_6_2!AA2:AA51,A536)</f>
        <v/>
      </c>
      <c r="E536">
        <f>INDEX(KMeans_6_2!AA2:AA51,B536)</f>
        <v/>
      </c>
      <c r="O536">
        <f>IF(OR(AND(D536=1,E536=2),AND(D536=2,E536=1)),C536,"")</f>
        <v/>
      </c>
      <c r="P536">
        <f>IF(OR(AND(D536=1,E536=3),AND(D536=3,E536=1)),C536,"")</f>
        <v/>
      </c>
      <c r="Q536">
        <f>IF(OR(AND(D536=2,E536=3),AND(D536=3,E536=2)),C536,"")</f>
        <v/>
      </c>
    </row>
    <row r="537">
      <c r="A537" t="n">
        <v>13</v>
      </c>
      <c r="B537" t="n">
        <v>27</v>
      </c>
      <c r="C537">
        <f>SQRT((Scale_PCA_Mechanics!G14-Scale_PCA_Mechanics!G28)^2+(Scale_PCA_Mechanics!H14-Scale_PCA_Mechanics!H28)^2+(Scale_PCA_Mechanics!I14-Scale_PCA_Mechanics!I28)^2+(Scale_PCA_Mechanics!J14-Scale_PCA_Mechanics!J28)^2)</f>
        <v/>
      </c>
      <c r="D537">
        <f>INDEX(KMeans_6_2!AA2:AA51,A537)</f>
        <v/>
      </c>
      <c r="E537">
        <f>INDEX(KMeans_6_2!AA2:AA51,B537)</f>
        <v/>
      </c>
      <c r="O537">
        <f>IF(OR(AND(D537=1,E537=2),AND(D537=2,E537=1)),C537,"")</f>
        <v/>
      </c>
      <c r="P537">
        <f>IF(OR(AND(D537=1,E537=3),AND(D537=3,E537=1)),C537,"")</f>
        <v/>
      </c>
      <c r="Q537">
        <f>IF(OR(AND(D537=2,E537=3),AND(D537=3,E537=2)),C537,"")</f>
        <v/>
      </c>
    </row>
    <row r="538">
      <c r="A538" t="n">
        <v>13</v>
      </c>
      <c r="B538" t="n">
        <v>28</v>
      </c>
      <c r="C538">
        <f>SQRT((Scale_PCA_Mechanics!G14-Scale_PCA_Mechanics!G29)^2+(Scale_PCA_Mechanics!H14-Scale_PCA_Mechanics!H29)^2+(Scale_PCA_Mechanics!I14-Scale_PCA_Mechanics!I29)^2+(Scale_PCA_Mechanics!J14-Scale_PCA_Mechanics!J29)^2)</f>
        <v/>
      </c>
      <c r="D538">
        <f>INDEX(KMeans_6_2!AA2:AA51,A538)</f>
        <v/>
      </c>
      <c r="E538">
        <f>INDEX(KMeans_6_2!AA2:AA51,B538)</f>
        <v/>
      </c>
      <c r="O538">
        <f>IF(OR(AND(D538=1,E538=2),AND(D538=2,E538=1)),C538,"")</f>
        <v/>
      </c>
      <c r="P538">
        <f>IF(OR(AND(D538=1,E538=3),AND(D538=3,E538=1)),C538,"")</f>
        <v/>
      </c>
      <c r="Q538">
        <f>IF(OR(AND(D538=2,E538=3),AND(D538=3,E538=2)),C538,"")</f>
        <v/>
      </c>
    </row>
    <row r="539">
      <c r="A539" t="n">
        <v>13</v>
      </c>
      <c r="B539" t="n">
        <v>29</v>
      </c>
      <c r="C539">
        <f>SQRT((Scale_PCA_Mechanics!G14-Scale_PCA_Mechanics!G30)^2+(Scale_PCA_Mechanics!H14-Scale_PCA_Mechanics!H30)^2+(Scale_PCA_Mechanics!I14-Scale_PCA_Mechanics!I30)^2+(Scale_PCA_Mechanics!J14-Scale_PCA_Mechanics!J30)^2)</f>
        <v/>
      </c>
      <c r="D539">
        <f>INDEX(KMeans_6_2!AA2:AA51,A539)</f>
        <v/>
      </c>
      <c r="E539">
        <f>INDEX(KMeans_6_2!AA2:AA51,B539)</f>
        <v/>
      </c>
      <c r="O539">
        <f>IF(OR(AND(D539=1,E539=2),AND(D539=2,E539=1)),C539,"")</f>
        <v/>
      </c>
      <c r="P539">
        <f>IF(OR(AND(D539=1,E539=3),AND(D539=3,E539=1)),C539,"")</f>
        <v/>
      </c>
      <c r="Q539">
        <f>IF(OR(AND(D539=2,E539=3),AND(D539=3,E539=2)),C539,"")</f>
        <v/>
      </c>
    </row>
    <row r="540">
      <c r="A540" t="n">
        <v>13</v>
      </c>
      <c r="B540" t="n">
        <v>30</v>
      </c>
      <c r="C540">
        <f>SQRT((Scale_PCA_Mechanics!G14-Scale_PCA_Mechanics!G31)^2+(Scale_PCA_Mechanics!H14-Scale_PCA_Mechanics!H31)^2+(Scale_PCA_Mechanics!I14-Scale_PCA_Mechanics!I31)^2+(Scale_PCA_Mechanics!J14-Scale_PCA_Mechanics!J31)^2)</f>
        <v/>
      </c>
      <c r="D540">
        <f>INDEX(KMeans_6_2!AA2:AA51,A540)</f>
        <v/>
      </c>
      <c r="E540">
        <f>INDEX(KMeans_6_2!AA2:AA51,B540)</f>
        <v/>
      </c>
      <c r="O540">
        <f>IF(OR(AND(D540=1,E540=2),AND(D540=2,E540=1)),C540,"")</f>
        <v/>
      </c>
      <c r="P540">
        <f>IF(OR(AND(D540=1,E540=3),AND(D540=3,E540=1)),C540,"")</f>
        <v/>
      </c>
      <c r="Q540">
        <f>IF(OR(AND(D540=2,E540=3),AND(D540=3,E540=2)),C540,"")</f>
        <v/>
      </c>
    </row>
    <row r="541">
      <c r="A541" t="n">
        <v>13</v>
      </c>
      <c r="B541" t="n">
        <v>31</v>
      </c>
      <c r="C541">
        <f>SQRT((Scale_PCA_Mechanics!G14-Scale_PCA_Mechanics!G32)^2+(Scale_PCA_Mechanics!H14-Scale_PCA_Mechanics!H32)^2+(Scale_PCA_Mechanics!I14-Scale_PCA_Mechanics!I32)^2+(Scale_PCA_Mechanics!J14-Scale_PCA_Mechanics!J32)^2)</f>
        <v/>
      </c>
      <c r="D541">
        <f>INDEX(KMeans_6_2!AA2:AA51,A541)</f>
        <v/>
      </c>
      <c r="E541">
        <f>INDEX(KMeans_6_2!AA2:AA51,B541)</f>
        <v/>
      </c>
      <c r="O541">
        <f>IF(OR(AND(D541=1,E541=2),AND(D541=2,E541=1)),C541,"")</f>
        <v/>
      </c>
      <c r="P541">
        <f>IF(OR(AND(D541=1,E541=3),AND(D541=3,E541=1)),C541,"")</f>
        <v/>
      </c>
      <c r="Q541">
        <f>IF(OR(AND(D541=2,E541=3),AND(D541=3,E541=2)),C541,"")</f>
        <v/>
      </c>
    </row>
    <row r="542">
      <c r="A542" t="n">
        <v>13</v>
      </c>
      <c r="B542" t="n">
        <v>32</v>
      </c>
      <c r="C542">
        <f>SQRT((Scale_PCA_Mechanics!G14-Scale_PCA_Mechanics!G33)^2+(Scale_PCA_Mechanics!H14-Scale_PCA_Mechanics!H33)^2+(Scale_PCA_Mechanics!I14-Scale_PCA_Mechanics!I33)^2+(Scale_PCA_Mechanics!J14-Scale_PCA_Mechanics!J33)^2)</f>
        <v/>
      </c>
      <c r="D542">
        <f>INDEX(KMeans_6_2!AA2:AA51,A542)</f>
        <v/>
      </c>
      <c r="E542">
        <f>INDEX(KMeans_6_2!AA2:AA51,B542)</f>
        <v/>
      </c>
      <c r="O542">
        <f>IF(OR(AND(D542=1,E542=2),AND(D542=2,E542=1)),C542,"")</f>
        <v/>
      </c>
      <c r="P542">
        <f>IF(OR(AND(D542=1,E542=3),AND(D542=3,E542=1)),C542,"")</f>
        <v/>
      </c>
      <c r="Q542">
        <f>IF(OR(AND(D542=2,E542=3),AND(D542=3,E542=2)),C542,"")</f>
        <v/>
      </c>
    </row>
    <row r="543">
      <c r="A543" t="n">
        <v>13</v>
      </c>
      <c r="B543" t="n">
        <v>33</v>
      </c>
      <c r="C543">
        <f>SQRT((Scale_PCA_Mechanics!G14-Scale_PCA_Mechanics!G34)^2+(Scale_PCA_Mechanics!H14-Scale_PCA_Mechanics!H34)^2+(Scale_PCA_Mechanics!I14-Scale_PCA_Mechanics!I34)^2+(Scale_PCA_Mechanics!J14-Scale_PCA_Mechanics!J34)^2)</f>
        <v/>
      </c>
      <c r="D543">
        <f>INDEX(KMeans_6_2!AA2:AA51,A543)</f>
        <v/>
      </c>
      <c r="E543">
        <f>INDEX(KMeans_6_2!AA2:AA51,B543)</f>
        <v/>
      </c>
      <c r="O543">
        <f>IF(OR(AND(D543=1,E543=2),AND(D543=2,E543=1)),C543,"")</f>
        <v/>
      </c>
      <c r="P543">
        <f>IF(OR(AND(D543=1,E543=3),AND(D543=3,E543=1)),C543,"")</f>
        <v/>
      </c>
      <c r="Q543">
        <f>IF(OR(AND(D543=2,E543=3),AND(D543=3,E543=2)),C543,"")</f>
        <v/>
      </c>
    </row>
    <row r="544">
      <c r="A544" t="n">
        <v>13</v>
      </c>
      <c r="B544" t="n">
        <v>34</v>
      </c>
      <c r="C544">
        <f>SQRT((Scale_PCA_Mechanics!G14-Scale_PCA_Mechanics!G35)^2+(Scale_PCA_Mechanics!H14-Scale_PCA_Mechanics!H35)^2+(Scale_PCA_Mechanics!I14-Scale_PCA_Mechanics!I35)^2+(Scale_PCA_Mechanics!J14-Scale_PCA_Mechanics!J35)^2)</f>
        <v/>
      </c>
      <c r="D544">
        <f>INDEX(KMeans_6_2!AA2:AA51,A544)</f>
        <v/>
      </c>
      <c r="E544">
        <f>INDEX(KMeans_6_2!AA2:AA51,B544)</f>
        <v/>
      </c>
      <c r="O544">
        <f>IF(OR(AND(D544=1,E544=2),AND(D544=2,E544=1)),C544,"")</f>
        <v/>
      </c>
      <c r="P544">
        <f>IF(OR(AND(D544=1,E544=3),AND(D544=3,E544=1)),C544,"")</f>
        <v/>
      </c>
      <c r="Q544">
        <f>IF(OR(AND(D544=2,E544=3),AND(D544=3,E544=2)),C544,"")</f>
        <v/>
      </c>
    </row>
    <row r="545">
      <c r="A545" t="n">
        <v>13</v>
      </c>
      <c r="B545" t="n">
        <v>35</v>
      </c>
      <c r="C545">
        <f>SQRT((Scale_PCA_Mechanics!G14-Scale_PCA_Mechanics!G36)^2+(Scale_PCA_Mechanics!H14-Scale_PCA_Mechanics!H36)^2+(Scale_PCA_Mechanics!I14-Scale_PCA_Mechanics!I36)^2+(Scale_PCA_Mechanics!J14-Scale_PCA_Mechanics!J36)^2)</f>
        <v/>
      </c>
      <c r="D545">
        <f>INDEX(KMeans_6_2!AA2:AA51,A545)</f>
        <v/>
      </c>
      <c r="E545">
        <f>INDEX(KMeans_6_2!AA2:AA51,B545)</f>
        <v/>
      </c>
      <c r="O545">
        <f>IF(OR(AND(D545=1,E545=2),AND(D545=2,E545=1)),C545,"")</f>
        <v/>
      </c>
      <c r="P545">
        <f>IF(OR(AND(D545=1,E545=3),AND(D545=3,E545=1)),C545,"")</f>
        <v/>
      </c>
      <c r="Q545">
        <f>IF(OR(AND(D545=2,E545=3),AND(D545=3,E545=2)),C545,"")</f>
        <v/>
      </c>
    </row>
    <row r="546">
      <c r="A546" t="n">
        <v>13</v>
      </c>
      <c r="B546" t="n">
        <v>36</v>
      </c>
      <c r="C546">
        <f>SQRT((Scale_PCA_Mechanics!G14-Scale_PCA_Mechanics!G37)^2+(Scale_PCA_Mechanics!H14-Scale_PCA_Mechanics!H37)^2+(Scale_PCA_Mechanics!I14-Scale_PCA_Mechanics!I37)^2+(Scale_PCA_Mechanics!J14-Scale_PCA_Mechanics!J37)^2)</f>
        <v/>
      </c>
      <c r="D546">
        <f>INDEX(KMeans_6_2!AA2:AA51,A546)</f>
        <v/>
      </c>
      <c r="E546">
        <f>INDEX(KMeans_6_2!AA2:AA51,B546)</f>
        <v/>
      </c>
      <c r="O546">
        <f>IF(OR(AND(D546=1,E546=2),AND(D546=2,E546=1)),C546,"")</f>
        <v/>
      </c>
      <c r="P546">
        <f>IF(OR(AND(D546=1,E546=3),AND(D546=3,E546=1)),C546,"")</f>
        <v/>
      </c>
      <c r="Q546">
        <f>IF(OR(AND(D546=2,E546=3),AND(D546=3,E546=2)),C546,"")</f>
        <v/>
      </c>
    </row>
    <row r="547">
      <c r="A547" t="n">
        <v>13</v>
      </c>
      <c r="B547" t="n">
        <v>37</v>
      </c>
      <c r="C547">
        <f>SQRT((Scale_PCA_Mechanics!G14-Scale_PCA_Mechanics!G38)^2+(Scale_PCA_Mechanics!H14-Scale_PCA_Mechanics!H38)^2+(Scale_PCA_Mechanics!I14-Scale_PCA_Mechanics!I38)^2+(Scale_PCA_Mechanics!J14-Scale_PCA_Mechanics!J38)^2)</f>
        <v/>
      </c>
      <c r="D547">
        <f>INDEX(KMeans_6_2!AA2:AA51,A547)</f>
        <v/>
      </c>
      <c r="E547">
        <f>INDEX(KMeans_6_2!AA2:AA51,B547)</f>
        <v/>
      </c>
      <c r="O547">
        <f>IF(OR(AND(D547=1,E547=2),AND(D547=2,E547=1)),C547,"")</f>
        <v/>
      </c>
      <c r="P547">
        <f>IF(OR(AND(D547=1,E547=3),AND(D547=3,E547=1)),C547,"")</f>
        <v/>
      </c>
      <c r="Q547">
        <f>IF(OR(AND(D547=2,E547=3),AND(D547=3,E547=2)),C547,"")</f>
        <v/>
      </c>
    </row>
    <row r="548">
      <c r="A548" t="n">
        <v>13</v>
      </c>
      <c r="B548" t="n">
        <v>38</v>
      </c>
      <c r="C548">
        <f>SQRT((Scale_PCA_Mechanics!G14-Scale_PCA_Mechanics!G39)^2+(Scale_PCA_Mechanics!H14-Scale_PCA_Mechanics!H39)^2+(Scale_PCA_Mechanics!I14-Scale_PCA_Mechanics!I39)^2+(Scale_PCA_Mechanics!J14-Scale_PCA_Mechanics!J39)^2)</f>
        <v/>
      </c>
      <c r="D548">
        <f>INDEX(KMeans_6_2!AA2:AA51,A548)</f>
        <v/>
      </c>
      <c r="E548">
        <f>INDEX(KMeans_6_2!AA2:AA51,B548)</f>
        <v/>
      </c>
      <c r="O548">
        <f>IF(OR(AND(D548=1,E548=2),AND(D548=2,E548=1)),C548,"")</f>
        <v/>
      </c>
      <c r="P548">
        <f>IF(OR(AND(D548=1,E548=3),AND(D548=3,E548=1)),C548,"")</f>
        <v/>
      </c>
      <c r="Q548">
        <f>IF(OR(AND(D548=2,E548=3),AND(D548=3,E548=2)),C548,"")</f>
        <v/>
      </c>
    </row>
    <row r="549">
      <c r="A549" t="n">
        <v>13</v>
      </c>
      <c r="B549" t="n">
        <v>39</v>
      </c>
      <c r="C549">
        <f>SQRT((Scale_PCA_Mechanics!G14-Scale_PCA_Mechanics!G40)^2+(Scale_PCA_Mechanics!H14-Scale_PCA_Mechanics!H40)^2+(Scale_PCA_Mechanics!I14-Scale_PCA_Mechanics!I40)^2+(Scale_PCA_Mechanics!J14-Scale_PCA_Mechanics!J40)^2)</f>
        <v/>
      </c>
      <c r="D549">
        <f>INDEX(KMeans_6_2!AA2:AA51,A549)</f>
        <v/>
      </c>
      <c r="E549">
        <f>INDEX(KMeans_6_2!AA2:AA51,B549)</f>
        <v/>
      </c>
      <c r="O549">
        <f>IF(OR(AND(D549=1,E549=2),AND(D549=2,E549=1)),C549,"")</f>
        <v/>
      </c>
      <c r="P549">
        <f>IF(OR(AND(D549=1,E549=3),AND(D549=3,E549=1)),C549,"")</f>
        <v/>
      </c>
      <c r="Q549">
        <f>IF(OR(AND(D549=2,E549=3),AND(D549=3,E549=2)),C549,"")</f>
        <v/>
      </c>
    </row>
    <row r="550">
      <c r="A550" t="n">
        <v>13</v>
      </c>
      <c r="B550" t="n">
        <v>40</v>
      </c>
      <c r="C550">
        <f>SQRT((Scale_PCA_Mechanics!G14-Scale_PCA_Mechanics!G41)^2+(Scale_PCA_Mechanics!H14-Scale_PCA_Mechanics!H41)^2+(Scale_PCA_Mechanics!I14-Scale_PCA_Mechanics!I41)^2+(Scale_PCA_Mechanics!J14-Scale_PCA_Mechanics!J41)^2)</f>
        <v/>
      </c>
      <c r="D550">
        <f>INDEX(KMeans_6_2!AA2:AA51,A550)</f>
        <v/>
      </c>
      <c r="E550">
        <f>INDEX(KMeans_6_2!AA2:AA51,B550)</f>
        <v/>
      </c>
      <c r="O550">
        <f>IF(OR(AND(D550=1,E550=2),AND(D550=2,E550=1)),C550,"")</f>
        <v/>
      </c>
      <c r="P550">
        <f>IF(OR(AND(D550=1,E550=3),AND(D550=3,E550=1)),C550,"")</f>
        <v/>
      </c>
      <c r="Q550">
        <f>IF(OR(AND(D550=2,E550=3),AND(D550=3,E550=2)),C550,"")</f>
        <v/>
      </c>
    </row>
    <row r="551">
      <c r="A551" t="n">
        <v>13</v>
      </c>
      <c r="B551" t="n">
        <v>41</v>
      </c>
      <c r="C551">
        <f>SQRT((Scale_PCA_Mechanics!G14-Scale_PCA_Mechanics!G42)^2+(Scale_PCA_Mechanics!H14-Scale_PCA_Mechanics!H42)^2+(Scale_PCA_Mechanics!I14-Scale_PCA_Mechanics!I42)^2+(Scale_PCA_Mechanics!J14-Scale_PCA_Mechanics!J42)^2)</f>
        <v/>
      </c>
      <c r="D551">
        <f>INDEX(KMeans_6_2!AA2:AA51,A551)</f>
        <v/>
      </c>
      <c r="E551">
        <f>INDEX(KMeans_6_2!AA2:AA51,B551)</f>
        <v/>
      </c>
      <c r="O551">
        <f>IF(OR(AND(D551=1,E551=2),AND(D551=2,E551=1)),C551,"")</f>
        <v/>
      </c>
      <c r="P551">
        <f>IF(OR(AND(D551=1,E551=3),AND(D551=3,E551=1)),C551,"")</f>
        <v/>
      </c>
      <c r="Q551">
        <f>IF(OR(AND(D551=2,E551=3),AND(D551=3,E551=2)),C551,"")</f>
        <v/>
      </c>
    </row>
    <row r="552">
      <c r="A552" t="n">
        <v>13</v>
      </c>
      <c r="B552" t="n">
        <v>42</v>
      </c>
      <c r="C552">
        <f>SQRT((Scale_PCA_Mechanics!G14-Scale_PCA_Mechanics!G43)^2+(Scale_PCA_Mechanics!H14-Scale_PCA_Mechanics!H43)^2+(Scale_PCA_Mechanics!I14-Scale_PCA_Mechanics!I43)^2+(Scale_PCA_Mechanics!J14-Scale_PCA_Mechanics!J43)^2)</f>
        <v/>
      </c>
      <c r="D552">
        <f>INDEX(KMeans_6_2!AA2:AA51,A552)</f>
        <v/>
      </c>
      <c r="E552">
        <f>INDEX(KMeans_6_2!AA2:AA51,B552)</f>
        <v/>
      </c>
      <c r="O552">
        <f>IF(OR(AND(D552=1,E552=2),AND(D552=2,E552=1)),C552,"")</f>
        <v/>
      </c>
      <c r="P552">
        <f>IF(OR(AND(D552=1,E552=3),AND(D552=3,E552=1)),C552,"")</f>
        <v/>
      </c>
      <c r="Q552">
        <f>IF(OR(AND(D552=2,E552=3),AND(D552=3,E552=2)),C552,"")</f>
        <v/>
      </c>
    </row>
    <row r="553">
      <c r="A553" t="n">
        <v>13</v>
      </c>
      <c r="B553" t="n">
        <v>43</v>
      </c>
      <c r="C553">
        <f>SQRT((Scale_PCA_Mechanics!G14-Scale_PCA_Mechanics!G44)^2+(Scale_PCA_Mechanics!H14-Scale_PCA_Mechanics!H44)^2+(Scale_PCA_Mechanics!I14-Scale_PCA_Mechanics!I44)^2+(Scale_PCA_Mechanics!J14-Scale_PCA_Mechanics!J44)^2)</f>
        <v/>
      </c>
      <c r="D553">
        <f>INDEX(KMeans_6_2!AA2:AA51,A553)</f>
        <v/>
      </c>
      <c r="E553">
        <f>INDEX(KMeans_6_2!AA2:AA51,B553)</f>
        <v/>
      </c>
      <c r="O553">
        <f>IF(OR(AND(D553=1,E553=2),AND(D553=2,E553=1)),C553,"")</f>
        <v/>
      </c>
      <c r="P553">
        <f>IF(OR(AND(D553=1,E553=3),AND(D553=3,E553=1)),C553,"")</f>
        <v/>
      </c>
      <c r="Q553">
        <f>IF(OR(AND(D553=2,E553=3),AND(D553=3,E553=2)),C553,"")</f>
        <v/>
      </c>
    </row>
    <row r="554">
      <c r="A554" t="n">
        <v>13</v>
      </c>
      <c r="B554" t="n">
        <v>44</v>
      </c>
      <c r="C554">
        <f>SQRT((Scale_PCA_Mechanics!G14-Scale_PCA_Mechanics!G45)^2+(Scale_PCA_Mechanics!H14-Scale_PCA_Mechanics!H45)^2+(Scale_PCA_Mechanics!I14-Scale_PCA_Mechanics!I45)^2+(Scale_PCA_Mechanics!J14-Scale_PCA_Mechanics!J45)^2)</f>
        <v/>
      </c>
      <c r="D554">
        <f>INDEX(KMeans_6_2!AA2:AA51,A554)</f>
        <v/>
      </c>
      <c r="E554">
        <f>INDEX(KMeans_6_2!AA2:AA51,B554)</f>
        <v/>
      </c>
      <c r="O554">
        <f>IF(OR(AND(D554=1,E554=2),AND(D554=2,E554=1)),C554,"")</f>
        <v/>
      </c>
      <c r="P554">
        <f>IF(OR(AND(D554=1,E554=3),AND(D554=3,E554=1)),C554,"")</f>
        <v/>
      </c>
      <c r="Q554">
        <f>IF(OR(AND(D554=2,E554=3),AND(D554=3,E554=2)),C554,"")</f>
        <v/>
      </c>
    </row>
    <row r="555">
      <c r="A555" t="n">
        <v>13</v>
      </c>
      <c r="B555" t="n">
        <v>45</v>
      </c>
      <c r="C555">
        <f>SQRT((Scale_PCA_Mechanics!G14-Scale_PCA_Mechanics!G46)^2+(Scale_PCA_Mechanics!H14-Scale_PCA_Mechanics!H46)^2+(Scale_PCA_Mechanics!I14-Scale_PCA_Mechanics!I46)^2+(Scale_PCA_Mechanics!J14-Scale_PCA_Mechanics!J46)^2)</f>
        <v/>
      </c>
      <c r="D555">
        <f>INDEX(KMeans_6_2!AA2:AA51,A555)</f>
        <v/>
      </c>
      <c r="E555">
        <f>INDEX(KMeans_6_2!AA2:AA51,B555)</f>
        <v/>
      </c>
      <c r="O555">
        <f>IF(OR(AND(D555=1,E555=2),AND(D555=2,E555=1)),C555,"")</f>
        <v/>
      </c>
      <c r="P555">
        <f>IF(OR(AND(D555=1,E555=3),AND(D555=3,E555=1)),C555,"")</f>
        <v/>
      </c>
      <c r="Q555">
        <f>IF(OR(AND(D555=2,E555=3),AND(D555=3,E555=2)),C555,"")</f>
        <v/>
      </c>
    </row>
    <row r="556">
      <c r="A556" t="n">
        <v>13</v>
      </c>
      <c r="B556" t="n">
        <v>46</v>
      </c>
      <c r="C556">
        <f>SQRT((Scale_PCA_Mechanics!G14-Scale_PCA_Mechanics!G47)^2+(Scale_PCA_Mechanics!H14-Scale_PCA_Mechanics!H47)^2+(Scale_PCA_Mechanics!I14-Scale_PCA_Mechanics!I47)^2+(Scale_PCA_Mechanics!J14-Scale_PCA_Mechanics!J47)^2)</f>
        <v/>
      </c>
      <c r="D556">
        <f>INDEX(KMeans_6_2!AA2:AA51,A556)</f>
        <v/>
      </c>
      <c r="E556">
        <f>INDEX(KMeans_6_2!AA2:AA51,B556)</f>
        <v/>
      </c>
      <c r="O556">
        <f>IF(OR(AND(D556=1,E556=2),AND(D556=2,E556=1)),C556,"")</f>
        <v/>
      </c>
      <c r="P556">
        <f>IF(OR(AND(D556=1,E556=3),AND(D556=3,E556=1)),C556,"")</f>
        <v/>
      </c>
      <c r="Q556">
        <f>IF(OR(AND(D556=2,E556=3),AND(D556=3,E556=2)),C556,"")</f>
        <v/>
      </c>
    </row>
    <row r="557">
      <c r="A557" t="n">
        <v>13</v>
      </c>
      <c r="B557" t="n">
        <v>47</v>
      </c>
      <c r="C557">
        <f>SQRT((Scale_PCA_Mechanics!G14-Scale_PCA_Mechanics!G48)^2+(Scale_PCA_Mechanics!H14-Scale_PCA_Mechanics!H48)^2+(Scale_PCA_Mechanics!I14-Scale_PCA_Mechanics!I48)^2+(Scale_PCA_Mechanics!J14-Scale_PCA_Mechanics!J48)^2)</f>
        <v/>
      </c>
      <c r="D557">
        <f>INDEX(KMeans_6_2!AA2:AA51,A557)</f>
        <v/>
      </c>
      <c r="E557">
        <f>INDEX(KMeans_6_2!AA2:AA51,B557)</f>
        <v/>
      </c>
      <c r="O557">
        <f>IF(OR(AND(D557=1,E557=2),AND(D557=2,E557=1)),C557,"")</f>
        <v/>
      </c>
      <c r="P557">
        <f>IF(OR(AND(D557=1,E557=3),AND(D557=3,E557=1)),C557,"")</f>
        <v/>
      </c>
      <c r="Q557">
        <f>IF(OR(AND(D557=2,E557=3),AND(D557=3,E557=2)),C557,"")</f>
        <v/>
      </c>
    </row>
    <row r="558">
      <c r="A558" t="n">
        <v>13</v>
      </c>
      <c r="B558" t="n">
        <v>48</v>
      </c>
      <c r="C558">
        <f>SQRT((Scale_PCA_Mechanics!G14-Scale_PCA_Mechanics!G49)^2+(Scale_PCA_Mechanics!H14-Scale_PCA_Mechanics!H49)^2+(Scale_PCA_Mechanics!I14-Scale_PCA_Mechanics!I49)^2+(Scale_PCA_Mechanics!J14-Scale_PCA_Mechanics!J49)^2)</f>
        <v/>
      </c>
      <c r="D558">
        <f>INDEX(KMeans_6_2!AA2:AA51,A558)</f>
        <v/>
      </c>
      <c r="E558">
        <f>INDEX(KMeans_6_2!AA2:AA51,B558)</f>
        <v/>
      </c>
      <c r="O558">
        <f>IF(OR(AND(D558=1,E558=2),AND(D558=2,E558=1)),C558,"")</f>
        <v/>
      </c>
      <c r="P558">
        <f>IF(OR(AND(D558=1,E558=3),AND(D558=3,E558=1)),C558,"")</f>
        <v/>
      </c>
      <c r="Q558">
        <f>IF(OR(AND(D558=2,E558=3),AND(D558=3,E558=2)),C558,"")</f>
        <v/>
      </c>
    </row>
    <row r="559">
      <c r="A559" t="n">
        <v>13</v>
      </c>
      <c r="B559" t="n">
        <v>49</v>
      </c>
      <c r="C559">
        <f>SQRT((Scale_PCA_Mechanics!G14-Scale_PCA_Mechanics!G50)^2+(Scale_PCA_Mechanics!H14-Scale_PCA_Mechanics!H50)^2+(Scale_PCA_Mechanics!I14-Scale_PCA_Mechanics!I50)^2+(Scale_PCA_Mechanics!J14-Scale_PCA_Mechanics!J50)^2)</f>
        <v/>
      </c>
      <c r="D559">
        <f>INDEX(KMeans_6_2!AA2:AA51,A559)</f>
        <v/>
      </c>
      <c r="E559">
        <f>INDEX(KMeans_6_2!AA2:AA51,B559)</f>
        <v/>
      </c>
      <c r="O559">
        <f>IF(OR(AND(D559=1,E559=2),AND(D559=2,E559=1)),C559,"")</f>
        <v/>
      </c>
      <c r="P559">
        <f>IF(OR(AND(D559=1,E559=3),AND(D559=3,E559=1)),C559,"")</f>
        <v/>
      </c>
      <c r="Q559">
        <f>IF(OR(AND(D559=2,E559=3),AND(D559=3,E559=2)),C559,"")</f>
        <v/>
      </c>
    </row>
    <row r="560">
      <c r="A560" t="n">
        <v>13</v>
      </c>
      <c r="B560" t="n">
        <v>50</v>
      </c>
      <c r="C560">
        <f>SQRT((Scale_PCA_Mechanics!G14-Scale_PCA_Mechanics!G51)^2+(Scale_PCA_Mechanics!H14-Scale_PCA_Mechanics!H51)^2+(Scale_PCA_Mechanics!I14-Scale_PCA_Mechanics!I51)^2+(Scale_PCA_Mechanics!J14-Scale_PCA_Mechanics!J51)^2)</f>
        <v/>
      </c>
      <c r="D560">
        <f>INDEX(KMeans_6_2!AA2:AA51,A560)</f>
        <v/>
      </c>
      <c r="E560">
        <f>INDEX(KMeans_6_2!AA2:AA51,B560)</f>
        <v/>
      </c>
      <c r="O560">
        <f>IF(OR(AND(D560=1,E560=2),AND(D560=2,E560=1)),C560,"")</f>
        <v/>
      </c>
      <c r="P560">
        <f>IF(OR(AND(D560=1,E560=3),AND(D560=3,E560=1)),C560,"")</f>
        <v/>
      </c>
      <c r="Q560">
        <f>IF(OR(AND(D560=2,E560=3),AND(D560=3,E560=2)),C560,"")</f>
        <v/>
      </c>
    </row>
    <row r="561">
      <c r="A561" t="n">
        <v>14</v>
      </c>
      <c r="B561" t="n">
        <v>15</v>
      </c>
      <c r="C561">
        <f>SQRT((Scale_PCA_Mechanics!G15-Scale_PCA_Mechanics!G16)^2+(Scale_PCA_Mechanics!H15-Scale_PCA_Mechanics!H16)^2+(Scale_PCA_Mechanics!I15-Scale_PCA_Mechanics!I16)^2+(Scale_PCA_Mechanics!J15-Scale_PCA_Mechanics!J16)^2)</f>
        <v/>
      </c>
      <c r="D561">
        <f>INDEX(KMeans_6_2!AA2:AA51,A561)</f>
        <v/>
      </c>
      <c r="E561">
        <f>INDEX(KMeans_6_2!AA2:AA51,B561)</f>
        <v/>
      </c>
      <c r="O561">
        <f>IF(OR(AND(D561=1,E561=2),AND(D561=2,E561=1)),C561,"")</f>
        <v/>
      </c>
      <c r="P561">
        <f>IF(OR(AND(D561=1,E561=3),AND(D561=3,E561=1)),C561,"")</f>
        <v/>
      </c>
      <c r="Q561">
        <f>IF(OR(AND(D561=2,E561=3),AND(D561=3,E561=2)),C561,"")</f>
        <v/>
      </c>
    </row>
    <row r="562">
      <c r="A562" t="n">
        <v>14</v>
      </c>
      <c r="B562" t="n">
        <v>16</v>
      </c>
      <c r="C562">
        <f>SQRT((Scale_PCA_Mechanics!G15-Scale_PCA_Mechanics!G17)^2+(Scale_PCA_Mechanics!H15-Scale_PCA_Mechanics!H17)^2+(Scale_PCA_Mechanics!I15-Scale_PCA_Mechanics!I17)^2+(Scale_PCA_Mechanics!J15-Scale_PCA_Mechanics!J17)^2)</f>
        <v/>
      </c>
      <c r="D562">
        <f>INDEX(KMeans_6_2!AA2:AA51,A562)</f>
        <v/>
      </c>
      <c r="E562">
        <f>INDEX(KMeans_6_2!AA2:AA51,B562)</f>
        <v/>
      </c>
      <c r="O562">
        <f>IF(OR(AND(D562=1,E562=2),AND(D562=2,E562=1)),C562,"")</f>
        <v/>
      </c>
      <c r="P562">
        <f>IF(OR(AND(D562=1,E562=3),AND(D562=3,E562=1)),C562,"")</f>
        <v/>
      </c>
      <c r="Q562">
        <f>IF(OR(AND(D562=2,E562=3),AND(D562=3,E562=2)),C562,"")</f>
        <v/>
      </c>
    </row>
    <row r="563">
      <c r="A563" t="n">
        <v>14</v>
      </c>
      <c r="B563" t="n">
        <v>17</v>
      </c>
      <c r="C563">
        <f>SQRT((Scale_PCA_Mechanics!G15-Scale_PCA_Mechanics!G18)^2+(Scale_PCA_Mechanics!H15-Scale_PCA_Mechanics!H18)^2+(Scale_PCA_Mechanics!I15-Scale_PCA_Mechanics!I18)^2+(Scale_PCA_Mechanics!J15-Scale_PCA_Mechanics!J18)^2)</f>
        <v/>
      </c>
      <c r="D563">
        <f>INDEX(KMeans_6_2!AA2:AA51,A563)</f>
        <v/>
      </c>
      <c r="E563">
        <f>INDEX(KMeans_6_2!AA2:AA51,B563)</f>
        <v/>
      </c>
      <c r="O563">
        <f>IF(OR(AND(D563=1,E563=2),AND(D563=2,E563=1)),C563,"")</f>
        <v/>
      </c>
      <c r="P563">
        <f>IF(OR(AND(D563=1,E563=3),AND(D563=3,E563=1)),C563,"")</f>
        <v/>
      </c>
      <c r="Q563">
        <f>IF(OR(AND(D563=2,E563=3),AND(D563=3,E563=2)),C563,"")</f>
        <v/>
      </c>
    </row>
    <row r="564">
      <c r="A564" t="n">
        <v>14</v>
      </c>
      <c r="B564" t="n">
        <v>18</v>
      </c>
      <c r="C564">
        <f>SQRT((Scale_PCA_Mechanics!G15-Scale_PCA_Mechanics!G19)^2+(Scale_PCA_Mechanics!H15-Scale_PCA_Mechanics!H19)^2+(Scale_PCA_Mechanics!I15-Scale_PCA_Mechanics!I19)^2+(Scale_PCA_Mechanics!J15-Scale_PCA_Mechanics!J19)^2)</f>
        <v/>
      </c>
      <c r="D564">
        <f>INDEX(KMeans_6_2!AA2:AA51,A564)</f>
        <v/>
      </c>
      <c r="E564">
        <f>INDEX(KMeans_6_2!AA2:AA51,B564)</f>
        <v/>
      </c>
      <c r="O564">
        <f>IF(OR(AND(D564=1,E564=2),AND(D564=2,E564=1)),C564,"")</f>
        <v/>
      </c>
      <c r="P564">
        <f>IF(OR(AND(D564=1,E564=3),AND(D564=3,E564=1)),C564,"")</f>
        <v/>
      </c>
      <c r="Q564">
        <f>IF(OR(AND(D564=2,E564=3),AND(D564=3,E564=2)),C564,"")</f>
        <v/>
      </c>
    </row>
    <row r="565">
      <c r="A565" t="n">
        <v>14</v>
      </c>
      <c r="B565" t="n">
        <v>19</v>
      </c>
      <c r="C565">
        <f>SQRT((Scale_PCA_Mechanics!G15-Scale_PCA_Mechanics!G20)^2+(Scale_PCA_Mechanics!H15-Scale_PCA_Mechanics!H20)^2+(Scale_PCA_Mechanics!I15-Scale_PCA_Mechanics!I20)^2+(Scale_PCA_Mechanics!J15-Scale_PCA_Mechanics!J20)^2)</f>
        <v/>
      </c>
      <c r="D565">
        <f>INDEX(KMeans_6_2!AA2:AA51,A565)</f>
        <v/>
      </c>
      <c r="E565">
        <f>INDEX(KMeans_6_2!AA2:AA51,B565)</f>
        <v/>
      </c>
      <c r="O565">
        <f>IF(OR(AND(D565=1,E565=2),AND(D565=2,E565=1)),C565,"")</f>
        <v/>
      </c>
      <c r="P565">
        <f>IF(OR(AND(D565=1,E565=3),AND(D565=3,E565=1)),C565,"")</f>
        <v/>
      </c>
      <c r="Q565">
        <f>IF(OR(AND(D565=2,E565=3),AND(D565=3,E565=2)),C565,"")</f>
        <v/>
      </c>
    </row>
    <row r="566">
      <c r="A566" t="n">
        <v>14</v>
      </c>
      <c r="B566" t="n">
        <v>20</v>
      </c>
      <c r="C566">
        <f>SQRT((Scale_PCA_Mechanics!G15-Scale_PCA_Mechanics!G21)^2+(Scale_PCA_Mechanics!H15-Scale_PCA_Mechanics!H21)^2+(Scale_PCA_Mechanics!I15-Scale_PCA_Mechanics!I21)^2+(Scale_PCA_Mechanics!J15-Scale_PCA_Mechanics!J21)^2)</f>
        <v/>
      </c>
      <c r="D566">
        <f>INDEX(KMeans_6_2!AA2:AA51,A566)</f>
        <v/>
      </c>
      <c r="E566">
        <f>INDEX(KMeans_6_2!AA2:AA51,B566)</f>
        <v/>
      </c>
      <c r="O566">
        <f>IF(OR(AND(D566=1,E566=2),AND(D566=2,E566=1)),C566,"")</f>
        <v/>
      </c>
      <c r="P566">
        <f>IF(OR(AND(D566=1,E566=3),AND(D566=3,E566=1)),C566,"")</f>
        <v/>
      </c>
      <c r="Q566">
        <f>IF(OR(AND(D566=2,E566=3),AND(D566=3,E566=2)),C566,"")</f>
        <v/>
      </c>
    </row>
    <row r="567">
      <c r="A567" t="n">
        <v>14</v>
      </c>
      <c r="B567" t="n">
        <v>21</v>
      </c>
      <c r="C567">
        <f>SQRT((Scale_PCA_Mechanics!G15-Scale_PCA_Mechanics!G22)^2+(Scale_PCA_Mechanics!H15-Scale_PCA_Mechanics!H22)^2+(Scale_PCA_Mechanics!I15-Scale_PCA_Mechanics!I22)^2+(Scale_PCA_Mechanics!J15-Scale_PCA_Mechanics!J22)^2)</f>
        <v/>
      </c>
      <c r="D567">
        <f>INDEX(KMeans_6_2!AA2:AA51,A567)</f>
        <v/>
      </c>
      <c r="E567">
        <f>INDEX(KMeans_6_2!AA2:AA51,B567)</f>
        <v/>
      </c>
      <c r="O567">
        <f>IF(OR(AND(D567=1,E567=2),AND(D567=2,E567=1)),C567,"")</f>
        <v/>
      </c>
      <c r="P567">
        <f>IF(OR(AND(D567=1,E567=3),AND(D567=3,E567=1)),C567,"")</f>
        <v/>
      </c>
      <c r="Q567">
        <f>IF(OR(AND(D567=2,E567=3),AND(D567=3,E567=2)),C567,"")</f>
        <v/>
      </c>
    </row>
    <row r="568">
      <c r="A568" t="n">
        <v>14</v>
      </c>
      <c r="B568" t="n">
        <v>22</v>
      </c>
      <c r="C568">
        <f>SQRT((Scale_PCA_Mechanics!G15-Scale_PCA_Mechanics!G23)^2+(Scale_PCA_Mechanics!H15-Scale_PCA_Mechanics!H23)^2+(Scale_PCA_Mechanics!I15-Scale_PCA_Mechanics!I23)^2+(Scale_PCA_Mechanics!J15-Scale_PCA_Mechanics!J23)^2)</f>
        <v/>
      </c>
      <c r="D568">
        <f>INDEX(KMeans_6_2!AA2:AA51,A568)</f>
        <v/>
      </c>
      <c r="E568">
        <f>INDEX(KMeans_6_2!AA2:AA51,B568)</f>
        <v/>
      </c>
      <c r="O568">
        <f>IF(OR(AND(D568=1,E568=2),AND(D568=2,E568=1)),C568,"")</f>
        <v/>
      </c>
      <c r="P568">
        <f>IF(OR(AND(D568=1,E568=3),AND(D568=3,E568=1)),C568,"")</f>
        <v/>
      </c>
      <c r="Q568">
        <f>IF(OR(AND(D568=2,E568=3),AND(D568=3,E568=2)),C568,"")</f>
        <v/>
      </c>
    </row>
    <row r="569">
      <c r="A569" t="n">
        <v>14</v>
      </c>
      <c r="B569" t="n">
        <v>23</v>
      </c>
      <c r="C569">
        <f>SQRT((Scale_PCA_Mechanics!G15-Scale_PCA_Mechanics!G24)^2+(Scale_PCA_Mechanics!H15-Scale_PCA_Mechanics!H24)^2+(Scale_PCA_Mechanics!I15-Scale_PCA_Mechanics!I24)^2+(Scale_PCA_Mechanics!J15-Scale_PCA_Mechanics!J24)^2)</f>
        <v/>
      </c>
      <c r="D569">
        <f>INDEX(KMeans_6_2!AA2:AA51,A569)</f>
        <v/>
      </c>
      <c r="E569">
        <f>INDEX(KMeans_6_2!AA2:AA51,B569)</f>
        <v/>
      </c>
      <c r="O569">
        <f>IF(OR(AND(D569=1,E569=2),AND(D569=2,E569=1)),C569,"")</f>
        <v/>
      </c>
      <c r="P569">
        <f>IF(OR(AND(D569=1,E569=3),AND(D569=3,E569=1)),C569,"")</f>
        <v/>
      </c>
      <c r="Q569">
        <f>IF(OR(AND(D569=2,E569=3),AND(D569=3,E569=2)),C569,"")</f>
        <v/>
      </c>
    </row>
    <row r="570">
      <c r="A570" t="n">
        <v>14</v>
      </c>
      <c r="B570" t="n">
        <v>24</v>
      </c>
      <c r="C570">
        <f>SQRT((Scale_PCA_Mechanics!G15-Scale_PCA_Mechanics!G25)^2+(Scale_PCA_Mechanics!H15-Scale_PCA_Mechanics!H25)^2+(Scale_PCA_Mechanics!I15-Scale_PCA_Mechanics!I25)^2+(Scale_PCA_Mechanics!J15-Scale_PCA_Mechanics!J25)^2)</f>
        <v/>
      </c>
      <c r="D570">
        <f>INDEX(KMeans_6_2!AA2:AA51,A570)</f>
        <v/>
      </c>
      <c r="E570">
        <f>INDEX(KMeans_6_2!AA2:AA51,B570)</f>
        <v/>
      </c>
      <c r="O570">
        <f>IF(OR(AND(D570=1,E570=2),AND(D570=2,E570=1)),C570,"")</f>
        <v/>
      </c>
      <c r="P570">
        <f>IF(OR(AND(D570=1,E570=3),AND(D570=3,E570=1)),C570,"")</f>
        <v/>
      </c>
      <c r="Q570">
        <f>IF(OR(AND(D570=2,E570=3),AND(D570=3,E570=2)),C570,"")</f>
        <v/>
      </c>
    </row>
    <row r="571">
      <c r="A571" t="n">
        <v>14</v>
      </c>
      <c r="B571" t="n">
        <v>25</v>
      </c>
      <c r="C571">
        <f>SQRT((Scale_PCA_Mechanics!G15-Scale_PCA_Mechanics!G26)^2+(Scale_PCA_Mechanics!H15-Scale_PCA_Mechanics!H26)^2+(Scale_PCA_Mechanics!I15-Scale_PCA_Mechanics!I26)^2+(Scale_PCA_Mechanics!J15-Scale_PCA_Mechanics!J26)^2)</f>
        <v/>
      </c>
      <c r="D571">
        <f>INDEX(KMeans_6_2!AA2:AA51,A571)</f>
        <v/>
      </c>
      <c r="E571">
        <f>INDEX(KMeans_6_2!AA2:AA51,B571)</f>
        <v/>
      </c>
      <c r="O571">
        <f>IF(OR(AND(D571=1,E571=2),AND(D571=2,E571=1)),C571,"")</f>
        <v/>
      </c>
      <c r="P571">
        <f>IF(OR(AND(D571=1,E571=3),AND(D571=3,E571=1)),C571,"")</f>
        <v/>
      </c>
      <c r="Q571">
        <f>IF(OR(AND(D571=2,E571=3),AND(D571=3,E571=2)),C571,"")</f>
        <v/>
      </c>
    </row>
    <row r="572">
      <c r="A572" t="n">
        <v>14</v>
      </c>
      <c r="B572" t="n">
        <v>26</v>
      </c>
      <c r="C572">
        <f>SQRT((Scale_PCA_Mechanics!G15-Scale_PCA_Mechanics!G27)^2+(Scale_PCA_Mechanics!H15-Scale_PCA_Mechanics!H27)^2+(Scale_PCA_Mechanics!I15-Scale_PCA_Mechanics!I27)^2+(Scale_PCA_Mechanics!J15-Scale_PCA_Mechanics!J27)^2)</f>
        <v/>
      </c>
      <c r="D572">
        <f>INDEX(KMeans_6_2!AA2:AA51,A572)</f>
        <v/>
      </c>
      <c r="E572">
        <f>INDEX(KMeans_6_2!AA2:AA51,B572)</f>
        <v/>
      </c>
      <c r="O572">
        <f>IF(OR(AND(D572=1,E572=2),AND(D572=2,E572=1)),C572,"")</f>
        <v/>
      </c>
      <c r="P572">
        <f>IF(OR(AND(D572=1,E572=3),AND(D572=3,E572=1)),C572,"")</f>
        <v/>
      </c>
      <c r="Q572">
        <f>IF(OR(AND(D572=2,E572=3),AND(D572=3,E572=2)),C572,"")</f>
        <v/>
      </c>
    </row>
    <row r="573">
      <c r="A573" t="n">
        <v>14</v>
      </c>
      <c r="B573" t="n">
        <v>27</v>
      </c>
      <c r="C573">
        <f>SQRT((Scale_PCA_Mechanics!G15-Scale_PCA_Mechanics!G28)^2+(Scale_PCA_Mechanics!H15-Scale_PCA_Mechanics!H28)^2+(Scale_PCA_Mechanics!I15-Scale_PCA_Mechanics!I28)^2+(Scale_PCA_Mechanics!J15-Scale_PCA_Mechanics!J28)^2)</f>
        <v/>
      </c>
      <c r="D573">
        <f>INDEX(KMeans_6_2!AA2:AA51,A573)</f>
        <v/>
      </c>
      <c r="E573">
        <f>INDEX(KMeans_6_2!AA2:AA51,B573)</f>
        <v/>
      </c>
      <c r="O573">
        <f>IF(OR(AND(D573=1,E573=2),AND(D573=2,E573=1)),C573,"")</f>
        <v/>
      </c>
      <c r="P573">
        <f>IF(OR(AND(D573=1,E573=3),AND(D573=3,E573=1)),C573,"")</f>
        <v/>
      </c>
      <c r="Q573">
        <f>IF(OR(AND(D573=2,E573=3),AND(D573=3,E573=2)),C573,"")</f>
        <v/>
      </c>
    </row>
    <row r="574">
      <c r="A574" t="n">
        <v>14</v>
      </c>
      <c r="B574" t="n">
        <v>28</v>
      </c>
      <c r="C574">
        <f>SQRT((Scale_PCA_Mechanics!G15-Scale_PCA_Mechanics!G29)^2+(Scale_PCA_Mechanics!H15-Scale_PCA_Mechanics!H29)^2+(Scale_PCA_Mechanics!I15-Scale_PCA_Mechanics!I29)^2+(Scale_PCA_Mechanics!J15-Scale_PCA_Mechanics!J29)^2)</f>
        <v/>
      </c>
      <c r="D574">
        <f>INDEX(KMeans_6_2!AA2:AA51,A574)</f>
        <v/>
      </c>
      <c r="E574">
        <f>INDEX(KMeans_6_2!AA2:AA51,B574)</f>
        <v/>
      </c>
      <c r="O574">
        <f>IF(OR(AND(D574=1,E574=2),AND(D574=2,E574=1)),C574,"")</f>
        <v/>
      </c>
      <c r="P574">
        <f>IF(OR(AND(D574=1,E574=3),AND(D574=3,E574=1)),C574,"")</f>
        <v/>
      </c>
      <c r="Q574">
        <f>IF(OR(AND(D574=2,E574=3),AND(D574=3,E574=2)),C574,"")</f>
        <v/>
      </c>
    </row>
    <row r="575">
      <c r="A575" t="n">
        <v>14</v>
      </c>
      <c r="B575" t="n">
        <v>29</v>
      </c>
      <c r="C575">
        <f>SQRT((Scale_PCA_Mechanics!G15-Scale_PCA_Mechanics!G30)^2+(Scale_PCA_Mechanics!H15-Scale_PCA_Mechanics!H30)^2+(Scale_PCA_Mechanics!I15-Scale_PCA_Mechanics!I30)^2+(Scale_PCA_Mechanics!J15-Scale_PCA_Mechanics!J30)^2)</f>
        <v/>
      </c>
      <c r="D575">
        <f>INDEX(KMeans_6_2!AA2:AA51,A575)</f>
        <v/>
      </c>
      <c r="E575">
        <f>INDEX(KMeans_6_2!AA2:AA51,B575)</f>
        <v/>
      </c>
      <c r="O575">
        <f>IF(OR(AND(D575=1,E575=2),AND(D575=2,E575=1)),C575,"")</f>
        <v/>
      </c>
      <c r="P575">
        <f>IF(OR(AND(D575=1,E575=3),AND(D575=3,E575=1)),C575,"")</f>
        <v/>
      </c>
      <c r="Q575">
        <f>IF(OR(AND(D575=2,E575=3),AND(D575=3,E575=2)),C575,"")</f>
        <v/>
      </c>
    </row>
    <row r="576">
      <c r="A576" t="n">
        <v>14</v>
      </c>
      <c r="B576" t="n">
        <v>30</v>
      </c>
      <c r="C576">
        <f>SQRT((Scale_PCA_Mechanics!G15-Scale_PCA_Mechanics!G31)^2+(Scale_PCA_Mechanics!H15-Scale_PCA_Mechanics!H31)^2+(Scale_PCA_Mechanics!I15-Scale_PCA_Mechanics!I31)^2+(Scale_PCA_Mechanics!J15-Scale_PCA_Mechanics!J31)^2)</f>
        <v/>
      </c>
      <c r="D576">
        <f>INDEX(KMeans_6_2!AA2:AA51,A576)</f>
        <v/>
      </c>
      <c r="E576">
        <f>INDEX(KMeans_6_2!AA2:AA51,B576)</f>
        <v/>
      </c>
      <c r="O576">
        <f>IF(OR(AND(D576=1,E576=2),AND(D576=2,E576=1)),C576,"")</f>
        <v/>
      </c>
      <c r="P576">
        <f>IF(OR(AND(D576=1,E576=3),AND(D576=3,E576=1)),C576,"")</f>
        <v/>
      </c>
      <c r="Q576">
        <f>IF(OR(AND(D576=2,E576=3),AND(D576=3,E576=2)),C576,"")</f>
        <v/>
      </c>
    </row>
    <row r="577">
      <c r="A577" t="n">
        <v>14</v>
      </c>
      <c r="B577" t="n">
        <v>31</v>
      </c>
      <c r="C577">
        <f>SQRT((Scale_PCA_Mechanics!G15-Scale_PCA_Mechanics!G32)^2+(Scale_PCA_Mechanics!H15-Scale_PCA_Mechanics!H32)^2+(Scale_PCA_Mechanics!I15-Scale_PCA_Mechanics!I32)^2+(Scale_PCA_Mechanics!J15-Scale_PCA_Mechanics!J32)^2)</f>
        <v/>
      </c>
      <c r="D577">
        <f>INDEX(KMeans_6_2!AA2:AA51,A577)</f>
        <v/>
      </c>
      <c r="E577">
        <f>INDEX(KMeans_6_2!AA2:AA51,B577)</f>
        <v/>
      </c>
      <c r="O577">
        <f>IF(OR(AND(D577=1,E577=2),AND(D577=2,E577=1)),C577,"")</f>
        <v/>
      </c>
      <c r="P577">
        <f>IF(OR(AND(D577=1,E577=3),AND(D577=3,E577=1)),C577,"")</f>
        <v/>
      </c>
      <c r="Q577">
        <f>IF(OR(AND(D577=2,E577=3),AND(D577=3,E577=2)),C577,"")</f>
        <v/>
      </c>
    </row>
    <row r="578">
      <c r="A578" t="n">
        <v>14</v>
      </c>
      <c r="B578" t="n">
        <v>32</v>
      </c>
      <c r="C578">
        <f>SQRT((Scale_PCA_Mechanics!G15-Scale_PCA_Mechanics!G33)^2+(Scale_PCA_Mechanics!H15-Scale_PCA_Mechanics!H33)^2+(Scale_PCA_Mechanics!I15-Scale_PCA_Mechanics!I33)^2+(Scale_PCA_Mechanics!J15-Scale_PCA_Mechanics!J33)^2)</f>
        <v/>
      </c>
      <c r="D578">
        <f>INDEX(KMeans_6_2!AA2:AA51,A578)</f>
        <v/>
      </c>
      <c r="E578">
        <f>INDEX(KMeans_6_2!AA2:AA51,B578)</f>
        <v/>
      </c>
      <c r="O578">
        <f>IF(OR(AND(D578=1,E578=2),AND(D578=2,E578=1)),C578,"")</f>
        <v/>
      </c>
      <c r="P578">
        <f>IF(OR(AND(D578=1,E578=3),AND(D578=3,E578=1)),C578,"")</f>
        <v/>
      </c>
      <c r="Q578">
        <f>IF(OR(AND(D578=2,E578=3),AND(D578=3,E578=2)),C578,"")</f>
        <v/>
      </c>
    </row>
    <row r="579">
      <c r="A579" t="n">
        <v>14</v>
      </c>
      <c r="B579" t="n">
        <v>33</v>
      </c>
      <c r="C579">
        <f>SQRT((Scale_PCA_Mechanics!G15-Scale_PCA_Mechanics!G34)^2+(Scale_PCA_Mechanics!H15-Scale_PCA_Mechanics!H34)^2+(Scale_PCA_Mechanics!I15-Scale_PCA_Mechanics!I34)^2+(Scale_PCA_Mechanics!J15-Scale_PCA_Mechanics!J34)^2)</f>
        <v/>
      </c>
      <c r="D579">
        <f>INDEX(KMeans_6_2!AA2:AA51,A579)</f>
        <v/>
      </c>
      <c r="E579">
        <f>INDEX(KMeans_6_2!AA2:AA51,B579)</f>
        <v/>
      </c>
      <c r="O579">
        <f>IF(OR(AND(D579=1,E579=2),AND(D579=2,E579=1)),C579,"")</f>
        <v/>
      </c>
      <c r="P579">
        <f>IF(OR(AND(D579=1,E579=3),AND(D579=3,E579=1)),C579,"")</f>
        <v/>
      </c>
      <c r="Q579">
        <f>IF(OR(AND(D579=2,E579=3),AND(D579=3,E579=2)),C579,"")</f>
        <v/>
      </c>
    </row>
    <row r="580">
      <c r="A580" t="n">
        <v>14</v>
      </c>
      <c r="B580" t="n">
        <v>34</v>
      </c>
      <c r="C580">
        <f>SQRT((Scale_PCA_Mechanics!G15-Scale_PCA_Mechanics!G35)^2+(Scale_PCA_Mechanics!H15-Scale_PCA_Mechanics!H35)^2+(Scale_PCA_Mechanics!I15-Scale_PCA_Mechanics!I35)^2+(Scale_PCA_Mechanics!J15-Scale_PCA_Mechanics!J35)^2)</f>
        <v/>
      </c>
      <c r="D580">
        <f>INDEX(KMeans_6_2!AA2:AA51,A580)</f>
        <v/>
      </c>
      <c r="E580">
        <f>INDEX(KMeans_6_2!AA2:AA51,B580)</f>
        <v/>
      </c>
      <c r="O580">
        <f>IF(OR(AND(D580=1,E580=2),AND(D580=2,E580=1)),C580,"")</f>
        <v/>
      </c>
      <c r="P580">
        <f>IF(OR(AND(D580=1,E580=3),AND(D580=3,E580=1)),C580,"")</f>
        <v/>
      </c>
      <c r="Q580">
        <f>IF(OR(AND(D580=2,E580=3),AND(D580=3,E580=2)),C580,"")</f>
        <v/>
      </c>
    </row>
    <row r="581">
      <c r="A581" t="n">
        <v>14</v>
      </c>
      <c r="B581" t="n">
        <v>35</v>
      </c>
      <c r="C581">
        <f>SQRT((Scale_PCA_Mechanics!G15-Scale_PCA_Mechanics!G36)^2+(Scale_PCA_Mechanics!H15-Scale_PCA_Mechanics!H36)^2+(Scale_PCA_Mechanics!I15-Scale_PCA_Mechanics!I36)^2+(Scale_PCA_Mechanics!J15-Scale_PCA_Mechanics!J36)^2)</f>
        <v/>
      </c>
      <c r="D581">
        <f>INDEX(KMeans_6_2!AA2:AA51,A581)</f>
        <v/>
      </c>
      <c r="E581">
        <f>INDEX(KMeans_6_2!AA2:AA51,B581)</f>
        <v/>
      </c>
      <c r="O581">
        <f>IF(OR(AND(D581=1,E581=2),AND(D581=2,E581=1)),C581,"")</f>
        <v/>
      </c>
      <c r="P581">
        <f>IF(OR(AND(D581=1,E581=3),AND(D581=3,E581=1)),C581,"")</f>
        <v/>
      </c>
      <c r="Q581">
        <f>IF(OR(AND(D581=2,E581=3),AND(D581=3,E581=2)),C581,"")</f>
        <v/>
      </c>
    </row>
    <row r="582">
      <c r="A582" t="n">
        <v>14</v>
      </c>
      <c r="B582" t="n">
        <v>36</v>
      </c>
      <c r="C582">
        <f>SQRT((Scale_PCA_Mechanics!G15-Scale_PCA_Mechanics!G37)^2+(Scale_PCA_Mechanics!H15-Scale_PCA_Mechanics!H37)^2+(Scale_PCA_Mechanics!I15-Scale_PCA_Mechanics!I37)^2+(Scale_PCA_Mechanics!J15-Scale_PCA_Mechanics!J37)^2)</f>
        <v/>
      </c>
      <c r="D582">
        <f>INDEX(KMeans_6_2!AA2:AA51,A582)</f>
        <v/>
      </c>
      <c r="E582">
        <f>INDEX(KMeans_6_2!AA2:AA51,B582)</f>
        <v/>
      </c>
      <c r="O582">
        <f>IF(OR(AND(D582=1,E582=2),AND(D582=2,E582=1)),C582,"")</f>
        <v/>
      </c>
      <c r="P582">
        <f>IF(OR(AND(D582=1,E582=3),AND(D582=3,E582=1)),C582,"")</f>
        <v/>
      </c>
      <c r="Q582">
        <f>IF(OR(AND(D582=2,E582=3),AND(D582=3,E582=2)),C582,"")</f>
        <v/>
      </c>
    </row>
    <row r="583">
      <c r="A583" t="n">
        <v>14</v>
      </c>
      <c r="B583" t="n">
        <v>37</v>
      </c>
      <c r="C583">
        <f>SQRT((Scale_PCA_Mechanics!G15-Scale_PCA_Mechanics!G38)^2+(Scale_PCA_Mechanics!H15-Scale_PCA_Mechanics!H38)^2+(Scale_PCA_Mechanics!I15-Scale_PCA_Mechanics!I38)^2+(Scale_PCA_Mechanics!J15-Scale_PCA_Mechanics!J38)^2)</f>
        <v/>
      </c>
      <c r="D583">
        <f>INDEX(KMeans_6_2!AA2:AA51,A583)</f>
        <v/>
      </c>
      <c r="E583">
        <f>INDEX(KMeans_6_2!AA2:AA51,B583)</f>
        <v/>
      </c>
      <c r="O583">
        <f>IF(OR(AND(D583=1,E583=2),AND(D583=2,E583=1)),C583,"")</f>
        <v/>
      </c>
      <c r="P583">
        <f>IF(OR(AND(D583=1,E583=3),AND(D583=3,E583=1)),C583,"")</f>
        <v/>
      </c>
      <c r="Q583">
        <f>IF(OR(AND(D583=2,E583=3),AND(D583=3,E583=2)),C583,"")</f>
        <v/>
      </c>
    </row>
    <row r="584">
      <c r="A584" t="n">
        <v>14</v>
      </c>
      <c r="B584" t="n">
        <v>38</v>
      </c>
      <c r="C584">
        <f>SQRT((Scale_PCA_Mechanics!G15-Scale_PCA_Mechanics!G39)^2+(Scale_PCA_Mechanics!H15-Scale_PCA_Mechanics!H39)^2+(Scale_PCA_Mechanics!I15-Scale_PCA_Mechanics!I39)^2+(Scale_PCA_Mechanics!J15-Scale_PCA_Mechanics!J39)^2)</f>
        <v/>
      </c>
      <c r="D584">
        <f>INDEX(KMeans_6_2!AA2:AA51,A584)</f>
        <v/>
      </c>
      <c r="E584">
        <f>INDEX(KMeans_6_2!AA2:AA51,B584)</f>
        <v/>
      </c>
      <c r="O584">
        <f>IF(OR(AND(D584=1,E584=2),AND(D584=2,E584=1)),C584,"")</f>
        <v/>
      </c>
      <c r="P584">
        <f>IF(OR(AND(D584=1,E584=3),AND(D584=3,E584=1)),C584,"")</f>
        <v/>
      </c>
      <c r="Q584">
        <f>IF(OR(AND(D584=2,E584=3),AND(D584=3,E584=2)),C584,"")</f>
        <v/>
      </c>
    </row>
    <row r="585">
      <c r="A585" t="n">
        <v>14</v>
      </c>
      <c r="B585" t="n">
        <v>39</v>
      </c>
      <c r="C585">
        <f>SQRT((Scale_PCA_Mechanics!G15-Scale_PCA_Mechanics!G40)^2+(Scale_PCA_Mechanics!H15-Scale_PCA_Mechanics!H40)^2+(Scale_PCA_Mechanics!I15-Scale_PCA_Mechanics!I40)^2+(Scale_PCA_Mechanics!J15-Scale_PCA_Mechanics!J40)^2)</f>
        <v/>
      </c>
      <c r="D585">
        <f>INDEX(KMeans_6_2!AA2:AA51,A585)</f>
        <v/>
      </c>
      <c r="E585">
        <f>INDEX(KMeans_6_2!AA2:AA51,B585)</f>
        <v/>
      </c>
      <c r="O585">
        <f>IF(OR(AND(D585=1,E585=2),AND(D585=2,E585=1)),C585,"")</f>
        <v/>
      </c>
      <c r="P585">
        <f>IF(OR(AND(D585=1,E585=3),AND(D585=3,E585=1)),C585,"")</f>
        <v/>
      </c>
      <c r="Q585">
        <f>IF(OR(AND(D585=2,E585=3),AND(D585=3,E585=2)),C585,"")</f>
        <v/>
      </c>
    </row>
    <row r="586">
      <c r="A586" t="n">
        <v>14</v>
      </c>
      <c r="B586" t="n">
        <v>40</v>
      </c>
      <c r="C586">
        <f>SQRT((Scale_PCA_Mechanics!G15-Scale_PCA_Mechanics!G41)^2+(Scale_PCA_Mechanics!H15-Scale_PCA_Mechanics!H41)^2+(Scale_PCA_Mechanics!I15-Scale_PCA_Mechanics!I41)^2+(Scale_PCA_Mechanics!J15-Scale_PCA_Mechanics!J41)^2)</f>
        <v/>
      </c>
      <c r="D586">
        <f>INDEX(KMeans_6_2!AA2:AA51,A586)</f>
        <v/>
      </c>
      <c r="E586">
        <f>INDEX(KMeans_6_2!AA2:AA51,B586)</f>
        <v/>
      </c>
      <c r="O586">
        <f>IF(OR(AND(D586=1,E586=2),AND(D586=2,E586=1)),C586,"")</f>
        <v/>
      </c>
      <c r="P586">
        <f>IF(OR(AND(D586=1,E586=3),AND(D586=3,E586=1)),C586,"")</f>
        <v/>
      </c>
      <c r="Q586">
        <f>IF(OR(AND(D586=2,E586=3),AND(D586=3,E586=2)),C586,"")</f>
        <v/>
      </c>
    </row>
    <row r="587">
      <c r="A587" t="n">
        <v>14</v>
      </c>
      <c r="B587" t="n">
        <v>41</v>
      </c>
      <c r="C587">
        <f>SQRT((Scale_PCA_Mechanics!G15-Scale_PCA_Mechanics!G42)^2+(Scale_PCA_Mechanics!H15-Scale_PCA_Mechanics!H42)^2+(Scale_PCA_Mechanics!I15-Scale_PCA_Mechanics!I42)^2+(Scale_PCA_Mechanics!J15-Scale_PCA_Mechanics!J42)^2)</f>
        <v/>
      </c>
      <c r="D587">
        <f>INDEX(KMeans_6_2!AA2:AA51,A587)</f>
        <v/>
      </c>
      <c r="E587">
        <f>INDEX(KMeans_6_2!AA2:AA51,B587)</f>
        <v/>
      </c>
      <c r="O587">
        <f>IF(OR(AND(D587=1,E587=2),AND(D587=2,E587=1)),C587,"")</f>
        <v/>
      </c>
      <c r="P587">
        <f>IF(OR(AND(D587=1,E587=3),AND(D587=3,E587=1)),C587,"")</f>
        <v/>
      </c>
      <c r="Q587">
        <f>IF(OR(AND(D587=2,E587=3),AND(D587=3,E587=2)),C587,"")</f>
        <v/>
      </c>
    </row>
    <row r="588">
      <c r="A588" t="n">
        <v>14</v>
      </c>
      <c r="B588" t="n">
        <v>42</v>
      </c>
      <c r="C588">
        <f>SQRT((Scale_PCA_Mechanics!G15-Scale_PCA_Mechanics!G43)^2+(Scale_PCA_Mechanics!H15-Scale_PCA_Mechanics!H43)^2+(Scale_PCA_Mechanics!I15-Scale_PCA_Mechanics!I43)^2+(Scale_PCA_Mechanics!J15-Scale_PCA_Mechanics!J43)^2)</f>
        <v/>
      </c>
      <c r="D588">
        <f>INDEX(KMeans_6_2!AA2:AA51,A588)</f>
        <v/>
      </c>
      <c r="E588">
        <f>INDEX(KMeans_6_2!AA2:AA51,B588)</f>
        <v/>
      </c>
      <c r="O588">
        <f>IF(OR(AND(D588=1,E588=2),AND(D588=2,E588=1)),C588,"")</f>
        <v/>
      </c>
      <c r="P588">
        <f>IF(OR(AND(D588=1,E588=3),AND(D588=3,E588=1)),C588,"")</f>
        <v/>
      </c>
      <c r="Q588">
        <f>IF(OR(AND(D588=2,E588=3),AND(D588=3,E588=2)),C588,"")</f>
        <v/>
      </c>
    </row>
    <row r="589">
      <c r="A589" t="n">
        <v>14</v>
      </c>
      <c r="B589" t="n">
        <v>43</v>
      </c>
      <c r="C589">
        <f>SQRT((Scale_PCA_Mechanics!G15-Scale_PCA_Mechanics!G44)^2+(Scale_PCA_Mechanics!H15-Scale_PCA_Mechanics!H44)^2+(Scale_PCA_Mechanics!I15-Scale_PCA_Mechanics!I44)^2+(Scale_PCA_Mechanics!J15-Scale_PCA_Mechanics!J44)^2)</f>
        <v/>
      </c>
      <c r="D589">
        <f>INDEX(KMeans_6_2!AA2:AA51,A589)</f>
        <v/>
      </c>
      <c r="E589">
        <f>INDEX(KMeans_6_2!AA2:AA51,B589)</f>
        <v/>
      </c>
      <c r="O589">
        <f>IF(OR(AND(D589=1,E589=2),AND(D589=2,E589=1)),C589,"")</f>
        <v/>
      </c>
      <c r="P589">
        <f>IF(OR(AND(D589=1,E589=3),AND(D589=3,E589=1)),C589,"")</f>
        <v/>
      </c>
      <c r="Q589">
        <f>IF(OR(AND(D589=2,E589=3),AND(D589=3,E589=2)),C589,"")</f>
        <v/>
      </c>
    </row>
    <row r="590">
      <c r="A590" t="n">
        <v>14</v>
      </c>
      <c r="B590" t="n">
        <v>44</v>
      </c>
      <c r="C590">
        <f>SQRT((Scale_PCA_Mechanics!G15-Scale_PCA_Mechanics!G45)^2+(Scale_PCA_Mechanics!H15-Scale_PCA_Mechanics!H45)^2+(Scale_PCA_Mechanics!I15-Scale_PCA_Mechanics!I45)^2+(Scale_PCA_Mechanics!J15-Scale_PCA_Mechanics!J45)^2)</f>
        <v/>
      </c>
      <c r="D590">
        <f>INDEX(KMeans_6_2!AA2:AA51,A590)</f>
        <v/>
      </c>
      <c r="E590">
        <f>INDEX(KMeans_6_2!AA2:AA51,B590)</f>
        <v/>
      </c>
      <c r="O590">
        <f>IF(OR(AND(D590=1,E590=2),AND(D590=2,E590=1)),C590,"")</f>
        <v/>
      </c>
      <c r="P590">
        <f>IF(OR(AND(D590=1,E590=3),AND(D590=3,E590=1)),C590,"")</f>
        <v/>
      </c>
      <c r="Q590">
        <f>IF(OR(AND(D590=2,E590=3),AND(D590=3,E590=2)),C590,"")</f>
        <v/>
      </c>
    </row>
    <row r="591">
      <c r="A591" t="n">
        <v>14</v>
      </c>
      <c r="B591" t="n">
        <v>45</v>
      </c>
      <c r="C591">
        <f>SQRT((Scale_PCA_Mechanics!G15-Scale_PCA_Mechanics!G46)^2+(Scale_PCA_Mechanics!H15-Scale_PCA_Mechanics!H46)^2+(Scale_PCA_Mechanics!I15-Scale_PCA_Mechanics!I46)^2+(Scale_PCA_Mechanics!J15-Scale_PCA_Mechanics!J46)^2)</f>
        <v/>
      </c>
      <c r="D591">
        <f>INDEX(KMeans_6_2!AA2:AA51,A591)</f>
        <v/>
      </c>
      <c r="E591">
        <f>INDEX(KMeans_6_2!AA2:AA51,B591)</f>
        <v/>
      </c>
      <c r="O591">
        <f>IF(OR(AND(D591=1,E591=2),AND(D591=2,E591=1)),C591,"")</f>
        <v/>
      </c>
      <c r="P591">
        <f>IF(OR(AND(D591=1,E591=3),AND(D591=3,E591=1)),C591,"")</f>
        <v/>
      </c>
      <c r="Q591">
        <f>IF(OR(AND(D591=2,E591=3),AND(D591=3,E591=2)),C591,"")</f>
        <v/>
      </c>
    </row>
    <row r="592">
      <c r="A592" t="n">
        <v>14</v>
      </c>
      <c r="B592" t="n">
        <v>46</v>
      </c>
      <c r="C592">
        <f>SQRT((Scale_PCA_Mechanics!G15-Scale_PCA_Mechanics!G47)^2+(Scale_PCA_Mechanics!H15-Scale_PCA_Mechanics!H47)^2+(Scale_PCA_Mechanics!I15-Scale_PCA_Mechanics!I47)^2+(Scale_PCA_Mechanics!J15-Scale_PCA_Mechanics!J47)^2)</f>
        <v/>
      </c>
      <c r="D592">
        <f>INDEX(KMeans_6_2!AA2:AA51,A592)</f>
        <v/>
      </c>
      <c r="E592">
        <f>INDEX(KMeans_6_2!AA2:AA51,B592)</f>
        <v/>
      </c>
      <c r="O592">
        <f>IF(OR(AND(D592=1,E592=2),AND(D592=2,E592=1)),C592,"")</f>
        <v/>
      </c>
      <c r="P592">
        <f>IF(OR(AND(D592=1,E592=3),AND(D592=3,E592=1)),C592,"")</f>
        <v/>
      </c>
      <c r="Q592">
        <f>IF(OR(AND(D592=2,E592=3),AND(D592=3,E592=2)),C592,"")</f>
        <v/>
      </c>
    </row>
    <row r="593">
      <c r="A593" t="n">
        <v>14</v>
      </c>
      <c r="B593" t="n">
        <v>47</v>
      </c>
      <c r="C593">
        <f>SQRT((Scale_PCA_Mechanics!G15-Scale_PCA_Mechanics!G48)^2+(Scale_PCA_Mechanics!H15-Scale_PCA_Mechanics!H48)^2+(Scale_PCA_Mechanics!I15-Scale_PCA_Mechanics!I48)^2+(Scale_PCA_Mechanics!J15-Scale_PCA_Mechanics!J48)^2)</f>
        <v/>
      </c>
      <c r="D593">
        <f>INDEX(KMeans_6_2!AA2:AA51,A593)</f>
        <v/>
      </c>
      <c r="E593">
        <f>INDEX(KMeans_6_2!AA2:AA51,B593)</f>
        <v/>
      </c>
      <c r="O593">
        <f>IF(OR(AND(D593=1,E593=2),AND(D593=2,E593=1)),C593,"")</f>
        <v/>
      </c>
      <c r="P593">
        <f>IF(OR(AND(D593=1,E593=3),AND(D593=3,E593=1)),C593,"")</f>
        <v/>
      </c>
      <c r="Q593">
        <f>IF(OR(AND(D593=2,E593=3),AND(D593=3,E593=2)),C593,"")</f>
        <v/>
      </c>
    </row>
    <row r="594">
      <c r="A594" t="n">
        <v>14</v>
      </c>
      <c r="B594" t="n">
        <v>48</v>
      </c>
      <c r="C594">
        <f>SQRT((Scale_PCA_Mechanics!G15-Scale_PCA_Mechanics!G49)^2+(Scale_PCA_Mechanics!H15-Scale_PCA_Mechanics!H49)^2+(Scale_PCA_Mechanics!I15-Scale_PCA_Mechanics!I49)^2+(Scale_PCA_Mechanics!J15-Scale_PCA_Mechanics!J49)^2)</f>
        <v/>
      </c>
      <c r="D594">
        <f>INDEX(KMeans_6_2!AA2:AA51,A594)</f>
        <v/>
      </c>
      <c r="E594">
        <f>INDEX(KMeans_6_2!AA2:AA51,B594)</f>
        <v/>
      </c>
      <c r="O594">
        <f>IF(OR(AND(D594=1,E594=2),AND(D594=2,E594=1)),C594,"")</f>
        <v/>
      </c>
      <c r="P594">
        <f>IF(OR(AND(D594=1,E594=3),AND(D594=3,E594=1)),C594,"")</f>
        <v/>
      </c>
      <c r="Q594">
        <f>IF(OR(AND(D594=2,E594=3),AND(D594=3,E594=2)),C594,"")</f>
        <v/>
      </c>
    </row>
    <row r="595">
      <c r="A595" t="n">
        <v>14</v>
      </c>
      <c r="B595" t="n">
        <v>49</v>
      </c>
      <c r="C595">
        <f>SQRT((Scale_PCA_Mechanics!G15-Scale_PCA_Mechanics!G50)^2+(Scale_PCA_Mechanics!H15-Scale_PCA_Mechanics!H50)^2+(Scale_PCA_Mechanics!I15-Scale_PCA_Mechanics!I50)^2+(Scale_PCA_Mechanics!J15-Scale_PCA_Mechanics!J50)^2)</f>
        <v/>
      </c>
      <c r="D595">
        <f>INDEX(KMeans_6_2!AA2:AA51,A595)</f>
        <v/>
      </c>
      <c r="E595">
        <f>INDEX(KMeans_6_2!AA2:AA51,B595)</f>
        <v/>
      </c>
      <c r="O595">
        <f>IF(OR(AND(D595=1,E595=2),AND(D595=2,E595=1)),C595,"")</f>
        <v/>
      </c>
      <c r="P595">
        <f>IF(OR(AND(D595=1,E595=3),AND(D595=3,E595=1)),C595,"")</f>
        <v/>
      </c>
      <c r="Q595">
        <f>IF(OR(AND(D595=2,E595=3),AND(D595=3,E595=2)),C595,"")</f>
        <v/>
      </c>
    </row>
    <row r="596">
      <c r="A596" t="n">
        <v>14</v>
      </c>
      <c r="B596" t="n">
        <v>50</v>
      </c>
      <c r="C596">
        <f>SQRT((Scale_PCA_Mechanics!G15-Scale_PCA_Mechanics!G51)^2+(Scale_PCA_Mechanics!H15-Scale_PCA_Mechanics!H51)^2+(Scale_PCA_Mechanics!I15-Scale_PCA_Mechanics!I51)^2+(Scale_PCA_Mechanics!J15-Scale_PCA_Mechanics!J51)^2)</f>
        <v/>
      </c>
      <c r="D596">
        <f>INDEX(KMeans_6_2!AA2:AA51,A596)</f>
        <v/>
      </c>
      <c r="E596">
        <f>INDEX(KMeans_6_2!AA2:AA51,B596)</f>
        <v/>
      </c>
      <c r="O596">
        <f>IF(OR(AND(D596=1,E596=2),AND(D596=2,E596=1)),C596,"")</f>
        <v/>
      </c>
      <c r="P596">
        <f>IF(OR(AND(D596=1,E596=3),AND(D596=3,E596=1)),C596,"")</f>
        <v/>
      </c>
      <c r="Q596">
        <f>IF(OR(AND(D596=2,E596=3),AND(D596=3,E596=2)),C596,"")</f>
        <v/>
      </c>
    </row>
    <row r="597">
      <c r="A597" t="n">
        <v>15</v>
      </c>
      <c r="B597" t="n">
        <v>16</v>
      </c>
      <c r="C597">
        <f>SQRT((Scale_PCA_Mechanics!G16-Scale_PCA_Mechanics!G17)^2+(Scale_PCA_Mechanics!H16-Scale_PCA_Mechanics!H17)^2+(Scale_PCA_Mechanics!I16-Scale_PCA_Mechanics!I17)^2+(Scale_PCA_Mechanics!J16-Scale_PCA_Mechanics!J17)^2)</f>
        <v/>
      </c>
      <c r="D597">
        <f>INDEX(KMeans_6_2!AA2:AA51,A597)</f>
        <v/>
      </c>
      <c r="E597">
        <f>INDEX(KMeans_6_2!AA2:AA51,B597)</f>
        <v/>
      </c>
      <c r="O597">
        <f>IF(OR(AND(D597=1,E597=2),AND(D597=2,E597=1)),C597,"")</f>
        <v/>
      </c>
      <c r="P597">
        <f>IF(OR(AND(D597=1,E597=3),AND(D597=3,E597=1)),C597,"")</f>
        <v/>
      </c>
      <c r="Q597">
        <f>IF(OR(AND(D597=2,E597=3),AND(D597=3,E597=2)),C597,"")</f>
        <v/>
      </c>
    </row>
    <row r="598">
      <c r="A598" t="n">
        <v>15</v>
      </c>
      <c r="B598" t="n">
        <v>17</v>
      </c>
      <c r="C598">
        <f>SQRT((Scale_PCA_Mechanics!G16-Scale_PCA_Mechanics!G18)^2+(Scale_PCA_Mechanics!H16-Scale_PCA_Mechanics!H18)^2+(Scale_PCA_Mechanics!I16-Scale_PCA_Mechanics!I18)^2+(Scale_PCA_Mechanics!J16-Scale_PCA_Mechanics!J18)^2)</f>
        <v/>
      </c>
      <c r="D598">
        <f>INDEX(KMeans_6_2!AA2:AA51,A598)</f>
        <v/>
      </c>
      <c r="E598">
        <f>INDEX(KMeans_6_2!AA2:AA51,B598)</f>
        <v/>
      </c>
      <c r="O598">
        <f>IF(OR(AND(D598=1,E598=2),AND(D598=2,E598=1)),C598,"")</f>
        <v/>
      </c>
      <c r="P598">
        <f>IF(OR(AND(D598=1,E598=3),AND(D598=3,E598=1)),C598,"")</f>
        <v/>
      </c>
      <c r="Q598">
        <f>IF(OR(AND(D598=2,E598=3),AND(D598=3,E598=2)),C598,"")</f>
        <v/>
      </c>
    </row>
    <row r="599">
      <c r="A599" t="n">
        <v>15</v>
      </c>
      <c r="B599" t="n">
        <v>18</v>
      </c>
      <c r="C599">
        <f>SQRT((Scale_PCA_Mechanics!G16-Scale_PCA_Mechanics!G19)^2+(Scale_PCA_Mechanics!H16-Scale_PCA_Mechanics!H19)^2+(Scale_PCA_Mechanics!I16-Scale_PCA_Mechanics!I19)^2+(Scale_PCA_Mechanics!J16-Scale_PCA_Mechanics!J19)^2)</f>
        <v/>
      </c>
      <c r="D599">
        <f>INDEX(KMeans_6_2!AA2:AA51,A599)</f>
        <v/>
      </c>
      <c r="E599">
        <f>INDEX(KMeans_6_2!AA2:AA51,B599)</f>
        <v/>
      </c>
      <c r="O599">
        <f>IF(OR(AND(D599=1,E599=2),AND(D599=2,E599=1)),C599,"")</f>
        <v/>
      </c>
      <c r="P599">
        <f>IF(OR(AND(D599=1,E599=3),AND(D599=3,E599=1)),C599,"")</f>
        <v/>
      </c>
      <c r="Q599">
        <f>IF(OR(AND(D599=2,E599=3),AND(D599=3,E599=2)),C599,"")</f>
        <v/>
      </c>
    </row>
    <row r="600">
      <c r="A600" t="n">
        <v>15</v>
      </c>
      <c r="B600" t="n">
        <v>19</v>
      </c>
      <c r="C600">
        <f>SQRT((Scale_PCA_Mechanics!G16-Scale_PCA_Mechanics!G20)^2+(Scale_PCA_Mechanics!H16-Scale_PCA_Mechanics!H20)^2+(Scale_PCA_Mechanics!I16-Scale_PCA_Mechanics!I20)^2+(Scale_PCA_Mechanics!J16-Scale_PCA_Mechanics!J20)^2)</f>
        <v/>
      </c>
      <c r="D600">
        <f>INDEX(KMeans_6_2!AA2:AA51,A600)</f>
        <v/>
      </c>
      <c r="E600">
        <f>INDEX(KMeans_6_2!AA2:AA51,B600)</f>
        <v/>
      </c>
      <c r="O600">
        <f>IF(OR(AND(D600=1,E600=2),AND(D600=2,E600=1)),C600,"")</f>
        <v/>
      </c>
      <c r="P600">
        <f>IF(OR(AND(D600=1,E600=3),AND(D600=3,E600=1)),C600,"")</f>
        <v/>
      </c>
      <c r="Q600">
        <f>IF(OR(AND(D600=2,E600=3),AND(D600=3,E600=2)),C600,"")</f>
        <v/>
      </c>
    </row>
    <row r="601">
      <c r="A601" t="n">
        <v>15</v>
      </c>
      <c r="B601" t="n">
        <v>20</v>
      </c>
      <c r="C601">
        <f>SQRT((Scale_PCA_Mechanics!G16-Scale_PCA_Mechanics!G21)^2+(Scale_PCA_Mechanics!H16-Scale_PCA_Mechanics!H21)^2+(Scale_PCA_Mechanics!I16-Scale_PCA_Mechanics!I21)^2+(Scale_PCA_Mechanics!J16-Scale_PCA_Mechanics!J21)^2)</f>
        <v/>
      </c>
      <c r="D601">
        <f>INDEX(KMeans_6_2!AA2:AA51,A601)</f>
        <v/>
      </c>
      <c r="E601">
        <f>INDEX(KMeans_6_2!AA2:AA51,B601)</f>
        <v/>
      </c>
      <c r="O601">
        <f>IF(OR(AND(D601=1,E601=2),AND(D601=2,E601=1)),C601,"")</f>
        <v/>
      </c>
      <c r="P601">
        <f>IF(OR(AND(D601=1,E601=3),AND(D601=3,E601=1)),C601,"")</f>
        <v/>
      </c>
      <c r="Q601">
        <f>IF(OR(AND(D601=2,E601=3),AND(D601=3,E601=2)),C601,"")</f>
        <v/>
      </c>
    </row>
    <row r="602">
      <c r="A602" t="n">
        <v>15</v>
      </c>
      <c r="B602" t="n">
        <v>21</v>
      </c>
      <c r="C602">
        <f>SQRT((Scale_PCA_Mechanics!G16-Scale_PCA_Mechanics!G22)^2+(Scale_PCA_Mechanics!H16-Scale_PCA_Mechanics!H22)^2+(Scale_PCA_Mechanics!I16-Scale_PCA_Mechanics!I22)^2+(Scale_PCA_Mechanics!J16-Scale_PCA_Mechanics!J22)^2)</f>
        <v/>
      </c>
      <c r="D602">
        <f>INDEX(KMeans_6_2!AA2:AA51,A602)</f>
        <v/>
      </c>
      <c r="E602">
        <f>INDEX(KMeans_6_2!AA2:AA51,B602)</f>
        <v/>
      </c>
      <c r="O602">
        <f>IF(OR(AND(D602=1,E602=2),AND(D602=2,E602=1)),C602,"")</f>
        <v/>
      </c>
      <c r="P602">
        <f>IF(OR(AND(D602=1,E602=3),AND(D602=3,E602=1)),C602,"")</f>
        <v/>
      </c>
      <c r="Q602">
        <f>IF(OR(AND(D602=2,E602=3),AND(D602=3,E602=2)),C602,"")</f>
        <v/>
      </c>
    </row>
    <row r="603">
      <c r="A603" t="n">
        <v>15</v>
      </c>
      <c r="B603" t="n">
        <v>22</v>
      </c>
      <c r="C603">
        <f>SQRT((Scale_PCA_Mechanics!G16-Scale_PCA_Mechanics!G23)^2+(Scale_PCA_Mechanics!H16-Scale_PCA_Mechanics!H23)^2+(Scale_PCA_Mechanics!I16-Scale_PCA_Mechanics!I23)^2+(Scale_PCA_Mechanics!J16-Scale_PCA_Mechanics!J23)^2)</f>
        <v/>
      </c>
      <c r="D603">
        <f>INDEX(KMeans_6_2!AA2:AA51,A603)</f>
        <v/>
      </c>
      <c r="E603">
        <f>INDEX(KMeans_6_2!AA2:AA51,B603)</f>
        <v/>
      </c>
      <c r="O603">
        <f>IF(OR(AND(D603=1,E603=2),AND(D603=2,E603=1)),C603,"")</f>
        <v/>
      </c>
      <c r="P603">
        <f>IF(OR(AND(D603=1,E603=3),AND(D603=3,E603=1)),C603,"")</f>
        <v/>
      </c>
      <c r="Q603">
        <f>IF(OR(AND(D603=2,E603=3),AND(D603=3,E603=2)),C603,"")</f>
        <v/>
      </c>
    </row>
    <row r="604">
      <c r="A604" t="n">
        <v>15</v>
      </c>
      <c r="B604" t="n">
        <v>23</v>
      </c>
      <c r="C604">
        <f>SQRT((Scale_PCA_Mechanics!G16-Scale_PCA_Mechanics!G24)^2+(Scale_PCA_Mechanics!H16-Scale_PCA_Mechanics!H24)^2+(Scale_PCA_Mechanics!I16-Scale_PCA_Mechanics!I24)^2+(Scale_PCA_Mechanics!J16-Scale_PCA_Mechanics!J24)^2)</f>
        <v/>
      </c>
      <c r="D604">
        <f>INDEX(KMeans_6_2!AA2:AA51,A604)</f>
        <v/>
      </c>
      <c r="E604">
        <f>INDEX(KMeans_6_2!AA2:AA51,B604)</f>
        <v/>
      </c>
      <c r="O604">
        <f>IF(OR(AND(D604=1,E604=2),AND(D604=2,E604=1)),C604,"")</f>
        <v/>
      </c>
      <c r="P604">
        <f>IF(OR(AND(D604=1,E604=3),AND(D604=3,E604=1)),C604,"")</f>
        <v/>
      </c>
      <c r="Q604">
        <f>IF(OR(AND(D604=2,E604=3),AND(D604=3,E604=2)),C604,"")</f>
        <v/>
      </c>
    </row>
    <row r="605">
      <c r="A605" t="n">
        <v>15</v>
      </c>
      <c r="B605" t="n">
        <v>24</v>
      </c>
      <c r="C605">
        <f>SQRT((Scale_PCA_Mechanics!G16-Scale_PCA_Mechanics!G25)^2+(Scale_PCA_Mechanics!H16-Scale_PCA_Mechanics!H25)^2+(Scale_PCA_Mechanics!I16-Scale_PCA_Mechanics!I25)^2+(Scale_PCA_Mechanics!J16-Scale_PCA_Mechanics!J25)^2)</f>
        <v/>
      </c>
      <c r="D605">
        <f>INDEX(KMeans_6_2!AA2:AA51,A605)</f>
        <v/>
      </c>
      <c r="E605">
        <f>INDEX(KMeans_6_2!AA2:AA51,B605)</f>
        <v/>
      </c>
      <c r="O605">
        <f>IF(OR(AND(D605=1,E605=2),AND(D605=2,E605=1)),C605,"")</f>
        <v/>
      </c>
      <c r="P605">
        <f>IF(OR(AND(D605=1,E605=3),AND(D605=3,E605=1)),C605,"")</f>
        <v/>
      </c>
      <c r="Q605">
        <f>IF(OR(AND(D605=2,E605=3),AND(D605=3,E605=2)),C605,"")</f>
        <v/>
      </c>
    </row>
    <row r="606">
      <c r="A606" t="n">
        <v>15</v>
      </c>
      <c r="B606" t="n">
        <v>25</v>
      </c>
      <c r="C606">
        <f>SQRT((Scale_PCA_Mechanics!G16-Scale_PCA_Mechanics!G26)^2+(Scale_PCA_Mechanics!H16-Scale_PCA_Mechanics!H26)^2+(Scale_PCA_Mechanics!I16-Scale_PCA_Mechanics!I26)^2+(Scale_PCA_Mechanics!J16-Scale_PCA_Mechanics!J26)^2)</f>
        <v/>
      </c>
      <c r="D606">
        <f>INDEX(KMeans_6_2!AA2:AA51,A606)</f>
        <v/>
      </c>
      <c r="E606">
        <f>INDEX(KMeans_6_2!AA2:AA51,B606)</f>
        <v/>
      </c>
      <c r="O606">
        <f>IF(OR(AND(D606=1,E606=2),AND(D606=2,E606=1)),C606,"")</f>
        <v/>
      </c>
      <c r="P606">
        <f>IF(OR(AND(D606=1,E606=3),AND(D606=3,E606=1)),C606,"")</f>
        <v/>
      </c>
      <c r="Q606">
        <f>IF(OR(AND(D606=2,E606=3),AND(D606=3,E606=2)),C606,"")</f>
        <v/>
      </c>
    </row>
    <row r="607">
      <c r="A607" t="n">
        <v>15</v>
      </c>
      <c r="B607" t="n">
        <v>26</v>
      </c>
      <c r="C607">
        <f>SQRT((Scale_PCA_Mechanics!G16-Scale_PCA_Mechanics!G27)^2+(Scale_PCA_Mechanics!H16-Scale_PCA_Mechanics!H27)^2+(Scale_PCA_Mechanics!I16-Scale_PCA_Mechanics!I27)^2+(Scale_PCA_Mechanics!J16-Scale_PCA_Mechanics!J27)^2)</f>
        <v/>
      </c>
      <c r="D607">
        <f>INDEX(KMeans_6_2!AA2:AA51,A607)</f>
        <v/>
      </c>
      <c r="E607">
        <f>INDEX(KMeans_6_2!AA2:AA51,B607)</f>
        <v/>
      </c>
      <c r="O607">
        <f>IF(OR(AND(D607=1,E607=2),AND(D607=2,E607=1)),C607,"")</f>
        <v/>
      </c>
      <c r="P607">
        <f>IF(OR(AND(D607=1,E607=3),AND(D607=3,E607=1)),C607,"")</f>
        <v/>
      </c>
      <c r="Q607">
        <f>IF(OR(AND(D607=2,E607=3),AND(D607=3,E607=2)),C607,"")</f>
        <v/>
      </c>
    </row>
    <row r="608">
      <c r="A608" t="n">
        <v>15</v>
      </c>
      <c r="B608" t="n">
        <v>27</v>
      </c>
      <c r="C608">
        <f>SQRT((Scale_PCA_Mechanics!G16-Scale_PCA_Mechanics!G28)^2+(Scale_PCA_Mechanics!H16-Scale_PCA_Mechanics!H28)^2+(Scale_PCA_Mechanics!I16-Scale_PCA_Mechanics!I28)^2+(Scale_PCA_Mechanics!J16-Scale_PCA_Mechanics!J28)^2)</f>
        <v/>
      </c>
      <c r="D608">
        <f>INDEX(KMeans_6_2!AA2:AA51,A608)</f>
        <v/>
      </c>
      <c r="E608">
        <f>INDEX(KMeans_6_2!AA2:AA51,B608)</f>
        <v/>
      </c>
      <c r="O608">
        <f>IF(OR(AND(D608=1,E608=2),AND(D608=2,E608=1)),C608,"")</f>
        <v/>
      </c>
      <c r="P608">
        <f>IF(OR(AND(D608=1,E608=3),AND(D608=3,E608=1)),C608,"")</f>
        <v/>
      </c>
      <c r="Q608">
        <f>IF(OR(AND(D608=2,E608=3),AND(D608=3,E608=2)),C608,"")</f>
        <v/>
      </c>
    </row>
    <row r="609">
      <c r="A609" t="n">
        <v>15</v>
      </c>
      <c r="B609" t="n">
        <v>28</v>
      </c>
      <c r="C609">
        <f>SQRT((Scale_PCA_Mechanics!G16-Scale_PCA_Mechanics!G29)^2+(Scale_PCA_Mechanics!H16-Scale_PCA_Mechanics!H29)^2+(Scale_PCA_Mechanics!I16-Scale_PCA_Mechanics!I29)^2+(Scale_PCA_Mechanics!J16-Scale_PCA_Mechanics!J29)^2)</f>
        <v/>
      </c>
      <c r="D609">
        <f>INDEX(KMeans_6_2!AA2:AA51,A609)</f>
        <v/>
      </c>
      <c r="E609">
        <f>INDEX(KMeans_6_2!AA2:AA51,B609)</f>
        <v/>
      </c>
      <c r="O609">
        <f>IF(OR(AND(D609=1,E609=2),AND(D609=2,E609=1)),C609,"")</f>
        <v/>
      </c>
      <c r="P609">
        <f>IF(OR(AND(D609=1,E609=3),AND(D609=3,E609=1)),C609,"")</f>
        <v/>
      </c>
      <c r="Q609">
        <f>IF(OR(AND(D609=2,E609=3),AND(D609=3,E609=2)),C609,"")</f>
        <v/>
      </c>
    </row>
    <row r="610">
      <c r="A610" t="n">
        <v>15</v>
      </c>
      <c r="B610" t="n">
        <v>29</v>
      </c>
      <c r="C610">
        <f>SQRT((Scale_PCA_Mechanics!G16-Scale_PCA_Mechanics!G30)^2+(Scale_PCA_Mechanics!H16-Scale_PCA_Mechanics!H30)^2+(Scale_PCA_Mechanics!I16-Scale_PCA_Mechanics!I30)^2+(Scale_PCA_Mechanics!J16-Scale_PCA_Mechanics!J30)^2)</f>
        <v/>
      </c>
      <c r="D610">
        <f>INDEX(KMeans_6_2!AA2:AA51,A610)</f>
        <v/>
      </c>
      <c r="E610">
        <f>INDEX(KMeans_6_2!AA2:AA51,B610)</f>
        <v/>
      </c>
      <c r="O610">
        <f>IF(OR(AND(D610=1,E610=2),AND(D610=2,E610=1)),C610,"")</f>
        <v/>
      </c>
      <c r="P610">
        <f>IF(OR(AND(D610=1,E610=3),AND(D610=3,E610=1)),C610,"")</f>
        <v/>
      </c>
      <c r="Q610">
        <f>IF(OR(AND(D610=2,E610=3),AND(D610=3,E610=2)),C610,"")</f>
        <v/>
      </c>
    </row>
    <row r="611">
      <c r="A611" t="n">
        <v>15</v>
      </c>
      <c r="B611" t="n">
        <v>30</v>
      </c>
      <c r="C611">
        <f>SQRT((Scale_PCA_Mechanics!G16-Scale_PCA_Mechanics!G31)^2+(Scale_PCA_Mechanics!H16-Scale_PCA_Mechanics!H31)^2+(Scale_PCA_Mechanics!I16-Scale_PCA_Mechanics!I31)^2+(Scale_PCA_Mechanics!J16-Scale_PCA_Mechanics!J31)^2)</f>
        <v/>
      </c>
      <c r="D611">
        <f>INDEX(KMeans_6_2!AA2:AA51,A611)</f>
        <v/>
      </c>
      <c r="E611">
        <f>INDEX(KMeans_6_2!AA2:AA51,B611)</f>
        <v/>
      </c>
      <c r="O611">
        <f>IF(OR(AND(D611=1,E611=2),AND(D611=2,E611=1)),C611,"")</f>
        <v/>
      </c>
      <c r="P611">
        <f>IF(OR(AND(D611=1,E611=3),AND(D611=3,E611=1)),C611,"")</f>
        <v/>
      </c>
      <c r="Q611">
        <f>IF(OR(AND(D611=2,E611=3),AND(D611=3,E611=2)),C611,"")</f>
        <v/>
      </c>
    </row>
    <row r="612">
      <c r="A612" t="n">
        <v>15</v>
      </c>
      <c r="B612" t="n">
        <v>31</v>
      </c>
      <c r="C612">
        <f>SQRT((Scale_PCA_Mechanics!G16-Scale_PCA_Mechanics!G32)^2+(Scale_PCA_Mechanics!H16-Scale_PCA_Mechanics!H32)^2+(Scale_PCA_Mechanics!I16-Scale_PCA_Mechanics!I32)^2+(Scale_PCA_Mechanics!J16-Scale_PCA_Mechanics!J32)^2)</f>
        <v/>
      </c>
      <c r="D612">
        <f>INDEX(KMeans_6_2!AA2:AA51,A612)</f>
        <v/>
      </c>
      <c r="E612">
        <f>INDEX(KMeans_6_2!AA2:AA51,B612)</f>
        <v/>
      </c>
      <c r="O612">
        <f>IF(OR(AND(D612=1,E612=2),AND(D612=2,E612=1)),C612,"")</f>
        <v/>
      </c>
      <c r="P612">
        <f>IF(OR(AND(D612=1,E612=3),AND(D612=3,E612=1)),C612,"")</f>
        <v/>
      </c>
      <c r="Q612">
        <f>IF(OR(AND(D612=2,E612=3),AND(D612=3,E612=2)),C612,"")</f>
        <v/>
      </c>
    </row>
    <row r="613">
      <c r="A613" t="n">
        <v>15</v>
      </c>
      <c r="B613" t="n">
        <v>32</v>
      </c>
      <c r="C613">
        <f>SQRT((Scale_PCA_Mechanics!G16-Scale_PCA_Mechanics!G33)^2+(Scale_PCA_Mechanics!H16-Scale_PCA_Mechanics!H33)^2+(Scale_PCA_Mechanics!I16-Scale_PCA_Mechanics!I33)^2+(Scale_PCA_Mechanics!J16-Scale_PCA_Mechanics!J33)^2)</f>
        <v/>
      </c>
      <c r="D613">
        <f>INDEX(KMeans_6_2!AA2:AA51,A613)</f>
        <v/>
      </c>
      <c r="E613">
        <f>INDEX(KMeans_6_2!AA2:AA51,B613)</f>
        <v/>
      </c>
      <c r="O613">
        <f>IF(OR(AND(D613=1,E613=2),AND(D613=2,E613=1)),C613,"")</f>
        <v/>
      </c>
      <c r="P613">
        <f>IF(OR(AND(D613=1,E613=3),AND(D613=3,E613=1)),C613,"")</f>
        <v/>
      </c>
      <c r="Q613">
        <f>IF(OR(AND(D613=2,E613=3),AND(D613=3,E613=2)),C613,"")</f>
        <v/>
      </c>
    </row>
    <row r="614">
      <c r="A614" t="n">
        <v>15</v>
      </c>
      <c r="B614" t="n">
        <v>33</v>
      </c>
      <c r="C614">
        <f>SQRT((Scale_PCA_Mechanics!G16-Scale_PCA_Mechanics!G34)^2+(Scale_PCA_Mechanics!H16-Scale_PCA_Mechanics!H34)^2+(Scale_PCA_Mechanics!I16-Scale_PCA_Mechanics!I34)^2+(Scale_PCA_Mechanics!J16-Scale_PCA_Mechanics!J34)^2)</f>
        <v/>
      </c>
      <c r="D614">
        <f>INDEX(KMeans_6_2!AA2:AA51,A614)</f>
        <v/>
      </c>
      <c r="E614">
        <f>INDEX(KMeans_6_2!AA2:AA51,B614)</f>
        <v/>
      </c>
      <c r="O614">
        <f>IF(OR(AND(D614=1,E614=2),AND(D614=2,E614=1)),C614,"")</f>
        <v/>
      </c>
      <c r="P614">
        <f>IF(OR(AND(D614=1,E614=3),AND(D614=3,E614=1)),C614,"")</f>
        <v/>
      </c>
      <c r="Q614">
        <f>IF(OR(AND(D614=2,E614=3),AND(D614=3,E614=2)),C614,"")</f>
        <v/>
      </c>
    </row>
    <row r="615">
      <c r="A615" t="n">
        <v>15</v>
      </c>
      <c r="B615" t="n">
        <v>34</v>
      </c>
      <c r="C615">
        <f>SQRT((Scale_PCA_Mechanics!G16-Scale_PCA_Mechanics!G35)^2+(Scale_PCA_Mechanics!H16-Scale_PCA_Mechanics!H35)^2+(Scale_PCA_Mechanics!I16-Scale_PCA_Mechanics!I35)^2+(Scale_PCA_Mechanics!J16-Scale_PCA_Mechanics!J35)^2)</f>
        <v/>
      </c>
      <c r="D615">
        <f>INDEX(KMeans_6_2!AA2:AA51,A615)</f>
        <v/>
      </c>
      <c r="E615">
        <f>INDEX(KMeans_6_2!AA2:AA51,B615)</f>
        <v/>
      </c>
      <c r="O615">
        <f>IF(OR(AND(D615=1,E615=2),AND(D615=2,E615=1)),C615,"")</f>
        <v/>
      </c>
      <c r="P615">
        <f>IF(OR(AND(D615=1,E615=3),AND(D615=3,E615=1)),C615,"")</f>
        <v/>
      </c>
      <c r="Q615">
        <f>IF(OR(AND(D615=2,E615=3),AND(D615=3,E615=2)),C615,"")</f>
        <v/>
      </c>
    </row>
    <row r="616">
      <c r="A616" t="n">
        <v>15</v>
      </c>
      <c r="B616" t="n">
        <v>35</v>
      </c>
      <c r="C616">
        <f>SQRT((Scale_PCA_Mechanics!G16-Scale_PCA_Mechanics!G36)^2+(Scale_PCA_Mechanics!H16-Scale_PCA_Mechanics!H36)^2+(Scale_PCA_Mechanics!I16-Scale_PCA_Mechanics!I36)^2+(Scale_PCA_Mechanics!J16-Scale_PCA_Mechanics!J36)^2)</f>
        <v/>
      </c>
      <c r="D616">
        <f>INDEX(KMeans_6_2!AA2:AA51,A616)</f>
        <v/>
      </c>
      <c r="E616">
        <f>INDEX(KMeans_6_2!AA2:AA51,B616)</f>
        <v/>
      </c>
      <c r="O616">
        <f>IF(OR(AND(D616=1,E616=2),AND(D616=2,E616=1)),C616,"")</f>
        <v/>
      </c>
      <c r="P616">
        <f>IF(OR(AND(D616=1,E616=3),AND(D616=3,E616=1)),C616,"")</f>
        <v/>
      </c>
      <c r="Q616">
        <f>IF(OR(AND(D616=2,E616=3),AND(D616=3,E616=2)),C616,"")</f>
        <v/>
      </c>
    </row>
    <row r="617">
      <c r="A617" t="n">
        <v>15</v>
      </c>
      <c r="B617" t="n">
        <v>36</v>
      </c>
      <c r="C617">
        <f>SQRT((Scale_PCA_Mechanics!G16-Scale_PCA_Mechanics!G37)^2+(Scale_PCA_Mechanics!H16-Scale_PCA_Mechanics!H37)^2+(Scale_PCA_Mechanics!I16-Scale_PCA_Mechanics!I37)^2+(Scale_PCA_Mechanics!J16-Scale_PCA_Mechanics!J37)^2)</f>
        <v/>
      </c>
      <c r="D617">
        <f>INDEX(KMeans_6_2!AA2:AA51,A617)</f>
        <v/>
      </c>
      <c r="E617">
        <f>INDEX(KMeans_6_2!AA2:AA51,B617)</f>
        <v/>
      </c>
      <c r="O617">
        <f>IF(OR(AND(D617=1,E617=2),AND(D617=2,E617=1)),C617,"")</f>
        <v/>
      </c>
      <c r="P617">
        <f>IF(OR(AND(D617=1,E617=3),AND(D617=3,E617=1)),C617,"")</f>
        <v/>
      </c>
      <c r="Q617">
        <f>IF(OR(AND(D617=2,E617=3),AND(D617=3,E617=2)),C617,"")</f>
        <v/>
      </c>
    </row>
    <row r="618">
      <c r="A618" t="n">
        <v>15</v>
      </c>
      <c r="B618" t="n">
        <v>37</v>
      </c>
      <c r="C618">
        <f>SQRT((Scale_PCA_Mechanics!G16-Scale_PCA_Mechanics!G38)^2+(Scale_PCA_Mechanics!H16-Scale_PCA_Mechanics!H38)^2+(Scale_PCA_Mechanics!I16-Scale_PCA_Mechanics!I38)^2+(Scale_PCA_Mechanics!J16-Scale_PCA_Mechanics!J38)^2)</f>
        <v/>
      </c>
      <c r="D618">
        <f>INDEX(KMeans_6_2!AA2:AA51,A618)</f>
        <v/>
      </c>
      <c r="E618">
        <f>INDEX(KMeans_6_2!AA2:AA51,B618)</f>
        <v/>
      </c>
      <c r="O618">
        <f>IF(OR(AND(D618=1,E618=2),AND(D618=2,E618=1)),C618,"")</f>
        <v/>
      </c>
      <c r="P618">
        <f>IF(OR(AND(D618=1,E618=3),AND(D618=3,E618=1)),C618,"")</f>
        <v/>
      </c>
      <c r="Q618">
        <f>IF(OR(AND(D618=2,E618=3),AND(D618=3,E618=2)),C618,"")</f>
        <v/>
      </c>
    </row>
    <row r="619">
      <c r="A619" t="n">
        <v>15</v>
      </c>
      <c r="B619" t="n">
        <v>38</v>
      </c>
      <c r="C619">
        <f>SQRT((Scale_PCA_Mechanics!G16-Scale_PCA_Mechanics!G39)^2+(Scale_PCA_Mechanics!H16-Scale_PCA_Mechanics!H39)^2+(Scale_PCA_Mechanics!I16-Scale_PCA_Mechanics!I39)^2+(Scale_PCA_Mechanics!J16-Scale_PCA_Mechanics!J39)^2)</f>
        <v/>
      </c>
      <c r="D619">
        <f>INDEX(KMeans_6_2!AA2:AA51,A619)</f>
        <v/>
      </c>
      <c r="E619">
        <f>INDEX(KMeans_6_2!AA2:AA51,B619)</f>
        <v/>
      </c>
      <c r="O619">
        <f>IF(OR(AND(D619=1,E619=2),AND(D619=2,E619=1)),C619,"")</f>
        <v/>
      </c>
      <c r="P619">
        <f>IF(OR(AND(D619=1,E619=3),AND(D619=3,E619=1)),C619,"")</f>
        <v/>
      </c>
      <c r="Q619">
        <f>IF(OR(AND(D619=2,E619=3),AND(D619=3,E619=2)),C619,"")</f>
        <v/>
      </c>
    </row>
    <row r="620">
      <c r="A620" t="n">
        <v>15</v>
      </c>
      <c r="B620" t="n">
        <v>39</v>
      </c>
      <c r="C620">
        <f>SQRT((Scale_PCA_Mechanics!G16-Scale_PCA_Mechanics!G40)^2+(Scale_PCA_Mechanics!H16-Scale_PCA_Mechanics!H40)^2+(Scale_PCA_Mechanics!I16-Scale_PCA_Mechanics!I40)^2+(Scale_PCA_Mechanics!J16-Scale_PCA_Mechanics!J40)^2)</f>
        <v/>
      </c>
      <c r="D620">
        <f>INDEX(KMeans_6_2!AA2:AA51,A620)</f>
        <v/>
      </c>
      <c r="E620">
        <f>INDEX(KMeans_6_2!AA2:AA51,B620)</f>
        <v/>
      </c>
      <c r="O620">
        <f>IF(OR(AND(D620=1,E620=2),AND(D620=2,E620=1)),C620,"")</f>
        <v/>
      </c>
      <c r="P620">
        <f>IF(OR(AND(D620=1,E620=3),AND(D620=3,E620=1)),C620,"")</f>
        <v/>
      </c>
      <c r="Q620">
        <f>IF(OR(AND(D620=2,E620=3),AND(D620=3,E620=2)),C620,"")</f>
        <v/>
      </c>
    </row>
    <row r="621">
      <c r="A621" t="n">
        <v>15</v>
      </c>
      <c r="B621" t="n">
        <v>40</v>
      </c>
      <c r="C621">
        <f>SQRT((Scale_PCA_Mechanics!G16-Scale_PCA_Mechanics!G41)^2+(Scale_PCA_Mechanics!H16-Scale_PCA_Mechanics!H41)^2+(Scale_PCA_Mechanics!I16-Scale_PCA_Mechanics!I41)^2+(Scale_PCA_Mechanics!J16-Scale_PCA_Mechanics!J41)^2)</f>
        <v/>
      </c>
      <c r="D621">
        <f>INDEX(KMeans_6_2!AA2:AA51,A621)</f>
        <v/>
      </c>
      <c r="E621">
        <f>INDEX(KMeans_6_2!AA2:AA51,B621)</f>
        <v/>
      </c>
      <c r="O621">
        <f>IF(OR(AND(D621=1,E621=2),AND(D621=2,E621=1)),C621,"")</f>
        <v/>
      </c>
      <c r="P621">
        <f>IF(OR(AND(D621=1,E621=3),AND(D621=3,E621=1)),C621,"")</f>
        <v/>
      </c>
      <c r="Q621">
        <f>IF(OR(AND(D621=2,E621=3),AND(D621=3,E621=2)),C621,"")</f>
        <v/>
      </c>
    </row>
    <row r="622">
      <c r="A622" t="n">
        <v>15</v>
      </c>
      <c r="B622" t="n">
        <v>41</v>
      </c>
      <c r="C622">
        <f>SQRT((Scale_PCA_Mechanics!G16-Scale_PCA_Mechanics!G42)^2+(Scale_PCA_Mechanics!H16-Scale_PCA_Mechanics!H42)^2+(Scale_PCA_Mechanics!I16-Scale_PCA_Mechanics!I42)^2+(Scale_PCA_Mechanics!J16-Scale_PCA_Mechanics!J42)^2)</f>
        <v/>
      </c>
      <c r="D622">
        <f>INDEX(KMeans_6_2!AA2:AA51,A622)</f>
        <v/>
      </c>
      <c r="E622">
        <f>INDEX(KMeans_6_2!AA2:AA51,B622)</f>
        <v/>
      </c>
      <c r="O622">
        <f>IF(OR(AND(D622=1,E622=2),AND(D622=2,E622=1)),C622,"")</f>
        <v/>
      </c>
      <c r="P622">
        <f>IF(OR(AND(D622=1,E622=3),AND(D622=3,E622=1)),C622,"")</f>
        <v/>
      </c>
      <c r="Q622">
        <f>IF(OR(AND(D622=2,E622=3),AND(D622=3,E622=2)),C622,"")</f>
        <v/>
      </c>
    </row>
    <row r="623">
      <c r="A623" t="n">
        <v>15</v>
      </c>
      <c r="B623" t="n">
        <v>42</v>
      </c>
      <c r="C623">
        <f>SQRT((Scale_PCA_Mechanics!G16-Scale_PCA_Mechanics!G43)^2+(Scale_PCA_Mechanics!H16-Scale_PCA_Mechanics!H43)^2+(Scale_PCA_Mechanics!I16-Scale_PCA_Mechanics!I43)^2+(Scale_PCA_Mechanics!J16-Scale_PCA_Mechanics!J43)^2)</f>
        <v/>
      </c>
      <c r="D623">
        <f>INDEX(KMeans_6_2!AA2:AA51,A623)</f>
        <v/>
      </c>
      <c r="E623">
        <f>INDEX(KMeans_6_2!AA2:AA51,B623)</f>
        <v/>
      </c>
      <c r="O623">
        <f>IF(OR(AND(D623=1,E623=2),AND(D623=2,E623=1)),C623,"")</f>
        <v/>
      </c>
      <c r="P623">
        <f>IF(OR(AND(D623=1,E623=3),AND(D623=3,E623=1)),C623,"")</f>
        <v/>
      </c>
      <c r="Q623">
        <f>IF(OR(AND(D623=2,E623=3),AND(D623=3,E623=2)),C623,"")</f>
        <v/>
      </c>
    </row>
    <row r="624">
      <c r="A624" t="n">
        <v>15</v>
      </c>
      <c r="B624" t="n">
        <v>43</v>
      </c>
      <c r="C624">
        <f>SQRT((Scale_PCA_Mechanics!G16-Scale_PCA_Mechanics!G44)^2+(Scale_PCA_Mechanics!H16-Scale_PCA_Mechanics!H44)^2+(Scale_PCA_Mechanics!I16-Scale_PCA_Mechanics!I44)^2+(Scale_PCA_Mechanics!J16-Scale_PCA_Mechanics!J44)^2)</f>
        <v/>
      </c>
      <c r="D624">
        <f>INDEX(KMeans_6_2!AA2:AA51,A624)</f>
        <v/>
      </c>
      <c r="E624">
        <f>INDEX(KMeans_6_2!AA2:AA51,B624)</f>
        <v/>
      </c>
      <c r="O624">
        <f>IF(OR(AND(D624=1,E624=2),AND(D624=2,E624=1)),C624,"")</f>
        <v/>
      </c>
      <c r="P624">
        <f>IF(OR(AND(D624=1,E624=3),AND(D624=3,E624=1)),C624,"")</f>
        <v/>
      </c>
      <c r="Q624">
        <f>IF(OR(AND(D624=2,E624=3),AND(D624=3,E624=2)),C624,"")</f>
        <v/>
      </c>
    </row>
    <row r="625">
      <c r="A625" t="n">
        <v>15</v>
      </c>
      <c r="B625" t="n">
        <v>44</v>
      </c>
      <c r="C625">
        <f>SQRT((Scale_PCA_Mechanics!G16-Scale_PCA_Mechanics!G45)^2+(Scale_PCA_Mechanics!H16-Scale_PCA_Mechanics!H45)^2+(Scale_PCA_Mechanics!I16-Scale_PCA_Mechanics!I45)^2+(Scale_PCA_Mechanics!J16-Scale_PCA_Mechanics!J45)^2)</f>
        <v/>
      </c>
      <c r="D625">
        <f>INDEX(KMeans_6_2!AA2:AA51,A625)</f>
        <v/>
      </c>
      <c r="E625">
        <f>INDEX(KMeans_6_2!AA2:AA51,B625)</f>
        <v/>
      </c>
      <c r="O625">
        <f>IF(OR(AND(D625=1,E625=2),AND(D625=2,E625=1)),C625,"")</f>
        <v/>
      </c>
      <c r="P625">
        <f>IF(OR(AND(D625=1,E625=3),AND(D625=3,E625=1)),C625,"")</f>
        <v/>
      </c>
      <c r="Q625">
        <f>IF(OR(AND(D625=2,E625=3),AND(D625=3,E625=2)),C625,"")</f>
        <v/>
      </c>
    </row>
    <row r="626">
      <c r="A626" t="n">
        <v>15</v>
      </c>
      <c r="B626" t="n">
        <v>45</v>
      </c>
      <c r="C626">
        <f>SQRT((Scale_PCA_Mechanics!G16-Scale_PCA_Mechanics!G46)^2+(Scale_PCA_Mechanics!H16-Scale_PCA_Mechanics!H46)^2+(Scale_PCA_Mechanics!I16-Scale_PCA_Mechanics!I46)^2+(Scale_PCA_Mechanics!J16-Scale_PCA_Mechanics!J46)^2)</f>
        <v/>
      </c>
      <c r="D626">
        <f>INDEX(KMeans_6_2!AA2:AA51,A626)</f>
        <v/>
      </c>
      <c r="E626">
        <f>INDEX(KMeans_6_2!AA2:AA51,B626)</f>
        <v/>
      </c>
      <c r="O626">
        <f>IF(OR(AND(D626=1,E626=2),AND(D626=2,E626=1)),C626,"")</f>
        <v/>
      </c>
      <c r="P626">
        <f>IF(OR(AND(D626=1,E626=3),AND(D626=3,E626=1)),C626,"")</f>
        <v/>
      </c>
      <c r="Q626">
        <f>IF(OR(AND(D626=2,E626=3),AND(D626=3,E626=2)),C626,"")</f>
        <v/>
      </c>
    </row>
    <row r="627">
      <c r="A627" t="n">
        <v>15</v>
      </c>
      <c r="B627" t="n">
        <v>46</v>
      </c>
      <c r="C627">
        <f>SQRT((Scale_PCA_Mechanics!G16-Scale_PCA_Mechanics!G47)^2+(Scale_PCA_Mechanics!H16-Scale_PCA_Mechanics!H47)^2+(Scale_PCA_Mechanics!I16-Scale_PCA_Mechanics!I47)^2+(Scale_PCA_Mechanics!J16-Scale_PCA_Mechanics!J47)^2)</f>
        <v/>
      </c>
      <c r="D627">
        <f>INDEX(KMeans_6_2!AA2:AA51,A627)</f>
        <v/>
      </c>
      <c r="E627">
        <f>INDEX(KMeans_6_2!AA2:AA51,B627)</f>
        <v/>
      </c>
      <c r="O627">
        <f>IF(OR(AND(D627=1,E627=2),AND(D627=2,E627=1)),C627,"")</f>
        <v/>
      </c>
      <c r="P627">
        <f>IF(OR(AND(D627=1,E627=3),AND(D627=3,E627=1)),C627,"")</f>
        <v/>
      </c>
      <c r="Q627">
        <f>IF(OR(AND(D627=2,E627=3),AND(D627=3,E627=2)),C627,"")</f>
        <v/>
      </c>
    </row>
    <row r="628">
      <c r="A628" t="n">
        <v>15</v>
      </c>
      <c r="B628" t="n">
        <v>47</v>
      </c>
      <c r="C628">
        <f>SQRT((Scale_PCA_Mechanics!G16-Scale_PCA_Mechanics!G48)^2+(Scale_PCA_Mechanics!H16-Scale_PCA_Mechanics!H48)^2+(Scale_PCA_Mechanics!I16-Scale_PCA_Mechanics!I48)^2+(Scale_PCA_Mechanics!J16-Scale_PCA_Mechanics!J48)^2)</f>
        <v/>
      </c>
      <c r="D628">
        <f>INDEX(KMeans_6_2!AA2:AA51,A628)</f>
        <v/>
      </c>
      <c r="E628">
        <f>INDEX(KMeans_6_2!AA2:AA51,B628)</f>
        <v/>
      </c>
      <c r="O628">
        <f>IF(OR(AND(D628=1,E628=2),AND(D628=2,E628=1)),C628,"")</f>
        <v/>
      </c>
      <c r="P628">
        <f>IF(OR(AND(D628=1,E628=3),AND(D628=3,E628=1)),C628,"")</f>
        <v/>
      </c>
      <c r="Q628">
        <f>IF(OR(AND(D628=2,E628=3),AND(D628=3,E628=2)),C628,"")</f>
        <v/>
      </c>
    </row>
    <row r="629">
      <c r="A629" t="n">
        <v>15</v>
      </c>
      <c r="B629" t="n">
        <v>48</v>
      </c>
      <c r="C629">
        <f>SQRT((Scale_PCA_Mechanics!G16-Scale_PCA_Mechanics!G49)^2+(Scale_PCA_Mechanics!H16-Scale_PCA_Mechanics!H49)^2+(Scale_PCA_Mechanics!I16-Scale_PCA_Mechanics!I49)^2+(Scale_PCA_Mechanics!J16-Scale_PCA_Mechanics!J49)^2)</f>
        <v/>
      </c>
      <c r="D629">
        <f>INDEX(KMeans_6_2!AA2:AA51,A629)</f>
        <v/>
      </c>
      <c r="E629">
        <f>INDEX(KMeans_6_2!AA2:AA51,B629)</f>
        <v/>
      </c>
      <c r="O629">
        <f>IF(OR(AND(D629=1,E629=2),AND(D629=2,E629=1)),C629,"")</f>
        <v/>
      </c>
      <c r="P629">
        <f>IF(OR(AND(D629=1,E629=3),AND(D629=3,E629=1)),C629,"")</f>
        <v/>
      </c>
      <c r="Q629">
        <f>IF(OR(AND(D629=2,E629=3),AND(D629=3,E629=2)),C629,"")</f>
        <v/>
      </c>
    </row>
    <row r="630">
      <c r="A630" t="n">
        <v>15</v>
      </c>
      <c r="B630" t="n">
        <v>49</v>
      </c>
      <c r="C630">
        <f>SQRT((Scale_PCA_Mechanics!G16-Scale_PCA_Mechanics!G50)^2+(Scale_PCA_Mechanics!H16-Scale_PCA_Mechanics!H50)^2+(Scale_PCA_Mechanics!I16-Scale_PCA_Mechanics!I50)^2+(Scale_PCA_Mechanics!J16-Scale_PCA_Mechanics!J50)^2)</f>
        <v/>
      </c>
      <c r="D630">
        <f>INDEX(KMeans_6_2!AA2:AA51,A630)</f>
        <v/>
      </c>
      <c r="E630">
        <f>INDEX(KMeans_6_2!AA2:AA51,B630)</f>
        <v/>
      </c>
      <c r="O630">
        <f>IF(OR(AND(D630=1,E630=2),AND(D630=2,E630=1)),C630,"")</f>
        <v/>
      </c>
      <c r="P630">
        <f>IF(OR(AND(D630=1,E630=3),AND(D630=3,E630=1)),C630,"")</f>
        <v/>
      </c>
      <c r="Q630">
        <f>IF(OR(AND(D630=2,E630=3),AND(D630=3,E630=2)),C630,"")</f>
        <v/>
      </c>
    </row>
    <row r="631">
      <c r="A631" t="n">
        <v>15</v>
      </c>
      <c r="B631" t="n">
        <v>50</v>
      </c>
      <c r="C631">
        <f>SQRT((Scale_PCA_Mechanics!G16-Scale_PCA_Mechanics!G51)^2+(Scale_PCA_Mechanics!H16-Scale_PCA_Mechanics!H51)^2+(Scale_PCA_Mechanics!I16-Scale_PCA_Mechanics!I51)^2+(Scale_PCA_Mechanics!J16-Scale_PCA_Mechanics!J51)^2)</f>
        <v/>
      </c>
      <c r="D631">
        <f>INDEX(KMeans_6_2!AA2:AA51,A631)</f>
        <v/>
      </c>
      <c r="E631">
        <f>INDEX(KMeans_6_2!AA2:AA51,B631)</f>
        <v/>
      </c>
      <c r="O631">
        <f>IF(OR(AND(D631=1,E631=2),AND(D631=2,E631=1)),C631,"")</f>
        <v/>
      </c>
      <c r="P631">
        <f>IF(OR(AND(D631=1,E631=3),AND(D631=3,E631=1)),C631,"")</f>
        <v/>
      </c>
      <c r="Q631">
        <f>IF(OR(AND(D631=2,E631=3),AND(D631=3,E631=2)),C631,"")</f>
        <v/>
      </c>
    </row>
    <row r="632">
      <c r="A632" t="n">
        <v>16</v>
      </c>
      <c r="B632" t="n">
        <v>17</v>
      </c>
      <c r="C632">
        <f>SQRT((Scale_PCA_Mechanics!G17-Scale_PCA_Mechanics!G18)^2+(Scale_PCA_Mechanics!H17-Scale_PCA_Mechanics!H18)^2+(Scale_PCA_Mechanics!I17-Scale_PCA_Mechanics!I18)^2+(Scale_PCA_Mechanics!J17-Scale_PCA_Mechanics!J18)^2)</f>
        <v/>
      </c>
      <c r="D632">
        <f>INDEX(KMeans_6_2!AA2:AA51,A632)</f>
        <v/>
      </c>
      <c r="E632">
        <f>INDEX(KMeans_6_2!AA2:AA51,B632)</f>
        <v/>
      </c>
      <c r="O632">
        <f>IF(OR(AND(D632=1,E632=2),AND(D632=2,E632=1)),C632,"")</f>
        <v/>
      </c>
      <c r="P632">
        <f>IF(OR(AND(D632=1,E632=3),AND(D632=3,E632=1)),C632,"")</f>
        <v/>
      </c>
      <c r="Q632">
        <f>IF(OR(AND(D632=2,E632=3),AND(D632=3,E632=2)),C632,"")</f>
        <v/>
      </c>
    </row>
    <row r="633">
      <c r="A633" t="n">
        <v>16</v>
      </c>
      <c r="B633" t="n">
        <v>18</v>
      </c>
      <c r="C633">
        <f>SQRT((Scale_PCA_Mechanics!G17-Scale_PCA_Mechanics!G19)^2+(Scale_PCA_Mechanics!H17-Scale_PCA_Mechanics!H19)^2+(Scale_PCA_Mechanics!I17-Scale_PCA_Mechanics!I19)^2+(Scale_PCA_Mechanics!J17-Scale_PCA_Mechanics!J19)^2)</f>
        <v/>
      </c>
      <c r="D633">
        <f>INDEX(KMeans_6_2!AA2:AA51,A633)</f>
        <v/>
      </c>
      <c r="E633">
        <f>INDEX(KMeans_6_2!AA2:AA51,B633)</f>
        <v/>
      </c>
      <c r="O633">
        <f>IF(OR(AND(D633=1,E633=2),AND(D633=2,E633=1)),C633,"")</f>
        <v/>
      </c>
      <c r="P633">
        <f>IF(OR(AND(D633=1,E633=3),AND(D633=3,E633=1)),C633,"")</f>
        <v/>
      </c>
      <c r="Q633">
        <f>IF(OR(AND(D633=2,E633=3),AND(D633=3,E633=2)),C633,"")</f>
        <v/>
      </c>
    </row>
    <row r="634">
      <c r="A634" t="n">
        <v>16</v>
      </c>
      <c r="B634" t="n">
        <v>19</v>
      </c>
      <c r="C634">
        <f>SQRT((Scale_PCA_Mechanics!G17-Scale_PCA_Mechanics!G20)^2+(Scale_PCA_Mechanics!H17-Scale_PCA_Mechanics!H20)^2+(Scale_PCA_Mechanics!I17-Scale_PCA_Mechanics!I20)^2+(Scale_PCA_Mechanics!J17-Scale_PCA_Mechanics!J20)^2)</f>
        <v/>
      </c>
      <c r="D634">
        <f>INDEX(KMeans_6_2!AA2:AA51,A634)</f>
        <v/>
      </c>
      <c r="E634">
        <f>INDEX(KMeans_6_2!AA2:AA51,B634)</f>
        <v/>
      </c>
      <c r="O634">
        <f>IF(OR(AND(D634=1,E634=2),AND(D634=2,E634=1)),C634,"")</f>
        <v/>
      </c>
      <c r="P634">
        <f>IF(OR(AND(D634=1,E634=3),AND(D634=3,E634=1)),C634,"")</f>
        <v/>
      </c>
      <c r="Q634">
        <f>IF(OR(AND(D634=2,E634=3),AND(D634=3,E634=2)),C634,"")</f>
        <v/>
      </c>
    </row>
    <row r="635">
      <c r="A635" t="n">
        <v>16</v>
      </c>
      <c r="B635" t="n">
        <v>20</v>
      </c>
      <c r="C635">
        <f>SQRT((Scale_PCA_Mechanics!G17-Scale_PCA_Mechanics!G21)^2+(Scale_PCA_Mechanics!H17-Scale_PCA_Mechanics!H21)^2+(Scale_PCA_Mechanics!I17-Scale_PCA_Mechanics!I21)^2+(Scale_PCA_Mechanics!J17-Scale_PCA_Mechanics!J21)^2)</f>
        <v/>
      </c>
      <c r="D635">
        <f>INDEX(KMeans_6_2!AA2:AA51,A635)</f>
        <v/>
      </c>
      <c r="E635">
        <f>INDEX(KMeans_6_2!AA2:AA51,B635)</f>
        <v/>
      </c>
      <c r="O635">
        <f>IF(OR(AND(D635=1,E635=2),AND(D635=2,E635=1)),C635,"")</f>
        <v/>
      </c>
      <c r="P635">
        <f>IF(OR(AND(D635=1,E635=3),AND(D635=3,E635=1)),C635,"")</f>
        <v/>
      </c>
      <c r="Q635">
        <f>IF(OR(AND(D635=2,E635=3),AND(D635=3,E635=2)),C635,"")</f>
        <v/>
      </c>
    </row>
    <row r="636">
      <c r="A636" t="n">
        <v>16</v>
      </c>
      <c r="B636" t="n">
        <v>21</v>
      </c>
      <c r="C636">
        <f>SQRT((Scale_PCA_Mechanics!G17-Scale_PCA_Mechanics!G22)^2+(Scale_PCA_Mechanics!H17-Scale_PCA_Mechanics!H22)^2+(Scale_PCA_Mechanics!I17-Scale_PCA_Mechanics!I22)^2+(Scale_PCA_Mechanics!J17-Scale_PCA_Mechanics!J22)^2)</f>
        <v/>
      </c>
      <c r="D636">
        <f>INDEX(KMeans_6_2!AA2:AA51,A636)</f>
        <v/>
      </c>
      <c r="E636">
        <f>INDEX(KMeans_6_2!AA2:AA51,B636)</f>
        <v/>
      </c>
      <c r="O636">
        <f>IF(OR(AND(D636=1,E636=2),AND(D636=2,E636=1)),C636,"")</f>
        <v/>
      </c>
      <c r="P636">
        <f>IF(OR(AND(D636=1,E636=3),AND(D636=3,E636=1)),C636,"")</f>
        <v/>
      </c>
      <c r="Q636">
        <f>IF(OR(AND(D636=2,E636=3),AND(D636=3,E636=2)),C636,"")</f>
        <v/>
      </c>
    </row>
    <row r="637">
      <c r="A637" t="n">
        <v>16</v>
      </c>
      <c r="B637" t="n">
        <v>22</v>
      </c>
      <c r="C637">
        <f>SQRT((Scale_PCA_Mechanics!G17-Scale_PCA_Mechanics!G23)^2+(Scale_PCA_Mechanics!H17-Scale_PCA_Mechanics!H23)^2+(Scale_PCA_Mechanics!I17-Scale_PCA_Mechanics!I23)^2+(Scale_PCA_Mechanics!J17-Scale_PCA_Mechanics!J23)^2)</f>
        <v/>
      </c>
      <c r="D637">
        <f>INDEX(KMeans_6_2!AA2:AA51,A637)</f>
        <v/>
      </c>
      <c r="E637">
        <f>INDEX(KMeans_6_2!AA2:AA51,B637)</f>
        <v/>
      </c>
      <c r="O637">
        <f>IF(OR(AND(D637=1,E637=2),AND(D637=2,E637=1)),C637,"")</f>
        <v/>
      </c>
      <c r="P637">
        <f>IF(OR(AND(D637=1,E637=3),AND(D637=3,E637=1)),C637,"")</f>
        <v/>
      </c>
      <c r="Q637">
        <f>IF(OR(AND(D637=2,E637=3),AND(D637=3,E637=2)),C637,"")</f>
        <v/>
      </c>
    </row>
    <row r="638">
      <c r="A638" t="n">
        <v>16</v>
      </c>
      <c r="B638" t="n">
        <v>23</v>
      </c>
      <c r="C638">
        <f>SQRT((Scale_PCA_Mechanics!G17-Scale_PCA_Mechanics!G24)^2+(Scale_PCA_Mechanics!H17-Scale_PCA_Mechanics!H24)^2+(Scale_PCA_Mechanics!I17-Scale_PCA_Mechanics!I24)^2+(Scale_PCA_Mechanics!J17-Scale_PCA_Mechanics!J24)^2)</f>
        <v/>
      </c>
      <c r="D638">
        <f>INDEX(KMeans_6_2!AA2:AA51,A638)</f>
        <v/>
      </c>
      <c r="E638">
        <f>INDEX(KMeans_6_2!AA2:AA51,B638)</f>
        <v/>
      </c>
      <c r="O638">
        <f>IF(OR(AND(D638=1,E638=2),AND(D638=2,E638=1)),C638,"")</f>
        <v/>
      </c>
      <c r="P638">
        <f>IF(OR(AND(D638=1,E638=3),AND(D638=3,E638=1)),C638,"")</f>
        <v/>
      </c>
      <c r="Q638">
        <f>IF(OR(AND(D638=2,E638=3),AND(D638=3,E638=2)),C638,"")</f>
        <v/>
      </c>
    </row>
    <row r="639">
      <c r="A639" t="n">
        <v>16</v>
      </c>
      <c r="B639" t="n">
        <v>24</v>
      </c>
      <c r="C639">
        <f>SQRT((Scale_PCA_Mechanics!G17-Scale_PCA_Mechanics!G25)^2+(Scale_PCA_Mechanics!H17-Scale_PCA_Mechanics!H25)^2+(Scale_PCA_Mechanics!I17-Scale_PCA_Mechanics!I25)^2+(Scale_PCA_Mechanics!J17-Scale_PCA_Mechanics!J25)^2)</f>
        <v/>
      </c>
      <c r="D639">
        <f>INDEX(KMeans_6_2!AA2:AA51,A639)</f>
        <v/>
      </c>
      <c r="E639">
        <f>INDEX(KMeans_6_2!AA2:AA51,B639)</f>
        <v/>
      </c>
      <c r="O639">
        <f>IF(OR(AND(D639=1,E639=2),AND(D639=2,E639=1)),C639,"")</f>
        <v/>
      </c>
      <c r="P639">
        <f>IF(OR(AND(D639=1,E639=3),AND(D639=3,E639=1)),C639,"")</f>
        <v/>
      </c>
      <c r="Q639">
        <f>IF(OR(AND(D639=2,E639=3),AND(D639=3,E639=2)),C639,"")</f>
        <v/>
      </c>
    </row>
    <row r="640">
      <c r="A640" t="n">
        <v>16</v>
      </c>
      <c r="B640" t="n">
        <v>25</v>
      </c>
      <c r="C640">
        <f>SQRT((Scale_PCA_Mechanics!G17-Scale_PCA_Mechanics!G26)^2+(Scale_PCA_Mechanics!H17-Scale_PCA_Mechanics!H26)^2+(Scale_PCA_Mechanics!I17-Scale_PCA_Mechanics!I26)^2+(Scale_PCA_Mechanics!J17-Scale_PCA_Mechanics!J26)^2)</f>
        <v/>
      </c>
      <c r="D640">
        <f>INDEX(KMeans_6_2!AA2:AA51,A640)</f>
        <v/>
      </c>
      <c r="E640">
        <f>INDEX(KMeans_6_2!AA2:AA51,B640)</f>
        <v/>
      </c>
      <c r="O640">
        <f>IF(OR(AND(D640=1,E640=2),AND(D640=2,E640=1)),C640,"")</f>
        <v/>
      </c>
      <c r="P640">
        <f>IF(OR(AND(D640=1,E640=3),AND(D640=3,E640=1)),C640,"")</f>
        <v/>
      </c>
      <c r="Q640">
        <f>IF(OR(AND(D640=2,E640=3),AND(D640=3,E640=2)),C640,"")</f>
        <v/>
      </c>
    </row>
    <row r="641">
      <c r="A641" t="n">
        <v>16</v>
      </c>
      <c r="B641" t="n">
        <v>26</v>
      </c>
      <c r="C641">
        <f>SQRT((Scale_PCA_Mechanics!G17-Scale_PCA_Mechanics!G27)^2+(Scale_PCA_Mechanics!H17-Scale_PCA_Mechanics!H27)^2+(Scale_PCA_Mechanics!I17-Scale_PCA_Mechanics!I27)^2+(Scale_PCA_Mechanics!J17-Scale_PCA_Mechanics!J27)^2)</f>
        <v/>
      </c>
      <c r="D641">
        <f>INDEX(KMeans_6_2!AA2:AA51,A641)</f>
        <v/>
      </c>
      <c r="E641">
        <f>INDEX(KMeans_6_2!AA2:AA51,B641)</f>
        <v/>
      </c>
      <c r="O641">
        <f>IF(OR(AND(D641=1,E641=2),AND(D641=2,E641=1)),C641,"")</f>
        <v/>
      </c>
      <c r="P641">
        <f>IF(OR(AND(D641=1,E641=3),AND(D641=3,E641=1)),C641,"")</f>
        <v/>
      </c>
      <c r="Q641">
        <f>IF(OR(AND(D641=2,E641=3),AND(D641=3,E641=2)),C641,"")</f>
        <v/>
      </c>
    </row>
    <row r="642">
      <c r="A642" t="n">
        <v>16</v>
      </c>
      <c r="B642" t="n">
        <v>27</v>
      </c>
      <c r="C642">
        <f>SQRT((Scale_PCA_Mechanics!G17-Scale_PCA_Mechanics!G28)^2+(Scale_PCA_Mechanics!H17-Scale_PCA_Mechanics!H28)^2+(Scale_PCA_Mechanics!I17-Scale_PCA_Mechanics!I28)^2+(Scale_PCA_Mechanics!J17-Scale_PCA_Mechanics!J28)^2)</f>
        <v/>
      </c>
      <c r="D642">
        <f>INDEX(KMeans_6_2!AA2:AA51,A642)</f>
        <v/>
      </c>
      <c r="E642">
        <f>INDEX(KMeans_6_2!AA2:AA51,B642)</f>
        <v/>
      </c>
      <c r="O642">
        <f>IF(OR(AND(D642=1,E642=2),AND(D642=2,E642=1)),C642,"")</f>
        <v/>
      </c>
      <c r="P642">
        <f>IF(OR(AND(D642=1,E642=3),AND(D642=3,E642=1)),C642,"")</f>
        <v/>
      </c>
      <c r="Q642">
        <f>IF(OR(AND(D642=2,E642=3),AND(D642=3,E642=2)),C642,"")</f>
        <v/>
      </c>
    </row>
    <row r="643">
      <c r="A643" t="n">
        <v>16</v>
      </c>
      <c r="B643" t="n">
        <v>28</v>
      </c>
      <c r="C643">
        <f>SQRT((Scale_PCA_Mechanics!G17-Scale_PCA_Mechanics!G29)^2+(Scale_PCA_Mechanics!H17-Scale_PCA_Mechanics!H29)^2+(Scale_PCA_Mechanics!I17-Scale_PCA_Mechanics!I29)^2+(Scale_PCA_Mechanics!J17-Scale_PCA_Mechanics!J29)^2)</f>
        <v/>
      </c>
      <c r="D643">
        <f>INDEX(KMeans_6_2!AA2:AA51,A643)</f>
        <v/>
      </c>
      <c r="E643">
        <f>INDEX(KMeans_6_2!AA2:AA51,B643)</f>
        <v/>
      </c>
      <c r="O643">
        <f>IF(OR(AND(D643=1,E643=2),AND(D643=2,E643=1)),C643,"")</f>
        <v/>
      </c>
      <c r="P643">
        <f>IF(OR(AND(D643=1,E643=3),AND(D643=3,E643=1)),C643,"")</f>
        <v/>
      </c>
      <c r="Q643">
        <f>IF(OR(AND(D643=2,E643=3),AND(D643=3,E643=2)),C643,"")</f>
        <v/>
      </c>
    </row>
    <row r="644">
      <c r="A644" t="n">
        <v>16</v>
      </c>
      <c r="B644" t="n">
        <v>29</v>
      </c>
      <c r="C644">
        <f>SQRT((Scale_PCA_Mechanics!G17-Scale_PCA_Mechanics!G30)^2+(Scale_PCA_Mechanics!H17-Scale_PCA_Mechanics!H30)^2+(Scale_PCA_Mechanics!I17-Scale_PCA_Mechanics!I30)^2+(Scale_PCA_Mechanics!J17-Scale_PCA_Mechanics!J30)^2)</f>
        <v/>
      </c>
      <c r="D644">
        <f>INDEX(KMeans_6_2!AA2:AA51,A644)</f>
        <v/>
      </c>
      <c r="E644">
        <f>INDEX(KMeans_6_2!AA2:AA51,B644)</f>
        <v/>
      </c>
      <c r="O644">
        <f>IF(OR(AND(D644=1,E644=2),AND(D644=2,E644=1)),C644,"")</f>
        <v/>
      </c>
      <c r="P644">
        <f>IF(OR(AND(D644=1,E644=3),AND(D644=3,E644=1)),C644,"")</f>
        <v/>
      </c>
      <c r="Q644">
        <f>IF(OR(AND(D644=2,E644=3),AND(D644=3,E644=2)),C644,"")</f>
        <v/>
      </c>
    </row>
    <row r="645">
      <c r="A645" t="n">
        <v>16</v>
      </c>
      <c r="B645" t="n">
        <v>30</v>
      </c>
      <c r="C645">
        <f>SQRT((Scale_PCA_Mechanics!G17-Scale_PCA_Mechanics!G31)^2+(Scale_PCA_Mechanics!H17-Scale_PCA_Mechanics!H31)^2+(Scale_PCA_Mechanics!I17-Scale_PCA_Mechanics!I31)^2+(Scale_PCA_Mechanics!J17-Scale_PCA_Mechanics!J31)^2)</f>
        <v/>
      </c>
      <c r="D645">
        <f>INDEX(KMeans_6_2!AA2:AA51,A645)</f>
        <v/>
      </c>
      <c r="E645">
        <f>INDEX(KMeans_6_2!AA2:AA51,B645)</f>
        <v/>
      </c>
      <c r="O645">
        <f>IF(OR(AND(D645=1,E645=2),AND(D645=2,E645=1)),C645,"")</f>
        <v/>
      </c>
      <c r="P645">
        <f>IF(OR(AND(D645=1,E645=3),AND(D645=3,E645=1)),C645,"")</f>
        <v/>
      </c>
      <c r="Q645">
        <f>IF(OR(AND(D645=2,E645=3),AND(D645=3,E645=2)),C645,"")</f>
        <v/>
      </c>
    </row>
    <row r="646">
      <c r="A646" t="n">
        <v>16</v>
      </c>
      <c r="B646" t="n">
        <v>31</v>
      </c>
      <c r="C646">
        <f>SQRT((Scale_PCA_Mechanics!G17-Scale_PCA_Mechanics!G32)^2+(Scale_PCA_Mechanics!H17-Scale_PCA_Mechanics!H32)^2+(Scale_PCA_Mechanics!I17-Scale_PCA_Mechanics!I32)^2+(Scale_PCA_Mechanics!J17-Scale_PCA_Mechanics!J32)^2)</f>
        <v/>
      </c>
      <c r="D646">
        <f>INDEX(KMeans_6_2!AA2:AA51,A646)</f>
        <v/>
      </c>
      <c r="E646">
        <f>INDEX(KMeans_6_2!AA2:AA51,B646)</f>
        <v/>
      </c>
      <c r="O646">
        <f>IF(OR(AND(D646=1,E646=2),AND(D646=2,E646=1)),C646,"")</f>
        <v/>
      </c>
      <c r="P646">
        <f>IF(OR(AND(D646=1,E646=3),AND(D646=3,E646=1)),C646,"")</f>
        <v/>
      </c>
      <c r="Q646">
        <f>IF(OR(AND(D646=2,E646=3),AND(D646=3,E646=2)),C646,"")</f>
        <v/>
      </c>
    </row>
    <row r="647">
      <c r="A647" t="n">
        <v>16</v>
      </c>
      <c r="B647" t="n">
        <v>32</v>
      </c>
      <c r="C647">
        <f>SQRT((Scale_PCA_Mechanics!G17-Scale_PCA_Mechanics!G33)^2+(Scale_PCA_Mechanics!H17-Scale_PCA_Mechanics!H33)^2+(Scale_PCA_Mechanics!I17-Scale_PCA_Mechanics!I33)^2+(Scale_PCA_Mechanics!J17-Scale_PCA_Mechanics!J33)^2)</f>
        <v/>
      </c>
      <c r="D647">
        <f>INDEX(KMeans_6_2!AA2:AA51,A647)</f>
        <v/>
      </c>
      <c r="E647">
        <f>INDEX(KMeans_6_2!AA2:AA51,B647)</f>
        <v/>
      </c>
      <c r="O647">
        <f>IF(OR(AND(D647=1,E647=2),AND(D647=2,E647=1)),C647,"")</f>
        <v/>
      </c>
      <c r="P647">
        <f>IF(OR(AND(D647=1,E647=3),AND(D647=3,E647=1)),C647,"")</f>
        <v/>
      </c>
      <c r="Q647">
        <f>IF(OR(AND(D647=2,E647=3),AND(D647=3,E647=2)),C647,"")</f>
        <v/>
      </c>
    </row>
    <row r="648">
      <c r="A648" t="n">
        <v>16</v>
      </c>
      <c r="B648" t="n">
        <v>33</v>
      </c>
      <c r="C648">
        <f>SQRT((Scale_PCA_Mechanics!G17-Scale_PCA_Mechanics!G34)^2+(Scale_PCA_Mechanics!H17-Scale_PCA_Mechanics!H34)^2+(Scale_PCA_Mechanics!I17-Scale_PCA_Mechanics!I34)^2+(Scale_PCA_Mechanics!J17-Scale_PCA_Mechanics!J34)^2)</f>
        <v/>
      </c>
      <c r="D648">
        <f>INDEX(KMeans_6_2!AA2:AA51,A648)</f>
        <v/>
      </c>
      <c r="E648">
        <f>INDEX(KMeans_6_2!AA2:AA51,B648)</f>
        <v/>
      </c>
      <c r="O648">
        <f>IF(OR(AND(D648=1,E648=2),AND(D648=2,E648=1)),C648,"")</f>
        <v/>
      </c>
      <c r="P648">
        <f>IF(OR(AND(D648=1,E648=3),AND(D648=3,E648=1)),C648,"")</f>
        <v/>
      </c>
      <c r="Q648">
        <f>IF(OR(AND(D648=2,E648=3),AND(D648=3,E648=2)),C648,"")</f>
        <v/>
      </c>
    </row>
    <row r="649">
      <c r="A649" t="n">
        <v>16</v>
      </c>
      <c r="B649" t="n">
        <v>34</v>
      </c>
      <c r="C649">
        <f>SQRT((Scale_PCA_Mechanics!G17-Scale_PCA_Mechanics!G35)^2+(Scale_PCA_Mechanics!H17-Scale_PCA_Mechanics!H35)^2+(Scale_PCA_Mechanics!I17-Scale_PCA_Mechanics!I35)^2+(Scale_PCA_Mechanics!J17-Scale_PCA_Mechanics!J35)^2)</f>
        <v/>
      </c>
      <c r="D649">
        <f>INDEX(KMeans_6_2!AA2:AA51,A649)</f>
        <v/>
      </c>
      <c r="E649">
        <f>INDEX(KMeans_6_2!AA2:AA51,B649)</f>
        <v/>
      </c>
      <c r="O649">
        <f>IF(OR(AND(D649=1,E649=2),AND(D649=2,E649=1)),C649,"")</f>
        <v/>
      </c>
      <c r="P649">
        <f>IF(OR(AND(D649=1,E649=3),AND(D649=3,E649=1)),C649,"")</f>
        <v/>
      </c>
      <c r="Q649">
        <f>IF(OR(AND(D649=2,E649=3),AND(D649=3,E649=2)),C649,"")</f>
        <v/>
      </c>
    </row>
    <row r="650">
      <c r="A650" t="n">
        <v>16</v>
      </c>
      <c r="B650" t="n">
        <v>35</v>
      </c>
      <c r="C650">
        <f>SQRT((Scale_PCA_Mechanics!G17-Scale_PCA_Mechanics!G36)^2+(Scale_PCA_Mechanics!H17-Scale_PCA_Mechanics!H36)^2+(Scale_PCA_Mechanics!I17-Scale_PCA_Mechanics!I36)^2+(Scale_PCA_Mechanics!J17-Scale_PCA_Mechanics!J36)^2)</f>
        <v/>
      </c>
      <c r="D650">
        <f>INDEX(KMeans_6_2!AA2:AA51,A650)</f>
        <v/>
      </c>
      <c r="E650">
        <f>INDEX(KMeans_6_2!AA2:AA51,B650)</f>
        <v/>
      </c>
      <c r="O650">
        <f>IF(OR(AND(D650=1,E650=2),AND(D650=2,E650=1)),C650,"")</f>
        <v/>
      </c>
      <c r="P650">
        <f>IF(OR(AND(D650=1,E650=3),AND(D650=3,E650=1)),C650,"")</f>
        <v/>
      </c>
      <c r="Q650">
        <f>IF(OR(AND(D650=2,E650=3),AND(D650=3,E650=2)),C650,"")</f>
        <v/>
      </c>
    </row>
    <row r="651">
      <c r="A651" t="n">
        <v>16</v>
      </c>
      <c r="B651" t="n">
        <v>36</v>
      </c>
      <c r="C651">
        <f>SQRT((Scale_PCA_Mechanics!G17-Scale_PCA_Mechanics!G37)^2+(Scale_PCA_Mechanics!H17-Scale_PCA_Mechanics!H37)^2+(Scale_PCA_Mechanics!I17-Scale_PCA_Mechanics!I37)^2+(Scale_PCA_Mechanics!J17-Scale_PCA_Mechanics!J37)^2)</f>
        <v/>
      </c>
      <c r="D651">
        <f>INDEX(KMeans_6_2!AA2:AA51,A651)</f>
        <v/>
      </c>
      <c r="E651">
        <f>INDEX(KMeans_6_2!AA2:AA51,B651)</f>
        <v/>
      </c>
      <c r="O651">
        <f>IF(OR(AND(D651=1,E651=2),AND(D651=2,E651=1)),C651,"")</f>
        <v/>
      </c>
      <c r="P651">
        <f>IF(OR(AND(D651=1,E651=3),AND(D651=3,E651=1)),C651,"")</f>
        <v/>
      </c>
      <c r="Q651">
        <f>IF(OR(AND(D651=2,E651=3),AND(D651=3,E651=2)),C651,"")</f>
        <v/>
      </c>
    </row>
    <row r="652">
      <c r="A652" t="n">
        <v>16</v>
      </c>
      <c r="B652" t="n">
        <v>37</v>
      </c>
      <c r="C652">
        <f>SQRT((Scale_PCA_Mechanics!G17-Scale_PCA_Mechanics!G38)^2+(Scale_PCA_Mechanics!H17-Scale_PCA_Mechanics!H38)^2+(Scale_PCA_Mechanics!I17-Scale_PCA_Mechanics!I38)^2+(Scale_PCA_Mechanics!J17-Scale_PCA_Mechanics!J38)^2)</f>
        <v/>
      </c>
      <c r="D652">
        <f>INDEX(KMeans_6_2!AA2:AA51,A652)</f>
        <v/>
      </c>
      <c r="E652">
        <f>INDEX(KMeans_6_2!AA2:AA51,B652)</f>
        <v/>
      </c>
      <c r="O652">
        <f>IF(OR(AND(D652=1,E652=2),AND(D652=2,E652=1)),C652,"")</f>
        <v/>
      </c>
      <c r="P652">
        <f>IF(OR(AND(D652=1,E652=3),AND(D652=3,E652=1)),C652,"")</f>
        <v/>
      </c>
      <c r="Q652">
        <f>IF(OR(AND(D652=2,E652=3),AND(D652=3,E652=2)),C652,"")</f>
        <v/>
      </c>
    </row>
    <row r="653">
      <c r="A653" t="n">
        <v>16</v>
      </c>
      <c r="B653" t="n">
        <v>38</v>
      </c>
      <c r="C653">
        <f>SQRT((Scale_PCA_Mechanics!G17-Scale_PCA_Mechanics!G39)^2+(Scale_PCA_Mechanics!H17-Scale_PCA_Mechanics!H39)^2+(Scale_PCA_Mechanics!I17-Scale_PCA_Mechanics!I39)^2+(Scale_PCA_Mechanics!J17-Scale_PCA_Mechanics!J39)^2)</f>
        <v/>
      </c>
      <c r="D653">
        <f>INDEX(KMeans_6_2!AA2:AA51,A653)</f>
        <v/>
      </c>
      <c r="E653">
        <f>INDEX(KMeans_6_2!AA2:AA51,B653)</f>
        <v/>
      </c>
      <c r="O653">
        <f>IF(OR(AND(D653=1,E653=2),AND(D653=2,E653=1)),C653,"")</f>
        <v/>
      </c>
      <c r="P653">
        <f>IF(OR(AND(D653=1,E653=3),AND(D653=3,E653=1)),C653,"")</f>
        <v/>
      </c>
      <c r="Q653">
        <f>IF(OR(AND(D653=2,E653=3),AND(D653=3,E653=2)),C653,"")</f>
        <v/>
      </c>
    </row>
    <row r="654">
      <c r="A654" t="n">
        <v>16</v>
      </c>
      <c r="B654" t="n">
        <v>39</v>
      </c>
      <c r="C654">
        <f>SQRT((Scale_PCA_Mechanics!G17-Scale_PCA_Mechanics!G40)^2+(Scale_PCA_Mechanics!H17-Scale_PCA_Mechanics!H40)^2+(Scale_PCA_Mechanics!I17-Scale_PCA_Mechanics!I40)^2+(Scale_PCA_Mechanics!J17-Scale_PCA_Mechanics!J40)^2)</f>
        <v/>
      </c>
      <c r="D654">
        <f>INDEX(KMeans_6_2!AA2:AA51,A654)</f>
        <v/>
      </c>
      <c r="E654">
        <f>INDEX(KMeans_6_2!AA2:AA51,B654)</f>
        <v/>
      </c>
      <c r="O654">
        <f>IF(OR(AND(D654=1,E654=2),AND(D654=2,E654=1)),C654,"")</f>
        <v/>
      </c>
      <c r="P654">
        <f>IF(OR(AND(D654=1,E654=3),AND(D654=3,E654=1)),C654,"")</f>
        <v/>
      </c>
      <c r="Q654">
        <f>IF(OR(AND(D654=2,E654=3),AND(D654=3,E654=2)),C654,"")</f>
        <v/>
      </c>
    </row>
    <row r="655">
      <c r="A655" t="n">
        <v>16</v>
      </c>
      <c r="B655" t="n">
        <v>40</v>
      </c>
      <c r="C655">
        <f>SQRT((Scale_PCA_Mechanics!G17-Scale_PCA_Mechanics!G41)^2+(Scale_PCA_Mechanics!H17-Scale_PCA_Mechanics!H41)^2+(Scale_PCA_Mechanics!I17-Scale_PCA_Mechanics!I41)^2+(Scale_PCA_Mechanics!J17-Scale_PCA_Mechanics!J41)^2)</f>
        <v/>
      </c>
      <c r="D655">
        <f>INDEX(KMeans_6_2!AA2:AA51,A655)</f>
        <v/>
      </c>
      <c r="E655">
        <f>INDEX(KMeans_6_2!AA2:AA51,B655)</f>
        <v/>
      </c>
      <c r="O655">
        <f>IF(OR(AND(D655=1,E655=2),AND(D655=2,E655=1)),C655,"")</f>
        <v/>
      </c>
      <c r="P655">
        <f>IF(OR(AND(D655=1,E655=3),AND(D655=3,E655=1)),C655,"")</f>
        <v/>
      </c>
      <c r="Q655">
        <f>IF(OR(AND(D655=2,E655=3),AND(D655=3,E655=2)),C655,"")</f>
        <v/>
      </c>
    </row>
    <row r="656">
      <c r="A656" t="n">
        <v>16</v>
      </c>
      <c r="B656" t="n">
        <v>41</v>
      </c>
      <c r="C656">
        <f>SQRT((Scale_PCA_Mechanics!G17-Scale_PCA_Mechanics!G42)^2+(Scale_PCA_Mechanics!H17-Scale_PCA_Mechanics!H42)^2+(Scale_PCA_Mechanics!I17-Scale_PCA_Mechanics!I42)^2+(Scale_PCA_Mechanics!J17-Scale_PCA_Mechanics!J42)^2)</f>
        <v/>
      </c>
      <c r="D656">
        <f>INDEX(KMeans_6_2!AA2:AA51,A656)</f>
        <v/>
      </c>
      <c r="E656">
        <f>INDEX(KMeans_6_2!AA2:AA51,B656)</f>
        <v/>
      </c>
      <c r="O656">
        <f>IF(OR(AND(D656=1,E656=2),AND(D656=2,E656=1)),C656,"")</f>
        <v/>
      </c>
      <c r="P656">
        <f>IF(OR(AND(D656=1,E656=3),AND(D656=3,E656=1)),C656,"")</f>
        <v/>
      </c>
      <c r="Q656">
        <f>IF(OR(AND(D656=2,E656=3),AND(D656=3,E656=2)),C656,"")</f>
        <v/>
      </c>
    </row>
    <row r="657">
      <c r="A657" t="n">
        <v>16</v>
      </c>
      <c r="B657" t="n">
        <v>42</v>
      </c>
      <c r="C657">
        <f>SQRT((Scale_PCA_Mechanics!G17-Scale_PCA_Mechanics!G43)^2+(Scale_PCA_Mechanics!H17-Scale_PCA_Mechanics!H43)^2+(Scale_PCA_Mechanics!I17-Scale_PCA_Mechanics!I43)^2+(Scale_PCA_Mechanics!J17-Scale_PCA_Mechanics!J43)^2)</f>
        <v/>
      </c>
      <c r="D657">
        <f>INDEX(KMeans_6_2!AA2:AA51,A657)</f>
        <v/>
      </c>
      <c r="E657">
        <f>INDEX(KMeans_6_2!AA2:AA51,B657)</f>
        <v/>
      </c>
      <c r="O657">
        <f>IF(OR(AND(D657=1,E657=2),AND(D657=2,E657=1)),C657,"")</f>
        <v/>
      </c>
      <c r="P657">
        <f>IF(OR(AND(D657=1,E657=3),AND(D657=3,E657=1)),C657,"")</f>
        <v/>
      </c>
      <c r="Q657">
        <f>IF(OR(AND(D657=2,E657=3),AND(D657=3,E657=2)),C657,"")</f>
        <v/>
      </c>
    </row>
    <row r="658">
      <c r="A658" t="n">
        <v>16</v>
      </c>
      <c r="B658" t="n">
        <v>43</v>
      </c>
      <c r="C658">
        <f>SQRT((Scale_PCA_Mechanics!G17-Scale_PCA_Mechanics!G44)^2+(Scale_PCA_Mechanics!H17-Scale_PCA_Mechanics!H44)^2+(Scale_PCA_Mechanics!I17-Scale_PCA_Mechanics!I44)^2+(Scale_PCA_Mechanics!J17-Scale_PCA_Mechanics!J44)^2)</f>
        <v/>
      </c>
      <c r="D658">
        <f>INDEX(KMeans_6_2!AA2:AA51,A658)</f>
        <v/>
      </c>
      <c r="E658">
        <f>INDEX(KMeans_6_2!AA2:AA51,B658)</f>
        <v/>
      </c>
      <c r="O658">
        <f>IF(OR(AND(D658=1,E658=2),AND(D658=2,E658=1)),C658,"")</f>
        <v/>
      </c>
      <c r="P658">
        <f>IF(OR(AND(D658=1,E658=3),AND(D658=3,E658=1)),C658,"")</f>
        <v/>
      </c>
      <c r="Q658">
        <f>IF(OR(AND(D658=2,E658=3),AND(D658=3,E658=2)),C658,"")</f>
        <v/>
      </c>
    </row>
    <row r="659">
      <c r="A659" t="n">
        <v>16</v>
      </c>
      <c r="B659" t="n">
        <v>44</v>
      </c>
      <c r="C659">
        <f>SQRT((Scale_PCA_Mechanics!G17-Scale_PCA_Mechanics!G45)^2+(Scale_PCA_Mechanics!H17-Scale_PCA_Mechanics!H45)^2+(Scale_PCA_Mechanics!I17-Scale_PCA_Mechanics!I45)^2+(Scale_PCA_Mechanics!J17-Scale_PCA_Mechanics!J45)^2)</f>
        <v/>
      </c>
      <c r="D659">
        <f>INDEX(KMeans_6_2!AA2:AA51,A659)</f>
        <v/>
      </c>
      <c r="E659">
        <f>INDEX(KMeans_6_2!AA2:AA51,B659)</f>
        <v/>
      </c>
      <c r="O659">
        <f>IF(OR(AND(D659=1,E659=2),AND(D659=2,E659=1)),C659,"")</f>
        <v/>
      </c>
      <c r="P659">
        <f>IF(OR(AND(D659=1,E659=3),AND(D659=3,E659=1)),C659,"")</f>
        <v/>
      </c>
      <c r="Q659">
        <f>IF(OR(AND(D659=2,E659=3),AND(D659=3,E659=2)),C659,"")</f>
        <v/>
      </c>
    </row>
    <row r="660">
      <c r="A660" t="n">
        <v>16</v>
      </c>
      <c r="B660" t="n">
        <v>45</v>
      </c>
      <c r="C660">
        <f>SQRT((Scale_PCA_Mechanics!G17-Scale_PCA_Mechanics!G46)^2+(Scale_PCA_Mechanics!H17-Scale_PCA_Mechanics!H46)^2+(Scale_PCA_Mechanics!I17-Scale_PCA_Mechanics!I46)^2+(Scale_PCA_Mechanics!J17-Scale_PCA_Mechanics!J46)^2)</f>
        <v/>
      </c>
      <c r="D660">
        <f>INDEX(KMeans_6_2!AA2:AA51,A660)</f>
        <v/>
      </c>
      <c r="E660">
        <f>INDEX(KMeans_6_2!AA2:AA51,B660)</f>
        <v/>
      </c>
      <c r="O660">
        <f>IF(OR(AND(D660=1,E660=2),AND(D660=2,E660=1)),C660,"")</f>
        <v/>
      </c>
      <c r="P660">
        <f>IF(OR(AND(D660=1,E660=3),AND(D660=3,E660=1)),C660,"")</f>
        <v/>
      </c>
      <c r="Q660">
        <f>IF(OR(AND(D660=2,E660=3),AND(D660=3,E660=2)),C660,"")</f>
        <v/>
      </c>
    </row>
    <row r="661">
      <c r="A661" t="n">
        <v>16</v>
      </c>
      <c r="B661" t="n">
        <v>46</v>
      </c>
      <c r="C661">
        <f>SQRT((Scale_PCA_Mechanics!G17-Scale_PCA_Mechanics!G47)^2+(Scale_PCA_Mechanics!H17-Scale_PCA_Mechanics!H47)^2+(Scale_PCA_Mechanics!I17-Scale_PCA_Mechanics!I47)^2+(Scale_PCA_Mechanics!J17-Scale_PCA_Mechanics!J47)^2)</f>
        <v/>
      </c>
      <c r="D661">
        <f>INDEX(KMeans_6_2!AA2:AA51,A661)</f>
        <v/>
      </c>
      <c r="E661">
        <f>INDEX(KMeans_6_2!AA2:AA51,B661)</f>
        <v/>
      </c>
      <c r="O661">
        <f>IF(OR(AND(D661=1,E661=2),AND(D661=2,E661=1)),C661,"")</f>
        <v/>
      </c>
      <c r="P661">
        <f>IF(OR(AND(D661=1,E661=3),AND(D661=3,E661=1)),C661,"")</f>
        <v/>
      </c>
      <c r="Q661">
        <f>IF(OR(AND(D661=2,E661=3),AND(D661=3,E661=2)),C661,"")</f>
        <v/>
      </c>
    </row>
    <row r="662">
      <c r="A662" t="n">
        <v>16</v>
      </c>
      <c r="B662" t="n">
        <v>47</v>
      </c>
      <c r="C662">
        <f>SQRT((Scale_PCA_Mechanics!G17-Scale_PCA_Mechanics!G48)^2+(Scale_PCA_Mechanics!H17-Scale_PCA_Mechanics!H48)^2+(Scale_PCA_Mechanics!I17-Scale_PCA_Mechanics!I48)^2+(Scale_PCA_Mechanics!J17-Scale_PCA_Mechanics!J48)^2)</f>
        <v/>
      </c>
      <c r="D662">
        <f>INDEX(KMeans_6_2!AA2:AA51,A662)</f>
        <v/>
      </c>
      <c r="E662">
        <f>INDEX(KMeans_6_2!AA2:AA51,B662)</f>
        <v/>
      </c>
      <c r="O662">
        <f>IF(OR(AND(D662=1,E662=2),AND(D662=2,E662=1)),C662,"")</f>
        <v/>
      </c>
      <c r="P662">
        <f>IF(OR(AND(D662=1,E662=3),AND(D662=3,E662=1)),C662,"")</f>
        <v/>
      </c>
      <c r="Q662">
        <f>IF(OR(AND(D662=2,E662=3),AND(D662=3,E662=2)),C662,"")</f>
        <v/>
      </c>
    </row>
    <row r="663">
      <c r="A663" t="n">
        <v>16</v>
      </c>
      <c r="B663" t="n">
        <v>48</v>
      </c>
      <c r="C663">
        <f>SQRT((Scale_PCA_Mechanics!G17-Scale_PCA_Mechanics!G49)^2+(Scale_PCA_Mechanics!H17-Scale_PCA_Mechanics!H49)^2+(Scale_PCA_Mechanics!I17-Scale_PCA_Mechanics!I49)^2+(Scale_PCA_Mechanics!J17-Scale_PCA_Mechanics!J49)^2)</f>
        <v/>
      </c>
      <c r="D663">
        <f>INDEX(KMeans_6_2!AA2:AA51,A663)</f>
        <v/>
      </c>
      <c r="E663">
        <f>INDEX(KMeans_6_2!AA2:AA51,B663)</f>
        <v/>
      </c>
      <c r="O663">
        <f>IF(OR(AND(D663=1,E663=2),AND(D663=2,E663=1)),C663,"")</f>
        <v/>
      </c>
      <c r="P663">
        <f>IF(OR(AND(D663=1,E663=3),AND(D663=3,E663=1)),C663,"")</f>
        <v/>
      </c>
      <c r="Q663">
        <f>IF(OR(AND(D663=2,E663=3),AND(D663=3,E663=2)),C663,"")</f>
        <v/>
      </c>
    </row>
    <row r="664">
      <c r="A664" t="n">
        <v>16</v>
      </c>
      <c r="B664" t="n">
        <v>49</v>
      </c>
      <c r="C664">
        <f>SQRT((Scale_PCA_Mechanics!G17-Scale_PCA_Mechanics!G50)^2+(Scale_PCA_Mechanics!H17-Scale_PCA_Mechanics!H50)^2+(Scale_PCA_Mechanics!I17-Scale_PCA_Mechanics!I50)^2+(Scale_PCA_Mechanics!J17-Scale_PCA_Mechanics!J50)^2)</f>
        <v/>
      </c>
      <c r="D664">
        <f>INDEX(KMeans_6_2!AA2:AA51,A664)</f>
        <v/>
      </c>
      <c r="E664">
        <f>INDEX(KMeans_6_2!AA2:AA51,B664)</f>
        <v/>
      </c>
      <c r="O664">
        <f>IF(OR(AND(D664=1,E664=2),AND(D664=2,E664=1)),C664,"")</f>
        <v/>
      </c>
      <c r="P664">
        <f>IF(OR(AND(D664=1,E664=3),AND(D664=3,E664=1)),C664,"")</f>
        <v/>
      </c>
      <c r="Q664">
        <f>IF(OR(AND(D664=2,E664=3),AND(D664=3,E664=2)),C664,"")</f>
        <v/>
      </c>
    </row>
    <row r="665">
      <c r="A665" t="n">
        <v>16</v>
      </c>
      <c r="B665" t="n">
        <v>50</v>
      </c>
      <c r="C665">
        <f>SQRT((Scale_PCA_Mechanics!G17-Scale_PCA_Mechanics!G51)^2+(Scale_PCA_Mechanics!H17-Scale_PCA_Mechanics!H51)^2+(Scale_PCA_Mechanics!I17-Scale_PCA_Mechanics!I51)^2+(Scale_PCA_Mechanics!J17-Scale_PCA_Mechanics!J51)^2)</f>
        <v/>
      </c>
      <c r="D665">
        <f>INDEX(KMeans_6_2!AA2:AA51,A665)</f>
        <v/>
      </c>
      <c r="E665">
        <f>INDEX(KMeans_6_2!AA2:AA51,B665)</f>
        <v/>
      </c>
      <c r="O665">
        <f>IF(OR(AND(D665=1,E665=2),AND(D665=2,E665=1)),C665,"")</f>
        <v/>
      </c>
      <c r="P665">
        <f>IF(OR(AND(D665=1,E665=3),AND(D665=3,E665=1)),C665,"")</f>
        <v/>
      </c>
      <c r="Q665">
        <f>IF(OR(AND(D665=2,E665=3),AND(D665=3,E665=2)),C665,"")</f>
        <v/>
      </c>
    </row>
    <row r="666">
      <c r="A666" t="n">
        <v>17</v>
      </c>
      <c r="B666" t="n">
        <v>18</v>
      </c>
      <c r="C666">
        <f>SQRT((Scale_PCA_Mechanics!G18-Scale_PCA_Mechanics!G19)^2+(Scale_PCA_Mechanics!H18-Scale_PCA_Mechanics!H19)^2+(Scale_PCA_Mechanics!I18-Scale_PCA_Mechanics!I19)^2+(Scale_PCA_Mechanics!J18-Scale_PCA_Mechanics!J19)^2)</f>
        <v/>
      </c>
      <c r="D666">
        <f>INDEX(KMeans_6_2!AA2:AA51,A666)</f>
        <v/>
      </c>
      <c r="E666">
        <f>INDEX(KMeans_6_2!AA2:AA51,B666)</f>
        <v/>
      </c>
      <c r="O666">
        <f>IF(OR(AND(D666=1,E666=2),AND(D666=2,E666=1)),C666,"")</f>
        <v/>
      </c>
      <c r="P666">
        <f>IF(OR(AND(D666=1,E666=3),AND(D666=3,E666=1)),C666,"")</f>
        <v/>
      </c>
      <c r="Q666">
        <f>IF(OR(AND(D666=2,E666=3),AND(D666=3,E666=2)),C666,"")</f>
        <v/>
      </c>
    </row>
    <row r="667">
      <c r="A667" t="n">
        <v>17</v>
      </c>
      <c r="B667" t="n">
        <v>19</v>
      </c>
      <c r="C667">
        <f>SQRT((Scale_PCA_Mechanics!G18-Scale_PCA_Mechanics!G20)^2+(Scale_PCA_Mechanics!H18-Scale_PCA_Mechanics!H20)^2+(Scale_PCA_Mechanics!I18-Scale_PCA_Mechanics!I20)^2+(Scale_PCA_Mechanics!J18-Scale_PCA_Mechanics!J20)^2)</f>
        <v/>
      </c>
      <c r="D667">
        <f>INDEX(KMeans_6_2!AA2:AA51,A667)</f>
        <v/>
      </c>
      <c r="E667">
        <f>INDEX(KMeans_6_2!AA2:AA51,B667)</f>
        <v/>
      </c>
      <c r="O667">
        <f>IF(OR(AND(D667=1,E667=2),AND(D667=2,E667=1)),C667,"")</f>
        <v/>
      </c>
      <c r="P667">
        <f>IF(OR(AND(D667=1,E667=3),AND(D667=3,E667=1)),C667,"")</f>
        <v/>
      </c>
      <c r="Q667">
        <f>IF(OR(AND(D667=2,E667=3),AND(D667=3,E667=2)),C667,"")</f>
        <v/>
      </c>
    </row>
    <row r="668">
      <c r="A668" t="n">
        <v>17</v>
      </c>
      <c r="B668" t="n">
        <v>20</v>
      </c>
      <c r="C668">
        <f>SQRT((Scale_PCA_Mechanics!G18-Scale_PCA_Mechanics!G21)^2+(Scale_PCA_Mechanics!H18-Scale_PCA_Mechanics!H21)^2+(Scale_PCA_Mechanics!I18-Scale_PCA_Mechanics!I21)^2+(Scale_PCA_Mechanics!J18-Scale_PCA_Mechanics!J21)^2)</f>
        <v/>
      </c>
      <c r="D668">
        <f>INDEX(KMeans_6_2!AA2:AA51,A668)</f>
        <v/>
      </c>
      <c r="E668">
        <f>INDEX(KMeans_6_2!AA2:AA51,B668)</f>
        <v/>
      </c>
      <c r="O668">
        <f>IF(OR(AND(D668=1,E668=2),AND(D668=2,E668=1)),C668,"")</f>
        <v/>
      </c>
      <c r="P668">
        <f>IF(OR(AND(D668=1,E668=3),AND(D668=3,E668=1)),C668,"")</f>
        <v/>
      </c>
      <c r="Q668">
        <f>IF(OR(AND(D668=2,E668=3),AND(D668=3,E668=2)),C668,"")</f>
        <v/>
      </c>
    </row>
    <row r="669">
      <c r="A669" t="n">
        <v>17</v>
      </c>
      <c r="B669" t="n">
        <v>21</v>
      </c>
      <c r="C669">
        <f>SQRT((Scale_PCA_Mechanics!G18-Scale_PCA_Mechanics!G22)^2+(Scale_PCA_Mechanics!H18-Scale_PCA_Mechanics!H22)^2+(Scale_PCA_Mechanics!I18-Scale_PCA_Mechanics!I22)^2+(Scale_PCA_Mechanics!J18-Scale_PCA_Mechanics!J22)^2)</f>
        <v/>
      </c>
      <c r="D669">
        <f>INDEX(KMeans_6_2!AA2:AA51,A669)</f>
        <v/>
      </c>
      <c r="E669">
        <f>INDEX(KMeans_6_2!AA2:AA51,B669)</f>
        <v/>
      </c>
      <c r="O669">
        <f>IF(OR(AND(D669=1,E669=2),AND(D669=2,E669=1)),C669,"")</f>
        <v/>
      </c>
      <c r="P669">
        <f>IF(OR(AND(D669=1,E669=3),AND(D669=3,E669=1)),C669,"")</f>
        <v/>
      </c>
      <c r="Q669">
        <f>IF(OR(AND(D669=2,E669=3),AND(D669=3,E669=2)),C669,"")</f>
        <v/>
      </c>
    </row>
    <row r="670">
      <c r="A670" t="n">
        <v>17</v>
      </c>
      <c r="B670" t="n">
        <v>22</v>
      </c>
      <c r="C670">
        <f>SQRT((Scale_PCA_Mechanics!G18-Scale_PCA_Mechanics!G23)^2+(Scale_PCA_Mechanics!H18-Scale_PCA_Mechanics!H23)^2+(Scale_PCA_Mechanics!I18-Scale_PCA_Mechanics!I23)^2+(Scale_PCA_Mechanics!J18-Scale_PCA_Mechanics!J23)^2)</f>
        <v/>
      </c>
      <c r="D670">
        <f>INDEX(KMeans_6_2!AA2:AA51,A670)</f>
        <v/>
      </c>
      <c r="E670">
        <f>INDEX(KMeans_6_2!AA2:AA51,B670)</f>
        <v/>
      </c>
      <c r="O670">
        <f>IF(OR(AND(D670=1,E670=2),AND(D670=2,E670=1)),C670,"")</f>
        <v/>
      </c>
      <c r="P670">
        <f>IF(OR(AND(D670=1,E670=3),AND(D670=3,E670=1)),C670,"")</f>
        <v/>
      </c>
      <c r="Q670">
        <f>IF(OR(AND(D670=2,E670=3),AND(D670=3,E670=2)),C670,"")</f>
        <v/>
      </c>
    </row>
    <row r="671">
      <c r="A671" t="n">
        <v>17</v>
      </c>
      <c r="B671" t="n">
        <v>23</v>
      </c>
      <c r="C671">
        <f>SQRT((Scale_PCA_Mechanics!G18-Scale_PCA_Mechanics!G24)^2+(Scale_PCA_Mechanics!H18-Scale_PCA_Mechanics!H24)^2+(Scale_PCA_Mechanics!I18-Scale_PCA_Mechanics!I24)^2+(Scale_PCA_Mechanics!J18-Scale_PCA_Mechanics!J24)^2)</f>
        <v/>
      </c>
      <c r="D671">
        <f>INDEX(KMeans_6_2!AA2:AA51,A671)</f>
        <v/>
      </c>
      <c r="E671">
        <f>INDEX(KMeans_6_2!AA2:AA51,B671)</f>
        <v/>
      </c>
      <c r="O671">
        <f>IF(OR(AND(D671=1,E671=2),AND(D671=2,E671=1)),C671,"")</f>
        <v/>
      </c>
      <c r="P671">
        <f>IF(OR(AND(D671=1,E671=3),AND(D671=3,E671=1)),C671,"")</f>
        <v/>
      </c>
      <c r="Q671">
        <f>IF(OR(AND(D671=2,E671=3),AND(D671=3,E671=2)),C671,"")</f>
        <v/>
      </c>
    </row>
    <row r="672">
      <c r="A672" t="n">
        <v>17</v>
      </c>
      <c r="B672" t="n">
        <v>24</v>
      </c>
      <c r="C672">
        <f>SQRT((Scale_PCA_Mechanics!G18-Scale_PCA_Mechanics!G25)^2+(Scale_PCA_Mechanics!H18-Scale_PCA_Mechanics!H25)^2+(Scale_PCA_Mechanics!I18-Scale_PCA_Mechanics!I25)^2+(Scale_PCA_Mechanics!J18-Scale_PCA_Mechanics!J25)^2)</f>
        <v/>
      </c>
      <c r="D672">
        <f>INDEX(KMeans_6_2!AA2:AA51,A672)</f>
        <v/>
      </c>
      <c r="E672">
        <f>INDEX(KMeans_6_2!AA2:AA51,B672)</f>
        <v/>
      </c>
      <c r="O672">
        <f>IF(OR(AND(D672=1,E672=2),AND(D672=2,E672=1)),C672,"")</f>
        <v/>
      </c>
      <c r="P672">
        <f>IF(OR(AND(D672=1,E672=3),AND(D672=3,E672=1)),C672,"")</f>
        <v/>
      </c>
      <c r="Q672">
        <f>IF(OR(AND(D672=2,E672=3),AND(D672=3,E672=2)),C672,"")</f>
        <v/>
      </c>
    </row>
    <row r="673">
      <c r="A673" t="n">
        <v>17</v>
      </c>
      <c r="B673" t="n">
        <v>25</v>
      </c>
      <c r="C673">
        <f>SQRT((Scale_PCA_Mechanics!G18-Scale_PCA_Mechanics!G26)^2+(Scale_PCA_Mechanics!H18-Scale_PCA_Mechanics!H26)^2+(Scale_PCA_Mechanics!I18-Scale_PCA_Mechanics!I26)^2+(Scale_PCA_Mechanics!J18-Scale_PCA_Mechanics!J26)^2)</f>
        <v/>
      </c>
      <c r="D673">
        <f>INDEX(KMeans_6_2!AA2:AA51,A673)</f>
        <v/>
      </c>
      <c r="E673">
        <f>INDEX(KMeans_6_2!AA2:AA51,B673)</f>
        <v/>
      </c>
      <c r="O673">
        <f>IF(OR(AND(D673=1,E673=2),AND(D673=2,E673=1)),C673,"")</f>
        <v/>
      </c>
      <c r="P673">
        <f>IF(OR(AND(D673=1,E673=3),AND(D673=3,E673=1)),C673,"")</f>
        <v/>
      </c>
      <c r="Q673">
        <f>IF(OR(AND(D673=2,E673=3),AND(D673=3,E673=2)),C673,"")</f>
        <v/>
      </c>
    </row>
    <row r="674">
      <c r="A674" t="n">
        <v>17</v>
      </c>
      <c r="B674" t="n">
        <v>26</v>
      </c>
      <c r="C674">
        <f>SQRT((Scale_PCA_Mechanics!G18-Scale_PCA_Mechanics!G27)^2+(Scale_PCA_Mechanics!H18-Scale_PCA_Mechanics!H27)^2+(Scale_PCA_Mechanics!I18-Scale_PCA_Mechanics!I27)^2+(Scale_PCA_Mechanics!J18-Scale_PCA_Mechanics!J27)^2)</f>
        <v/>
      </c>
      <c r="D674">
        <f>INDEX(KMeans_6_2!AA2:AA51,A674)</f>
        <v/>
      </c>
      <c r="E674">
        <f>INDEX(KMeans_6_2!AA2:AA51,B674)</f>
        <v/>
      </c>
      <c r="O674">
        <f>IF(OR(AND(D674=1,E674=2),AND(D674=2,E674=1)),C674,"")</f>
        <v/>
      </c>
      <c r="P674">
        <f>IF(OR(AND(D674=1,E674=3),AND(D674=3,E674=1)),C674,"")</f>
        <v/>
      </c>
      <c r="Q674">
        <f>IF(OR(AND(D674=2,E674=3),AND(D674=3,E674=2)),C674,"")</f>
        <v/>
      </c>
    </row>
    <row r="675">
      <c r="A675" t="n">
        <v>17</v>
      </c>
      <c r="B675" t="n">
        <v>27</v>
      </c>
      <c r="C675">
        <f>SQRT((Scale_PCA_Mechanics!G18-Scale_PCA_Mechanics!G28)^2+(Scale_PCA_Mechanics!H18-Scale_PCA_Mechanics!H28)^2+(Scale_PCA_Mechanics!I18-Scale_PCA_Mechanics!I28)^2+(Scale_PCA_Mechanics!J18-Scale_PCA_Mechanics!J28)^2)</f>
        <v/>
      </c>
      <c r="D675">
        <f>INDEX(KMeans_6_2!AA2:AA51,A675)</f>
        <v/>
      </c>
      <c r="E675">
        <f>INDEX(KMeans_6_2!AA2:AA51,B675)</f>
        <v/>
      </c>
      <c r="O675">
        <f>IF(OR(AND(D675=1,E675=2),AND(D675=2,E675=1)),C675,"")</f>
        <v/>
      </c>
      <c r="P675">
        <f>IF(OR(AND(D675=1,E675=3),AND(D675=3,E675=1)),C675,"")</f>
        <v/>
      </c>
      <c r="Q675">
        <f>IF(OR(AND(D675=2,E675=3),AND(D675=3,E675=2)),C675,"")</f>
        <v/>
      </c>
    </row>
    <row r="676">
      <c r="A676" t="n">
        <v>17</v>
      </c>
      <c r="B676" t="n">
        <v>28</v>
      </c>
      <c r="C676">
        <f>SQRT((Scale_PCA_Mechanics!G18-Scale_PCA_Mechanics!G29)^2+(Scale_PCA_Mechanics!H18-Scale_PCA_Mechanics!H29)^2+(Scale_PCA_Mechanics!I18-Scale_PCA_Mechanics!I29)^2+(Scale_PCA_Mechanics!J18-Scale_PCA_Mechanics!J29)^2)</f>
        <v/>
      </c>
      <c r="D676">
        <f>INDEX(KMeans_6_2!AA2:AA51,A676)</f>
        <v/>
      </c>
      <c r="E676">
        <f>INDEX(KMeans_6_2!AA2:AA51,B676)</f>
        <v/>
      </c>
      <c r="O676">
        <f>IF(OR(AND(D676=1,E676=2),AND(D676=2,E676=1)),C676,"")</f>
        <v/>
      </c>
      <c r="P676">
        <f>IF(OR(AND(D676=1,E676=3),AND(D676=3,E676=1)),C676,"")</f>
        <v/>
      </c>
      <c r="Q676">
        <f>IF(OR(AND(D676=2,E676=3),AND(D676=3,E676=2)),C676,"")</f>
        <v/>
      </c>
    </row>
    <row r="677">
      <c r="A677" t="n">
        <v>17</v>
      </c>
      <c r="B677" t="n">
        <v>29</v>
      </c>
      <c r="C677">
        <f>SQRT((Scale_PCA_Mechanics!G18-Scale_PCA_Mechanics!G30)^2+(Scale_PCA_Mechanics!H18-Scale_PCA_Mechanics!H30)^2+(Scale_PCA_Mechanics!I18-Scale_PCA_Mechanics!I30)^2+(Scale_PCA_Mechanics!J18-Scale_PCA_Mechanics!J30)^2)</f>
        <v/>
      </c>
      <c r="D677">
        <f>INDEX(KMeans_6_2!AA2:AA51,A677)</f>
        <v/>
      </c>
      <c r="E677">
        <f>INDEX(KMeans_6_2!AA2:AA51,B677)</f>
        <v/>
      </c>
      <c r="O677">
        <f>IF(OR(AND(D677=1,E677=2),AND(D677=2,E677=1)),C677,"")</f>
        <v/>
      </c>
      <c r="P677">
        <f>IF(OR(AND(D677=1,E677=3),AND(D677=3,E677=1)),C677,"")</f>
        <v/>
      </c>
      <c r="Q677">
        <f>IF(OR(AND(D677=2,E677=3),AND(D677=3,E677=2)),C677,"")</f>
        <v/>
      </c>
    </row>
    <row r="678">
      <c r="A678" t="n">
        <v>17</v>
      </c>
      <c r="B678" t="n">
        <v>30</v>
      </c>
      <c r="C678">
        <f>SQRT((Scale_PCA_Mechanics!G18-Scale_PCA_Mechanics!G31)^2+(Scale_PCA_Mechanics!H18-Scale_PCA_Mechanics!H31)^2+(Scale_PCA_Mechanics!I18-Scale_PCA_Mechanics!I31)^2+(Scale_PCA_Mechanics!J18-Scale_PCA_Mechanics!J31)^2)</f>
        <v/>
      </c>
      <c r="D678">
        <f>INDEX(KMeans_6_2!AA2:AA51,A678)</f>
        <v/>
      </c>
      <c r="E678">
        <f>INDEX(KMeans_6_2!AA2:AA51,B678)</f>
        <v/>
      </c>
      <c r="O678">
        <f>IF(OR(AND(D678=1,E678=2),AND(D678=2,E678=1)),C678,"")</f>
        <v/>
      </c>
      <c r="P678">
        <f>IF(OR(AND(D678=1,E678=3),AND(D678=3,E678=1)),C678,"")</f>
        <v/>
      </c>
      <c r="Q678">
        <f>IF(OR(AND(D678=2,E678=3),AND(D678=3,E678=2)),C678,"")</f>
        <v/>
      </c>
    </row>
    <row r="679">
      <c r="A679" t="n">
        <v>17</v>
      </c>
      <c r="B679" t="n">
        <v>31</v>
      </c>
      <c r="C679">
        <f>SQRT((Scale_PCA_Mechanics!G18-Scale_PCA_Mechanics!G32)^2+(Scale_PCA_Mechanics!H18-Scale_PCA_Mechanics!H32)^2+(Scale_PCA_Mechanics!I18-Scale_PCA_Mechanics!I32)^2+(Scale_PCA_Mechanics!J18-Scale_PCA_Mechanics!J32)^2)</f>
        <v/>
      </c>
      <c r="D679">
        <f>INDEX(KMeans_6_2!AA2:AA51,A679)</f>
        <v/>
      </c>
      <c r="E679">
        <f>INDEX(KMeans_6_2!AA2:AA51,B679)</f>
        <v/>
      </c>
      <c r="O679">
        <f>IF(OR(AND(D679=1,E679=2),AND(D679=2,E679=1)),C679,"")</f>
        <v/>
      </c>
      <c r="P679">
        <f>IF(OR(AND(D679=1,E679=3),AND(D679=3,E679=1)),C679,"")</f>
        <v/>
      </c>
      <c r="Q679">
        <f>IF(OR(AND(D679=2,E679=3),AND(D679=3,E679=2)),C679,"")</f>
        <v/>
      </c>
    </row>
    <row r="680">
      <c r="A680" t="n">
        <v>17</v>
      </c>
      <c r="B680" t="n">
        <v>32</v>
      </c>
      <c r="C680">
        <f>SQRT((Scale_PCA_Mechanics!G18-Scale_PCA_Mechanics!G33)^2+(Scale_PCA_Mechanics!H18-Scale_PCA_Mechanics!H33)^2+(Scale_PCA_Mechanics!I18-Scale_PCA_Mechanics!I33)^2+(Scale_PCA_Mechanics!J18-Scale_PCA_Mechanics!J33)^2)</f>
        <v/>
      </c>
      <c r="D680">
        <f>INDEX(KMeans_6_2!AA2:AA51,A680)</f>
        <v/>
      </c>
      <c r="E680">
        <f>INDEX(KMeans_6_2!AA2:AA51,B680)</f>
        <v/>
      </c>
      <c r="O680">
        <f>IF(OR(AND(D680=1,E680=2),AND(D680=2,E680=1)),C680,"")</f>
        <v/>
      </c>
      <c r="P680">
        <f>IF(OR(AND(D680=1,E680=3),AND(D680=3,E680=1)),C680,"")</f>
        <v/>
      </c>
      <c r="Q680">
        <f>IF(OR(AND(D680=2,E680=3),AND(D680=3,E680=2)),C680,"")</f>
        <v/>
      </c>
    </row>
    <row r="681">
      <c r="A681" t="n">
        <v>17</v>
      </c>
      <c r="B681" t="n">
        <v>33</v>
      </c>
      <c r="C681">
        <f>SQRT((Scale_PCA_Mechanics!G18-Scale_PCA_Mechanics!G34)^2+(Scale_PCA_Mechanics!H18-Scale_PCA_Mechanics!H34)^2+(Scale_PCA_Mechanics!I18-Scale_PCA_Mechanics!I34)^2+(Scale_PCA_Mechanics!J18-Scale_PCA_Mechanics!J34)^2)</f>
        <v/>
      </c>
      <c r="D681">
        <f>INDEX(KMeans_6_2!AA2:AA51,A681)</f>
        <v/>
      </c>
      <c r="E681">
        <f>INDEX(KMeans_6_2!AA2:AA51,B681)</f>
        <v/>
      </c>
      <c r="O681">
        <f>IF(OR(AND(D681=1,E681=2),AND(D681=2,E681=1)),C681,"")</f>
        <v/>
      </c>
      <c r="P681">
        <f>IF(OR(AND(D681=1,E681=3),AND(D681=3,E681=1)),C681,"")</f>
        <v/>
      </c>
      <c r="Q681">
        <f>IF(OR(AND(D681=2,E681=3),AND(D681=3,E681=2)),C681,"")</f>
        <v/>
      </c>
    </row>
    <row r="682">
      <c r="A682" t="n">
        <v>17</v>
      </c>
      <c r="B682" t="n">
        <v>34</v>
      </c>
      <c r="C682">
        <f>SQRT((Scale_PCA_Mechanics!G18-Scale_PCA_Mechanics!G35)^2+(Scale_PCA_Mechanics!H18-Scale_PCA_Mechanics!H35)^2+(Scale_PCA_Mechanics!I18-Scale_PCA_Mechanics!I35)^2+(Scale_PCA_Mechanics!J18-Scale_PCA_Mechanics!J35)^2)</f>
        <v/>
      </c>
      <c r="D682">
        <f>INDEX(KMeans_6_2!AA2:AA51,A682)</f>
        <v/>
      </c>
      <c r="E682">
        <f>INDEX(KMeans_6_2!AA2:AA51,B682)</f>
        <v/>
      </c>
      <c r="O682">
        <f>IF(OR(AND(D682=1,E682=2),AND(D682=2,E682=1)),C682,"")</f>
        <v/>
      </c>
      <c r="P682">
        <f>IF(OR(AND(D682=1,E682=3),AND(D682=3,E682=1)),C682,"")</f>
        <v/>
      </c>
      <c r="Q682">
        <f>IF(OR(AND(D682=2,E682=3),AND(D682=3,E682=2)),C682,"")</f>
        <v/>
      </c>
    </row>
    <row r="683">
      <c r="A683" t="n">
        <v>17</v>
      </c>
      <c r="B683" t="n">
        <v>35</v>
      </c>
      <c r="C683">
        <f>SQRT((Scale_PCA_Mechanics!G18-Scale_PCA_Mechanics!G36)^2+(Scale_PCA_Mechanics!H18-Scale_PCA_Mechanics!H36)^2+(Scale_PCA_Mechanics!I18-Scale_PCA_Mechanics!I36)^2+(Scale_PCA_Mechanics!J18-Scale_PCA_Mechanics!J36)^2)</f>
        <v/>
      </c>
      <c r="D683">
        <f>INDEX(KMeans_6_2!AA2:AA51,A683)</f>
        <v/>
      </c>
      <c r="E683">
        <f>INDEX(KMeans_6_2!AA2:AA51,B683)</f>
        <v/>
      </c>
      <c r="O683">
        <f>IF(OR(AND(D683=1,E683=2),AND(D683=2,E683=1)),C683,"")</f>
        <v/>
      </c>
      <c r="P683">
        <f>IF(OR(AND(D683=1,E683=3),AND(D683=3,E683=1)),C683,"")</f>
        <v/>
      </c>
      <c r="Q683">
        <f>IF(OR(AND(D683=2,E683=3),AND(D683=3,E683=2)),C683,"")</f>
        <v/>
      </c>
    </row>
    <row r="684">
      <c r="A684" t="n">
        <v>17</v>
      </c>
      <c r="B684" t="n">
        <v>36</v>
      </c>
      <c r="C684">
        <f>SQRT((Scale_PCA_Mechanics!G18-Scale_PCA_Mechanics!G37)^2+(Scale_PCA_Mechanics!H18-Scale_PCA_Mechanics!H37)^2+(Scale_PCA_Mechanics!I18-Scale_PCA_Mechanics!I37)^2+(Scale_PCA_Mechanics!J18-Scale_PCA_Mechanics!J37)^2)</f>
        <v/>
      </c>
      <c r="D684">
        <f>INDEX(KMeans_6_2!AA2:AA51,A684)</f>
        <v/>
      </c>
      <c r="E684">
        <f>INDEX(KMeans_6_2!AA2:AA51,B684)</f>
        <v/>
      </c>
      <c r="O684">
        <f>IF(OR(AND(D684=1,E684=2),AND(D684=2,E684=1)),C684,"")</f>
        <v/>
      </c>
      <c r="P684">
        <f>IF(OR(AND(D684=1,E684=3),AND(D684=3,E684=1)),C684,"")</f>
        <v/>
      </c>
      <c r="Q684">
        <f>IF(OR(AND(D684=2,E684=3),AND(D684=3,E684=2)),C684,"")</f>
        <v/>
      </c>
    </row>
    <row r="685">
      <c r="A685" t="n">
        <v>17</v>
      </c>
      <c r="B685" t="n">
        <v>37</v>
      </c>
      <c r="C685">
        <f>SQRT((Scale_PCA_Mechanics!G18-Scale_PCA_Mechanics!G38)^2+(Scale_PCA_Mechanics!H18-Scale_PCA_Mechanics!H38)^2+(Scale_PCA_Mechanics!I18-Scale_PCA_Mechanics!I38)^2+(Scale_PCA_Mechanics!J18-Scale_PCA_Mechanics!J38)^2)</f>
        <v/>
      </c>
      <c r="D685">
        <f>INDEX(KMeans_6_2!AA2:AA51,A685)</f>
        <v/>
      </c>
      <c r="E685">
        <f>INDEX(KMeans_6_2!AA2:AA51,B685)</f>
        <v/>
      </c>
      <c r="O685">
        <f>IF(OR(AND(D685=1,E685=2),AND(D685=2,E685=1)),C685,"")</f>
        <v/>
      </c>
      <c r="P685">
        <f>IF(OR(AND(D685=1,E685=3),AND(D685=3,E685=1)),C685,"")</f>
        <v/>
      </c>
      <c r="Q685">
        <f>IF(OR(AND(D685=2,E685=3),AND(D685=3,E685=2)),C685,"")</f>
        <v/>
      </c>
    </row>
    <row r="686">
      <c r="A686" t="n">
        <v>17</v>
      </c>
      <c r="B686" t="n">
        <v>38</v>
      </c>
      <c r="C686">
        <f>SQRT((Scale_PCA_Mechanics!G18-Scale_PCA_Mechanics!G39)^2+(Scale_PCA_Mechanics!H18-Scale_PCA_Mechanics!H39)^2+(Scale_PCA_Mechanics!I18-Scale_PCA_Mechanics!I39)^2+(Scale_PCA_Mechanics!J18-Scale_PCA_Mechanics!J39)^2)</f>
        <v/>
      </c>
      <c r="D686">
        <f>INDEX(KMeans_6_2!AA2:AA51,A686)</f>
        <v/>
      </c>
      <c r="E686">
        <f>INDEX(KMeans_6_2!AA2:AA51,B686)</f>
        <v/>
      </c>
      <c r="O686">
        <f>IF(OR(AND(D686=1,E686=2),AND(D686=2,E686=1)),C686,"")</f>
        <v/>
      </c>
      <c r="P686">
        <f>IF(OR(AND(D686=1,E686=3),AND(D686=3,E686=1)),C686,"")</f>
        <v/>
      </c>
      <c r="Q686">
        <f>IF(OR(AND(D686=2,E686=3),AND(D686=3,E686=2)),C686,"")</f>
        <v/>
      </c>
    </row>
    <row r="687">
      <c r="A687" t="n">
        <v>17</v>
      </c>
      <c r="B687" t="n">
        <v>39</v>
      </c>
      <c r="C687">
        <f>SQRT((Scale_PCA_Mechanics!G18-Scale_PCA_Mechanics!G40)^2+(Scale_PCA_Mechanics!H18-Scale_PCA_Mechanics!H40)^2+(Scale_PCA_Mechanics!I18-Scale_PCA_Mechanics!I40)^2+(Scale_PCA_Mechanics!J18-Scale_PCA_Mechanics!J40)^2)</f>
        <v/>
      </c>
      <c r="D687">
        <f>INDEX(KMeans_6_2!AA2:AA51,A687)</f>
        <v/>
      </c>
      <c r="E687">
        <f>INDEX(KMeans_6_2!AA2:AA51,B687)</f>
        <v/>
      </c>
      <c r="O687">
        <f>IF(OR(AND(D687=1,E687=2),AND(D687=2,E687=1)),C687,"")</f>
        <v/>
      </c>
      <c r="P687">
        <f>IF(OR(AND(D687=1,E687=3),AND(D687=3,E687=1)),C687,"")</f>
        <v/>
      </c>
      <c r="Q687">
        <f>IF(OR(AND(D687=2,E687=3),AND(D687=3,E687=2)),C687,"")</f>
        <v/>
      </c>
    </row>
    <row r="688">
      <c r="A688" t="n">
        <v>17</v>
      </c>
      <c r="B688" t="n">
        <v>40</v>
      </c>
      <c r="C688">
        <f>SQRT((Scale_PCA_Mechanics!G18-Scale_PCA_Mechanics!G41)^2+(Scale_PCA_Mechanics!H18-Scale_PCA_Mechanics!H41)^2+(Scale_PCA_Mechanics!I18-Scale_PCA_Mechanics!I41)^2+(Scale_PCA_Mechanics!J18-Scale_PCA_Mechanics!J41)^2)</f>
        <v/>
      </c>
      <c r="D688">
        <f>INDEX(KMeans_6_2!AA2:AA51,A688)</f>
        <v/>
      </c>
      <c r="E688">
        <f>INDEX(KMeans_6_2!AA2:AA51,B688)</f>
        <v/>
      </c>
      <c r="O688">
        <f>IF(OR(AND(D688=1,E688=2),AND(D688=2,E688=1)),C688,"")</f>
        <v/>
      </c>
      <c r="P688">
        <f>IF(OR(AND(D688=1,E688=3),AND(D688=3,E688=1)),C688,"")</f>
        <v/>
      </c>
      <c r="Q688">
        <f>IF(OR(AND(D688=2,E688=3),AND(D688=3,E688=2)),C688,"")</f>
        <v/>
      </c>
    </row>
    <row r="689">
      <c r="A689" t="n">
        <v>17</v>
      </c>
      <c r="B689" t="n">
        <v>41</v>
      </c>
      <c r="C689">
        <f>SQRT((Scale_PCA_Mechanics!G18-Scale_PCA_Mechanics!G42)^2+(Scale_PCA_Mechanics!H18-Scale_PCA_Mechanics!H42)^2+(Scale_PCA_Mechanics!I18-Scale_PCA_Mechanics!I42)^2+(Scale_PCA_Mechanics!J18-Scale_PCA_Mechanics!J42)^2)</f>
        <v/>
      </c>
      <c r="D689">
        <f>INDEX(KMeans_6_2!AA2:AA51,A689)</f>
        <v/>
      </c>
      <c r="E689">
        <f>INDEX(KMeans_6_2!AA2:AA51,B689)</f>
        <v/>
      </c>
      <c r="O689">
        <f>IF(OR(AND(D689=1,E689=2),AND(D689=2,E689=1)),C689,"")</f>
        <v/>
      </c>
      <c r="P689">
        <f>IF(OR(AND(D689=1,E689=3),AND(D689=3,E689=1)),C689,"")</f>
        <v/>
      </c>
      <c r="Q689">
        <f>IF(OR(AND(D689=2,E689=3),AND(D689=3,E689=2)),C689,"")</f>
        <v/>
      </c>
    </row>
    <row r="690">
      <c r="A690" t="n">
        <v>17</v>
      </c>
      <c r="B690" t="n">
        <v>42</v>
      </c>
      <c r="C690">
        <f>SQRT((Scale_PCA_Mechanics!G18-Scale_PCA_Mechanics!G43)^2+(Scale_PCA_Mechanics!H18-Scale_PCA_Mechanics!H43)^2+(Scale_PCA_Mechanics!I18-Scale_PCA_Mechanics!I43)^2+(Scale_PCA_Mechanics!J18-Scale_PCA_Mechanics!J43)^2)</f>
        <v/>
      </c>
      <c r="D690">
        <f>INDEX(KMeans_6_2!AA2:AA51,A690)</f>
        <v/>
      </c>
      <c r="E690">
        <f>INDEX(KMeans_6_2!AA2:AA51,B690)</f>
        <v/>
      </c>
      <c r="O690">
        <f>IF(OR(AND(D690=1,E690=2),AND(D690=2,E690=1)),C690,"")</f>
        <v/>
      </c>
      <c r="P690">
        <f>IF(OR(AND(D690=1,E690=3),AND(D690=3,E690=1)),C690,"")</f>
        <v/>
      </c>
      <c r="Q690">
        <f>IF(OR(AND(D690=2,E690=3),AND(D690=3,E690=2)),C690,"")</f>
        <v/>
      </c>
    </row>
    <row r="691">
      <c r="A691" t="n">
        <v>17</v>
      </c>
      <c r="B691" t="n">
        <v>43</v>
      </c>
      <c r="C691">
        <f>SQRT((Scale_PCA_Mechanics!G18-Scale_PCA_Mechanics!G44)^2+(Scale_PCA_Mechanics!H18-Scale_PCA_Mechanics!H44)^2+(Scale_PCA_Mechanics!I18-Scale_PCA_Mechanics!I44)^2+(Scale_PCA_Mechanics!J18-Scale_PCA_Mechanics!J44)^2)</f>
        <v/>
      </c>
      <c r="D691">
        <f>INDEX(KMeans_6_2!AA2:AA51,A691)</f>
        <v/>
      </c>
      <c r="E691">
        <f>INDEX(KMeans_6_2!AA2:AA51,B691)</f>
        <v/>
      </c>
      <c r="O691">
        <f>IF(OR(AND(D691=1,E691=2),AND(D691=2,E691=1)),C691,"")</f>
        <v/>
      </c>
      <c r="P691">
        <f>IF(OR(AND(D691=1,E691=3),AND(D691=3,E691=1)),C691,"")</f>
        <v/>
      </c>
      <c r="Q691">
        <f>IF(OR(AND(D691=2,E691=3),AND(D691=3,E691=2)),C691,"")</f>
        <v/>
      </c>
    </row>
    <row r="692">
      <c r="A692" t="n">
        <v>17</v>
      </c>
      <c r="B692" t="n">
        <v>44</v>
      </c>
      <c r="C692">
        <f>SQRT((Scale_PCA_Mechanics!G18-Scale_PCA_Mechanics!G45)^2+(Scale_PCA_Mechanics!H18-Scale_PCA_Mechanics!H45)^2+(Scale_PCA_Mechanics!I18-Scale_PCA_Mechanics!I45)^2+(Scale_PCA_Mechanics!J18-Scale_PCA_Mechanics!J45)^2)</f>
        <v/>
      </c>
      <c r="D692">
        <f>INDEX(KMeans_6_2!AA2:AA51,A692)</f>
        <v/>
      </c>
      <c r="E692">
        <f>INDEX(KMeans_6_2!AA2:AA51,B692)</f>
        <v/>
      </c>
      <c r="O692">
        <f>IF(OR(AND(D692=1,E692=2),AND(D692=2,E692=1)),C692,"")</f>
        <v/>
      </c>
      <c r="P692">
        <f>IF(OR(AND(D692=1,E692=3),AND(D692=3,E692=1)),C692,"")</f>
        <v/>
      </c>
      <c r="Q692">
        <f>IF(OR(AND(D692=2,E692=3),AND(D692=3,E692=2)),C692,"")</f>
        <v/>
      </c>
    </row>
    <row r="693">
      <c r="A693" t="n">
        <v>17</v>
      </c>
      <c r="B693" t="n">
        <v>45</v>
      </c>
      <c r="C693">
        <f>SQRT((Scale_PCA_Mechanics!G18-Scale_PCA_Mechanics!G46)^2+(Scale_PCA_Mechanics!H18-Scale_PCA_Mechanics!H46)^2+(Scale_PCA_Mechanics!I18-Scale_PCA_Mechanics!I46)^2+(Scale_PCA_Mechanics!J18-Scale_PCA_Mechanics!J46)^2)</f>
        <v/>
      </c>
      <c r="D693">
        <f>INDEX(KMeans_6_2!AA2:AA51,A693)</f>
        <v/>
      </c>
      <c r="E693">
        <f>INDEX(KMeans_6_2!AA2:AA51,B693)</f>
        <v/>
      </c>
      <c r="O693">
        <f>IF(OR(AND(D693=1,E693=2),AND(D693=2,E693=1)),C693,"")</f>
        <v/>
      </c>
      <c r="P693">
        <f>IF(OR(AND(D693=1,E693=3),AND(D693=3,E693=1)),C693,"")</f>
        <v/>
      </c>
      <c r="Q693">
        <f>IF(OR(AND(D693=2,E693=3),AND(D693=3,E693=2)),C693,"")</f>
        <v/>
      </c>
    </row>
    <row r="694">
      <c r="A694" t="n">
        <v>17</v>
      </c>
      <c r="B694" t="n">
        <v>46</v>
      </c>
      <c r="C694">
        <f>SQRT((Scale_PCA_Mechanics!G18-Scale_PCA_Mechanics!G47)^2+(Scale_PCA_Mechanics!H18-Scale_PCA_Mechanics!H47)^2+(Scale_PCA_Mechanics!I18-Scale_PCA_Mechanics!I47)^2+(Scale_PCA_Mechanics!J18-Scale_PCA_Mechanics!J47)^2)</f>
        <v/>
      </c>
      <c r="D694">
        <f>INDEX(KMeans_6_2!AA2:AA51,A694)</f>
        <v/>
      </c>
      <c r="E694">
        <f>INDEX(KMeans_6_2!AA2:AA51,B694)</f>
        <v/>
      </c>
      <c r="O694">
        <f>IF(OR(AND(D694=1,E694=2),AND(D694=2,E694=1)),C694,"")</f>
        <v/>
      </c>
      <c r="P694">
        <f>IF(OR(AND(D694=1,E694=3),AND(D694=3,E694=1)),C694,"")</f>
        <v/>
      </c>
      <c r="Q694">
        <f>IF(OR(AND(D694=2,E694=3),AND(D694=3,E694=2)),C694,"")</f>
        <v/>
      </c>
    </row>
    <row r="695">
      <c r="A695" t="n">
        <v>17</v>
      </c>
      <c r="B695" t="n">
        <v>47</v>
      </c>
      <c r="C695">
        <f>SQRT((Scale_PCA_Mechanics!G18-Scale_PCA_Mechanics!G48)^2+(Scale_PCA_Mechanics!H18-Scale_PCA_Mechanics!H48)^2+(Scale_PCA_Mechanics!I18-Scale_PCA_Mechanics!I48)^2+(Scale_PCA_Mechanics!J18-Scale_PCA_Mechanics!J48)^2)</f>
        <v/>
      </c>
      <c r="D695">
        <f>INDEX(KMeans_6_2!AA2:AA51,A695)</f>
        <v/>
      </c>
      <c r="E695">
        <f>INDEX(KMeans_6_2!AA2:AA51,B695)</f>
        <v/>
      </c>
      <c r="O695">
        <f>IF(OR(AND(D695=1,E695=2),AND(D695=2,E695=1)),C695,"")</f>
        <v/>
      </c>
      <c r="P695">
        <f>IF(OR(AND(D695=1,E695=3),AND(D695=3,E695=1)),C695,"")</f>
        <v/>
      </c>
      <c r="Q695">
        <f>IF(OR(AND(D695=2,E695=3),AND(D695=3,E695=2)),C695,"")</f>
        <v/>
      </c>
    </row>
    <row r="696">
      <c r="A696" t="n">
        <v>17</v>
      </c>
      <c r="B696" t="n">
        <v>48</v>
      </c>
      <c r="C696">
        <f>SQRT((Scale_PCA_Mechanics!G18-Scale_PCA_Mechanics!G49)^2+(Scale_PCA_Mechanics!H18-Scale_PCA_Mechanics!H49)^2+(Scale_PCA_Mechanics!I18-Scale_PCA_Mechanics!I49)^2+(Scale_PCA_Mechanics!J18-Scale_PCA_Mechanics!J49)^2)</f>
        <v/>
      </c>
      <c r="D696">
        <f>INDEX(KMeans_6_2!AA2:AA51,A696)</f>
        <v/>
      </c>
      <c r="E696">
        <f>INDEX(KMeans_6_2!AA2:AA51,B696)</f>
        <v/>
      </c>
      <c r="O696">
        <f>IF(OR(AND(D696=1,E696=2),AND(D696=2,E696=1)),C696,"")</f>
        <v/>
      </c>
      <c r="P696">
        <f>IF(OR(AND(D696=1,E696=3),AND(D696=3,E696=1)),C696,"")</f>
        <v/>
      </c>
      <c r="Q696">
        <f>IF(OR(AND(D696=2,E696=3),AND(D696=3,E696=2)),C696,"")</f>
        <v/>
      </c>
    </row>
    <row r="697">
      <c r="A697" t="n">
        <v>17</v>
      </c>
      <c r="B697" t="n">
        <v>49</v>
      </c>
      <c r="C697">
        <f>SQRT((Scale_PCA_Mechanics!G18-Scale_PCA_Mechanics!G50)^2+(Scale_PCA_Mechanics!H18-Scale_PCA_Mechanics!H50)^2+(Scale_PCA_Mechanics!I18-Scale_PCA_Mechanics!I50)^2+(Scale_PCA_Mechanics!J18-Scale_PCA_Mechanics!J50)^2)</f>
        <v/>
      </c>
      <c r="D697">
        <f>INDEX(KMeans_6_2!AA2:AA51,A697)</f>
        <v/>
      </c>
      <c r="E697">
        <f>INDEX(KMeans_6_2!AA2:AA51,B697)</f>
        <v/>
      </c>
      <c r="O697">
        <f>IF(OR(AND(D697=1,E697=2),AND(D697=2,E697=1)),C697,"")</f>
        <v/>
      </c>
      <c r="P697">
        <f>IF(OR(AND(D697=1,E697=3),AND(D697=3,E697=1)),C697,"")</f>
        <v/>
      </c>
      <c r="Q697">
        <f>IF(OR(AND(D697=2,E697=3),AND(D697=3,E697=2)),C697,"")</f>
        <v/>
      </c>
    </row>
    <row r="698">
      <c r="A698" t="n">
        <v>17</v>
      </c>
      <c r="B698" t="n">
        <v>50</v>
      </c>
      <c r="C698">
        <f>SQRT((Scale_PCA_Mechanics!G18-Scale_PCA_Mechanics!G51)^2+(Scale_PCA_Mechanics!H18-Scale_PCA_Mechanics!H51)^2+(Scale_PCA_Mechanics!I18-Scale_PCA_Mechanics!I51)^2+(Scale_PCA_Mechanics!J18-Scale_PCA_Mechanics!J51)^2)</f>
        <v/>
      </c>
      <c r="D698">
        <f>INDEX(KMeans_6_2!AA2:AA51,A698)</f>
        <v/>
      </c>
      <c r="E698">
        <f>INDEX(KMeans_6_2!AA2:AA51,B698)</f>
        <v/>
      </c>
      <c r="O698">
        <f>IF(OR(AND(D698=1,E698=2),AND(D698=2,E698=1)),C698,"")</f>
        <v/>
      </c>
      <c r="P698">
        <f>IF(OR(AND(D698=1,E698=3),AND(D698=3,E698=1)),C698,"")</f>
        <v/>
      </c>
      <c r="Q698">
        <f>IF(OR(AND(D698=2,E698=3),AND(D698=3,E698=2)),C698,"")</f>
        <v/>
      </c>
    </row>
    <row r="699">
      <c r="A699" t="n">
        <v>18</v>
      </c>
      <c r="B699" t="n">
        <v>19</v>
      </c>
      <c r="C699">
        <f>SQRT((Scale_PCA_Mechanics!G19-Scale_PCA_Mechanics!G20)^2+(Scale_PCA_Mechanics!H19-Scale_PCA_Mechanics!H20)^2+(Scale_PCA_Mechanics!I19-Scale_PCA_Mechanics!I20)^2+(Scale_PCA_Mechanics!J19-Scale_PCA_Mechanics!J20)^2)</f>
        <v/>
      </c>
      <c r="D699">
        <f>INDEX(KMeans_6_2!AA2:AA51,A699)</f>
        <v/>
      </c>
      <c r="E699">
        <f>INDEX(KMeans_6_2!AA2:AA51,B699)</f>
        <v/>
      </c>
      <c r="O699">
        <f>IF(OR(AND(D699=1,E699=2),AND(D699=2,E699=1)),C699,"")</f>
        <v/>
      </c>
      <c r="P699">
        <f>IF(OR(AND(D699=1,E699=3),AND(D699=3,E699=1)),C699,"")</f>
        <v/>
      </c>
      <c r="Q699">
        <f>IF(OR(AND(D699=2,E699=3),AND(D699=3,E699=2)),C699,"")</f>
        <v/>
      </c>
    </row>
    <row r="700">
      <c r="A700" t="n">
        <v>18</v>
      </c>
      <c r="B700" t="n">
        <v>20</v>
      </c>
      <c r="C700">
        <f>SQRT((Scale_PCA_Mechanics!G19-Scale_PCA_Mechanics!G21)^2+(Scale_PCA_Mechanics!H19-Scale_PCA_Mechanics!H21)^2+(Scale_PCA_Mechanics!I19-Scale_PCA_Mechanics!I21)^2+(Scale_PCA_Mechanics!J19-Scale_PCA_Mechanics!J21)^2)</f>
        <v/>
      </c>
      <c r="D700">
        <f>INDEX(KMeans_6_2!AA2:AA51,A700)</f>
        <v/>
      </c>
      <c r="E700">
        <f>INDEX(KMeans_6_2!AA2:AA51,B700)</f>
        <v/>
      </c>
      <c r="O700">
        <f>IF(OR(AND(D700=1,E700=2),AND(D700=2,E700=1)),C700,"")</f>
        <v/>
      </c>
      <c r="P700">
        <f>IF(OR(AND(D700=1,E700=3),AND(D700=3,E700=1)),C700,"")</f>
        <v/>
      </c>
      <c r="Q700">
        <f>IF(OR(AND(D700=2,E700=3),AND(D700=3,E700=2)),C700,"")</f>
        <v/>
      </c>
    </row>
    <row r="701">
      <c r="A701" t="n">
        <v>18</v>
      </c>
      <c r="B701" t="n">
        <v>21</v>
      </c>
      <c r="C701">
        <f>SQRT((Scale_PCA_Mechanics!G19-Scale_PCA_Mechanics!G22)^2+(Scale_PCA_Mechanics!H19-Scale_PCA_Mechanics!H22)^2+(Scale_PCA_Mechanics!I19-Scale_PCA_Mechanics!I22)^2+(Scale_PCA_Mechanics!J19-Scale_PCA_Mechanics!J22)^2)</f>
        <v/>
      </c>
      <c r="D701">
        <f>INDEX(KMeans_6_2!AA2:AA51,A701)</f>
        <v/>
      </c>
      <c r="E701">
        <f>INDEX(KMeans_6_2!AA2:AA51,B701)</f>
        <v/>
      </c>
      <c r="O701">
        <f>IF(OR(AND(D701=1,E701=2),AND(D701=2,E701=1)),C701,"")</f>
        <v/>
      </c>
      <c r="P701">
        <f>IF(OR(AND(D701=1,E701=3),AND(D701=3,E701=1)),C701,"")</f>
        <v/>
      </c>
      <c r="Q701">
        <f>IF(OR(AND(D701=2,E701=3),AND(D701=3,E701=2)),C701,"")</f>
        <v/>
      </c>
    </row>
    <row r="702">
      <c r="A702" t="n">
        <v>18</v>
      </c>
      <c r="B702" t="n">
        <v>22</v>
      </c>
      <c r="C702">
        <f>SQRT((Scale_PCA_Mechanics!G19-Scale_PCA_Mechanics!G23)^2+(Scale_PCA_Mechanics!H19-Scale_PCA_Mechanics!H23)^2+(Scale_PCA_Mechanics!I19-Scale_PCA_Mechanics!I23)^2+(Scale_PCA_Mechanics!J19-Scale_PCA_Mechanics!J23)^2)</f>
        <v/>
      </c>
      <c r="D702">
        <f>INDEX(KMeans_6_2!AA2:AA51,A702)</f>
        <v/>
      </c>
      <c r="E702">
        <f>INDEX(KMeans_6_2!AA2:AA51,B702)</f>
        <v/>
      </c>
      <c r="O702">
        <f>IF(OR(AND(D702=1,E702=2),AND(D702=2,E702=1)),C702,"")</f>
        <v/>
      </c>
      <c r="P702">
        <f>IF(OR(AND(D702=1,E702=3),AND(D702=3,E702=1)),C702,"")</f>
        <v/>
      </c>
      <c r="Q702">
        <f>IF(OR(AND(D702=2,E702=3),AND(D702=3,E702=2)),C702,"")</f>
        <v/>
      </c>
    </row>
    <row r="703">
      <c r="A703" t="n">
        <v>18</v>
      </c>
      <c r="B703" t="n">
        <v>23</v>
      </c>
      <c r="C703">
        <f>SQRT((Scale_PCA_Mechanics!G19-Scale_PCA_Mechanics!G24)^2+(Scale_PCA_Mechanics!H19-Scale_PCA_Mechanics!H24)^2+(Scale_PCA_Mechanics!I19-Scale_PCA_Mechanics!I24)^2+(Scale_PCA_Mechanics!J19-Scale_PCA_Mechanics!J24)^2)</f>
        <v/>
      </c>
      <c r="D703">
        <f>INDEX(KMeans_6_2!AA2:AA51,A703)</f>
        <v/>
      </c>
      <c r="E703">
        <f>INDEX(KMeans_6_2!AA2:AA51,B703)</f>
        <v/>
      </c>
      <c r="O703">
        <f>IF(OR(AND(D703=1,E703=2),AND(D703=2,E703=1)),C703,"")</f>
        <v/>
      </c>
      <c r="P703">
        <f>IF(OR(AND(D703=1,E703=3),AND(D703=3,E703=1)),C703,"")</f>
        <v/>
      </c>
      <c r="Q703">
        <f>IF(OR(AND(D703=2,E703=3),AND(D703=3,E703=2)),C703,"")</f>
        <v/>
      </c>
    </row>
    <row r="704">
      <c r="A704" t="n">
        <v>18</v>
      </c>
      <c r="B704" t="n">
        <v>24</v>
      </c>
      <c r="C704">
        <f>SQRT((Scale_PCA_Mechanics!G19-Scale_PCA_Mechanics!G25)^2+(Scale_PCA_Mechanics!H19-Scale_PCA_Mechanics!H25)^2+(Scale_PCA_Mechanics!I19-Scale_PCA_Mechanics!I25)^2+(Scale_PCA_Mechanics!J19-Scale_PCA_Mechanics!J25)^2)</f>
        <v/>
      </c>
      <c r="D704">
        <f>INDEX(KMeans_6_2!AA2:AA51,A704)</f>
        <v/>
      </c>
      <c r="E704">
        <f>INDEX(KMeans_6_2!AA2:AA51,B704)</f>
        <v/>
      </c>
      <c r="O704">
        <f>IF(OR(AND(D704=1,E704=2),AND(D704=2,E704=1)),C704,"")</f>
        <v/>
      </c>
      <c r="P704">
        <f>IF(OR(AND(D704=1,E704=3),AND(D704=3,E704=1)),C704,"")</f>
        <v/>
      </c>
      <c r="Q704">
        <f>IF(OR(AND(D704=2,E704=3),AND(D704=3,E704=2)),C704,"")</f>
        <v/>
      </c>
    </row>
    <row r="705">
      <c r="A705" t="n">
        <v>18</v>
      </c>
      <c r="B705" t="n">
        <v>25</v>
      </c>
      <c r="C705">
        <f>SQRT((Scale_PCA_Mechanics!G19-Scale_PCA_Mechanics!G26)^2+(Scale_PCA_Mechanics!H19-Scale_PCA_Mechanics!H26)^2+(Scale_PCA_Mechanics!I19-Scale_PCA_Mechanics!I26)^2+(Scale_PCA_Mechanics!J19-Scale_PCA_Mechanics!J26)^2)</f>
        <v/>
      </c>
      <c r="D705">
        <f>INDEX(KMeans_6_2!AA2:AA51,A705)</f>
        <v/>
      </c>
      <c r="E705">
        <f>INDEX(KMeans_6_2!AA2:AA51,B705)</f>
        <v/>
      </c>
      <c r="O705">
        <f>IF(OR(AND(D705=1,E705=2),AND(D705=2,E705=1)),C705,"")</f>
        <v/>
      </c>
      <c r="P705">
        <f>IF(OR(AND(D705=1,E705=3),AND(D705=3,E705=1)),C705,"")</f>
        <v/>
      </c>
      <c r="Q705">
        <f>IF(OR(AND(D705=2,E705=3),AND(D705=3,E705=2)),C705,"")</f>
        <v/>
      </c>
    </row>
    <row r="706">
      <c r="A706" t="n">
        <v>18</v>
      </c>
      <c r="B706" t="n">
        <v>26</v>
      </c>
      <c r="C706">
        <f>SQRT((Scale_PCA_Mechanics!G19-Scale_PCA_Mechanics!G27)^2+(Scale_PCA_Mechanics!H19-Scale_PCA_Mechanics!H27)^2+(Scale_PCA_Mechanics!I19-Scale_PCA_Mechanics!I27)^2+(Scale_PCA_Mechanics!J19-Scale_PCA_Mechanics!J27)^2)</f>
        <v/>
      </c>
      <c r="D706">
        <f>INDEX(KMeans_6_2!AA2:AA51,A706)</f>
        <v/>
      </c>
      <c r="E706">
        <f>INDEX(KMeans_6_2!AA2:AA51,B706)</f>
        <v/>
      </c>
      <c r="O706">
        <f>IF(OR(AND(D706=1,E706=2),AND(D706=2,E706=1)),C706,"")</f>
        <v/>
      </c>
      <c r="P706">
        <f>IF(OR(AND(D706=1,E706=3),AND(D706=3,E706=1)),C706,"")</f>
        <v/>
      </c>
      <c r="Q706">
        <f>IF(OR(AND(D706=2,E706=3),AND(D706=3,E706=2)),C706,"")</f>
        <v/>
      </c>
    </row>
    <row r="707">
      <c r="A707" t="n">
        <v>18</v>
      </c>
      <c r="B707" t="n">
        <v>27</v>
      </c>
      <c r="C707">
        <f>SQRT((Scale_PCA_Mechanics!G19-Scale_PCA_Mechanics!G28)^2+(Scale_PCA_Mechanics!H19-Scale_PCA_Mechanics!H28)^2+(Scale_PCA_Mechanics!I19-Scale_PCA_Mechanics!I28)^2+(Scale_PCA_Mechanics!J19-Scale_PCA_Mechanics!J28)^2)</f>
        <v/>
      </c>
      <c r="D707">
        <f>INDEX(KMeans_6_2!AA2:AA51,A707)</f>
        <v/>
      </c>
      <c r="E707">
        <f>INDEX(KMeans_6_2!AA2:AA51,B707)</f>
        <v/>
      </c>
      <c r="O707">
        <f>IF(OR(AND(D707=1,E707=2),AND(D707=2,E707=1)),C707,"")</f>
        <v/>
      </c>
      <c r="P707">
        <f>IF(OR(AND(D707=1,E707=3),AND(D707=3,E707=1)),C707,"")</f>
        <v/>
      </c>
      <c r="Q707">
        <f>IF(OR(AND(D707=2,E707=3),AND(D707=3,E707=2)),C707,"")</f>
        <v/>
      </c>
    </row>
    <row r="708">
      <c r="A708" t="n">
        <v>18</v>
      </c>
      <c r="B708" t="n">
        <v>28</v>
      </c>
      <c r="C708">
        <f>SQRT((Scale_PCA_Mechanics!G19-Scale_PCA_Mechanics!G29)^2+(Scale_PCA_Mechanics!H19-Scale_PCA_Mechanics!H29)^2+(Scale_PCA_Mechanics!I19-Scale_PCA_Mechanics!I29)^2+(Scale_PCA_Mechanics!J19-Scale_PCA_Mechanics!J29)^2)</f>
        <v/>
      </c>
      <c r="D708">
        <f>INDEX(KMeans_6_2!AA2:AA51,A708)</f>
        <v/>
      </c>
      <c r="E708">
        <f>INDEX(KMeans_6_2!AA2:AA51,B708)</f>
        <v/>
      </c>
      <c r="O708">
        <f>IF(OR(AND(D708=1,E708=2),AND(D708=2,E708=1)),C708,"")</f>
        <v/>
      </c>
      <c r="P708">
        <f>IF(OR(AND(D708=1,E708=3),AND(D708=3,E708=1)),C708,"")</f>
        <v/>
      </c>
      <c r="Q708">
        <f>IF(OR(AND(D708=2,E708=3),AND(D708=3,E708=2)),C708,"")</f>
        <v/>
      </c>
    </row>
    <row r="709">
      <c r="A709" t="n">
        <v>18</v>
      </c>
      <c r="B709" t="n">
        <v>29</v>
      </c>
      <c r="C709">
        <f>SQRT((Scale_PCA_Mechanics!G19-Scale_PCA_Mechanics!G30)^2+(Scale_PCA_Mechanics!H19-Scale_PCA_Mechanics!H30)^2+(Scale_PCA_Mechanics!I19-Scale_PCA_Mechanics!I30)^2+(Scale_PCA_Mechanics!J19-Scale_PCA_Mechanics!J30)^2)</f>
        <v/>
      </c>
      <c r="D709">
        <f>INDEX(KMeans_6_2!AA2:AA51,A709)</f>
        <v/>
      </c>
      <c r="E709">
        <f>INDEX(KMeans_6_2!AA2:AA51,B709)</f>
        <v/>
      </c>
      <c r="O709">
        <f>IF(OR(AND(D709=1,E709=2),AND(D709=2,E709=1)),C709,"")</f>
        <v/>
      </c>
      <c r="P709">
        <f>IF(OR(AND(D709=1,E709=3),AND(D709=3,E709=1)),C709,"")</f>
        <v/>
      </c>
      <c r="Q709">
        <f>IF(OR(AND(D709=2,E709=3),AND(D709=3,E709=2)),C709,"")</f>
        <v/>
      </c>
    </row>
    <row r="710">
      <c r="A710" t="n">
        <v>18</v>
      </c>
      <c r="B710" t="n">
        <v>30</v>
      </c>
      <c r="C710">
        <f>SQRT((Scale_PCA_Mechanics!G19-Scale_PCA_Mechanics!G31)^2+(Scale_PCA_Mechanics!H19-Scale_PCA_Mechanics!H31)^2+(Scale_PCA_Mechanics!I19-Scale_PCA_Mechanics!I31)^2+(Scale_PCA_Mechanics!J19-Scale_PCA_Mechanics!J31)^2)</f>
        <v/>
      </c>
      <c r="D710">
        <f>INDEX(KMeans_6_2!AA2:AA51,A710)</f>
        <v/>
      </c>
      <c r="E710">
        <f>INDEX(KMeans_6_2!AA2:AA51,B710)</f>
        <v/>
      </c>
      <c r="O710">
        <f>IF(OR(AND(D710=1,E710=2),AND(D710=2,E710=1)),C710,"")</f>
        <v/>
      </c>
      <c r="P710">
        <f>IF(OR(AND(D710=1,E710=3),AND(D710=3,E710=1)),C710,"")</f>
        <v/>
      </c>
      <c r="Q710">
        <f>IF(OR(AND(D710=2,E710=3),AND(D710=3,E710=2)),C710,"")</f>
        <v/>
      </c>
    </row>
    <row r="711">
      <c r="A711" t="n">
        <v>18</v>
      </c>
      <c r="B711" t="n">
        <v>31</v>
      </c>
      <c r="C711">
        <f>SQRT((Scale_PCA_Mechanics!G19-Scale_PCA_Mechanics!G32)^2+(Scale_PCA_Mechanics!H19-Scale_PCA_Mechanics!H32)^2+(Scale_PCA_Mechanics!I19-Scale_PCA_Mechanics!I32)^2+(Scale_PCA_Mechanics!J19-Scale_PCA_Mechanics!J32)^2)</f>
        <v/>
      </c>
      <c r="D711">
        <f>INDEX(KMeans_6_2!AA2:AA51,A711)</f>
        <v/>
      </c>
      <c r="E711">
        <f>INDEX(KMeans_6_2!AA2:AA51,B711)</f>
        <v/>
      </c>
      <c r="O711">
        <f>IF(OR(AND(D711=1,E711=2),AND(D711=2,E711=1)),C711,"")</f>
        <v/>
      </c>
      <c r="P711">
        <f>IF(OR(AND(D711=1,E711=3),AND(D711=3,E711=1)),C711,"")</f>
        <v/>
      </c>
      <c r="Q711">
        <f>IF(OR(AND(D711=2,E711=3),AND(D711=3,E711=2)),C711,"")</f>
        <v/>
      </c>
    </row>
    <row r="712">
      <c r="A712" t="n">
        <v>18</v>
      </c>
      <c r="B712" t="n">
        <v>32</v>
      </c>
      <c r="C712">
        <f>SQRT((Scale_PCA_Mechanics!G19-Scale_PCA_Mechanics!G33)^2+(Scale_PCA_Mechanics!H19-Scale_PCA_Mechanics!H33)^2+(Scale_PCA_Mechanics!I19-Scale_PCA_Mechanics!I33)^2+(Scale_PCA_Mechanics!J19-Scale_PCA_Mechanics!J33)^2)</f>
        <v/>
      </c>
      <c r="D712">
        <f>INDEX(KMeans_6_2!AA2:AA51,A712)</f>
        <v/>
      </c>
      <c r="E712">
        <f>INDEX(KMeans_6_2!AA2:AA51,B712)</f>
        <v/>
      </c>
      <c r="O712">
        <f>IF(OR(AND(D712=1,E712=2),AND(D712=2,E712=1)),C712,"")</f>
        <v/>
      </c>
      <c r="P712">
        <f>IF(OR(AND(D712=1,E712=3),AND(D712=3,E712=1)),C712,"")</f>
        <v/>
      </c>
      <c r="Q712">
        <f>IF(OR(AND(D712=2,E712=3),AND(D712=3,E712=2)),C712,"")</f>
        <v/>
      </c>
    </row>
    <row r="713">
      <c r="A713" t="n">
        <v>18</v>
      </c>
      <c r="B713" t="n">
        <v>33</v>
      </c>
      <c r="C713">
        <f>SQRT((Scale_PCA_Mechanics!G19-Scale_PCA_Mechanics!G34)^2+(Scale_PCA_Mechanics!H19-Scale_PCA_Mechanics!H34)^2+(Scale_PCA_Mechanics!I19-Scale_PCA_Mechanics!I34)^2+(Scale_PCA_Mechanics!J19-Scale_PCA_Mechanics!J34)^2)</f>
        <v/>
      </c>
      <c r="D713">
        <f>INDEX(KMeans_6_2!AA2:AA51,A713)</f>
        <v/>
      </c>
      <c r="E713">
        <f>INDEX(KMeans_6_2!AA2:AA51,B713)</f>
        <v/>
      </c>
      <c r="O713">
        <f>IF(OR(AND(D713=1,E713=2),AND(D713=2,E713=1)),C713,"")</f>
        <v/>
      </c>
      <c r="P713">
        <f>IF(OR(AND(D713=1,E713=3),AND(D713=3,E713=1)),C713,"")</f>
        <v/>
      </c>
      <c r="Q713">
        <f>IF(OR(AND(D713=2,E713=3),AND(D713=3,E713=2)),C713,"")</f>
        <v/>
      </c>
    </row>
    <row r="714">
      <c r="A714" t="n">
        <v>18</v>
      </c>
      <c r="B714" t="n">
        <v>34</v>
      </c>
      <c r="C714">
        <f>SQRT((Scale_PCA_Mechanics!G19-Scale_PCA_Mechanics!G35)^2+(Scale_PCA_Mechanics!H19-Scale_PCA_Mechanics!H35)^2+(Scale_PCA_Mechanics!I19-Scale_PCA_Mechanics!I35)^2+(Scale_PCA_Mechanics!J19-Scale_PCA_Mechanics!J35)^2)</f>
        <v/>
      </c>
      <c r="D714">
        <f>INDEX(KMeans_6_2!AA2:AA51,A714)</f>
        <v/>
      </c>
      <c r="E714">
        <f>INDEX(KMeans_6_2!AA2:AA51,B714)</f>
        <v/>
      </c>
      <c r="O714">
        <f>IF(OR(AND(D714=1,E714=2),AND(D714=2,E714=1)),C714,"")</f>
        <v/>
      </c>
      <c r="P714">
        <f>IF(OR(AND(D714=1,E714=3),AND(D714=3,E714=1)),C714,"")</f>
        <v/>
      </c>
      <c r="Q714">
        <f>IF(OR(AND(D714=2,E714=3),AND(D714=3,E714=2)),C714,"")</f>
        <v/>
      </c>
    </row>
    <row r="715">
      <c r="A715" t="n">
        <v>18</v>
      </c>
      <c r="B715" t="n">
        <v>35</v>
      </c>
      <c r="C715">
        <f>SQRT((Scale_PCA_Mechanics!G19-Scale_PCA_Mechanics!G36)^2+(Scale_PCA_Mechanics!H19-Scale_PCA_Mechanics!H36)^2+(Scale_PCA_Mechanics!I19-Scale_PCA_Mechanics!I36)^2+(Scale_PCA_Mechanics!J19-Scale_PCA_Mechanics!J36)^2)</f>
        <v/>
      </c>
      <c r="D715">
        <f>INDEX(KMeans_6_2!AA2:AA51,A715)</f>
        <v/>
      </c>
      <c r="E715">
        <f>INDEX(KMeans_6_2!AA2:AA51,B715)</f>
        <v/>
      </c>
      <c r="O715">
        <f>IF(OR(AND(D715=1,E715=2),AND(D715=2,E715=1)),C715,"")</f>
        <v/>
      </c>
      <c r="P715">
        <f>IF(OR(AND(D715=1,E715=3),AND(D715=3,E715=1)),C715,"")</f>
        <v/>
      </c>
      <c r="Q715">
        <f>IF(OR(AND(D715=2,E715=3),AND(D715=3,E715=2)),C715,"")</f>
        <v/>
      </c>
    </row>
    <row r="716">
      <c r="A716" t="n">
        <v>18</v>
      </c>
      <c r="B716" t="n">
        <v>36</v>
      </c>
      <c r="C716">
        <f>SQRT((Scale_PCA_Mechanics!G19-Scale_PCA_Mechanics!G37)^2+(Scale_PCA_Mechanics!H19-Scale_PCA_Mechanics!H37)^2+(Scale_PCA_Mechanics!I19-Scale_PCA_Mechanics!I37)^2+(Scale_PCA_Mechanics!J19-Scale_PCA_Mechanics!J37)^2)</f>
        <v/>
      </c>
      <c r="D716">
        <f>INDEX(KMeans_6_2!AA2:AA51,A716)</f>
        <v/>
      </c>
      <c r="E716">
        <f>INDEX(KMeans_6_2!AA2:AA51,B716)</f>
        <v/>
      </c>
      <c r="O716">
        <f>IF(OR(AND(D716=1,E716=2),AND(D716=2,E716=1)),C716,"")</f>
        <v/>
      </c>
      <c r="P716">
        <f>IF(OR(AND(D716=1,E716=3),AND(D716=3,E716=1)),C716,"")</f>
        <v/>
      </c>
      <c r="Q716">
        <f>IF(OR(AND(D716=2,E716=3),AND(D716=3,E716=2)),C716,"")</f>
        <v/>
      </c>
    </row>
    <row r="717">
      <c r="A717" t="n">
        <v>18</v>
      </c>
      <c r="B717" t="n">
        <v>37</v>
      </c>
      <c r="C717">
        <f>SQRT((Scale_PCA_Mechanics!G19-Scale_PCA_Mechanics!G38)^2+(Scale_PCA_Mechanics!H19-Scale_PCA_Mechanics!H38)^2+(Scale_PCA_Mechanics!I19-Scale_PCA_Mechanics!I38)^2+(Scale_PCA_Mechanics!J19-Scale_PCA_Mechanics!J38)^2)</f>
        <v/>
      </c>
      <c r="D717">
        <f>INDEX(KMeans_6_2!AA2:AA51,A717)</f>
        <v/>
      </c>
      <c r="E717">
        <f>INDEX(KMeans_6_2!AA2:AA51,B717)</f>
        <v/>
      </c>
      <c r="O717">
        <f>IF(OR(AND(D717=1,E717=2),AND(D717=2,E717=1)),C717,"")</f>
        <v/>
      </c>
      <c r="P717">
        <f>IF(OR(AND(D717=1,E717=3),AND(D717=3,E717=1)),C717,"")</f>
        <v/>
      </c>
      <c r="Q717">
        <f>IF(OR(AND(D717=2,E717=3),AND(D717=3,E717=2)),C717,"")</f>
        <v/>
      </c>
    </row>
    <row r="718">
      <c r="A718" t="n">
        <v>18</v>
      </c>
      <c r="B718" t="n">
        <v>38</v>
      </c>
      <c r="C718">
        <f>SQRT((Scale_PCA_Mechanics!G19-Scale_PCA_Mechanics!G39)^2+(Scale_PCA_Mechanics!H19-Scale_PCA_Mechanics!H39)^2+(Scale_PCA_Mechanics!I19-Scale_PCA_Mechanics!I39)^2+(Scale_PCA_Mechanics!J19-Scale_PCA_Mechanics!J39)^2)</f>
        <v/>
      </c>
      <c r="D718">
        <f>INDEX(KMeans_6_2!AA2:AA51,A718)</f>
        <v/>
      </c>
      <c r="E718">
        <f>INDEX(KMeans_6_2!AA2:AA51,B718)</f>
        <v/>
      </c>
      <c r="O718">
        <f>IF(OR(AND(D718=1,E718=2),AND(D718=2,E718=1)),C718,"")</f>
        <v/>
      </c>
      <c r="P718">
        <f>IF(OR(AND(D718=1,E718=3),AND(D718=3,E718=1)),C718,"")</f>
        <v/>
      </c>
      <c r="Q718">
        <f>IF(OR(AND(D718=2,E718=3),AND(D718=3,E718=2)),C718,"")</f>
        <v/>
      </c>
    </row>
    <row r="719">
      <c r="A719" t="n">
        <v>18</v>
      </c>
      <c r="B719" t="n">
        <v>39</v>
      </c>
      <c r="C719">
        <f>SQRT((Scale_PCA_Mechanics!G19-Scale_PCA_Mechanics!G40)^2+(Scale_PCA_Mechanics!H19-Scale_PCA_Mechanics!H40)^2+(Scale_PCA_Mechanics!I19-Scale_PCA_Mechanics!I40)^2+(Scale_PCA_Mechanics!J19-Scale_PCA_Mechanics!J40)^2)</f>
        <v/>
      </c>
      <c r="D719">
        <f>INDEX(KMeans_6_2!AA2:AA51,A719)</f>
        <v/>
      </c>
      <c r="E719">
        <f>INDEX(KMeans_6_2!AA2:AA51,B719)</f>
        <v/>
      </c>
      <c r="O719">
        <f>IF(OR(AND(D719=1,E719=2),AND(D719=2,E719=1)),C719,"")</f>
        <v/>
      </c>
      <c r="P719">
        <f>IF(OR(AND(D719=1,E719=3),AND(D719=3,E719=1)),C719,"")</f>
        <v/>
      </c>
      <c r="Q719">
        <f>IF(OR(AND(D719=2,E719=3),AND(D719=3,E719=2)),C719,"")</f>
        <v/>
      </c>
    </row>
    <row r="720">
      <c r="A720" t="n">
        <v>18</v>
      </c>
      <c r="B720" t="n">
        <v>40</v>
      </c>
      <c r="C720">
        <f>SQRT((Scale_PCA_Mechanics!G19-Scale_PCA_Mechanics!G41)^2+(Scale_PCA_Mechanics!H19-Scale_PCA_Mechanics!H41)^2+(Scale_PCA_Mechanics!I19-Scale_PCA_Mechanics!I41)^2+(Scale_PCA_Mechanics!J19-Scale_PCA_Mechanics!J41)^2)</f>
        <v/>
      </c>
      <c r="D720">
        <f>INDEX(KMeans_6_2!AA2:AA51,A720)</f>
        <v/>
      </c>
      <c r="E720">
        <f>INDEX(KMeans_6_2!AA2:AA51,B720)</f>
        <v/>
      </c>
      <c r="O720">
        <f>IF(OR(AND(D720=1,E720=2),AND(D720=2,E720=1)),C720,"")</f>
        <v/>
      </c>
      <c r="P720">
        <f>IF(OR(AND(D720=1,E720=3),AND(D720=3,E720=1)),C720,"")</f>
        <v/>
      </c>
      <c r="Q720">
        <f>IF(OR(AND(D720=2,E720=3),AND(D720=3,E720=2)),C720,"")</f>
        <v/>
      </c>
    </row>
    <row r="721">
      <c r="A721" t="n">
        <v>18</v>
      </c>
      <c r="B721" t="n">
        <v>41</v>
      </c>
      <c r="C721">
        <f>SQRT((Scale_PCA_Mechanics!G19-Scale_PCA_Mechanics!G42)^2+(Scale_PCA_Mechanics!H19-Scale_PCA_Mechanics!H42)^2+(Scale_PCA_Mechanics!I19-Scale_PCA_Mechanics!I42)^2+(Scale_PCA_Mechanics!J19-Scale_PCA_Mechanics!J42)^2)</f>
        <v/>
      </c>
      <c r="D721">
        <f>INDEX(KMeans_6_2!AA2:AA51,A721)</f>
        <v/>
      </c>
      <c r="E721">
        <f>INDEX(KMeans_6_2!AA2:AA51,B721)</f>
        <v/>
      </c>
      <c r="O721">
        <f>IF(OR(AND(D721=1,E721=2),AND(D721=2,E721=1)),C721,"")</f>
        <v/>
      </c>
      <c r="P721">
        <f>IF(OR(AND(D721=1,E721=3),AND(D721=3,E721=1)),C721,"")</f>
        <v/>
      </c>
      <c r="Q721">
        <f>IF(OR(AND(D721=2,E721=3),AND(D721=3,E721=2)),C721,"")</f>
        <v/>
      </c>
    </row>
    <row r="722">
      <c r="A722" t="n">
        <v>18</v>
      </c>
      <c r="B722" t="n">
        <v>42</v>
      </c>
      <c r="C722">
        <f>SQRT((Scale_PCA_Mechanics!G19-Scale_PCA_Mechanics!G43)^2+(Scale_PCA_Mechanics!H19-Scale_PCA_Mechanics!H43)^2+(Scale_PCA_Mechanics!I19-Scale_PCA_Mechanics!I43)^2+(Scale_PCA_Mechanics!J19-Scale_PCA_Mechanics!J43)^2)</f>
        <v/>
      </c>
      <c r="D722">
        <f>INDEX(KMeans_6_2!AA2:AA51,A722)</f>
        <v/>
      </c>
      <c r="E722">
        <f>INDEX(KMeans_6_2!AA2:AA51,B722)</f>
        <v/>
      </c>
      <c r="O722">
        <f>IF(OR(AND(D722=1,E722=2),AND(D722=2,E722=1)),C722,"")</f>
        <v/>
      </c>
      <c r="P722">
        <f>IF(OR(AND(D722=1,E722=3),AND(D722=3,E722=1)),C722,"")</f>
        <v/>
      </c>
      <c r="Q722">
        <f>IF(OR(AND(D722=2,E722=3),AND(D722=3,E722=2)),C722,"")</f>
        <v/>
      </c>
    </row>
    <row r="723">
      <c r="A723" t="n">
        <v>18</v>
      </c>
      <c r="B723" t="n">
        <v>43</v>
      </c>
      <c r="C723">
        <f>SQRT((Scale_PCA_Mechanics!G19-Scale_PCA_Mechanics!G44)^2+(Scale_PCA_Mechanics!H19-Scale_PCA_Mechanics!H44)^2+(Scale_PCA_Mechanics!I19-Scale_PCA_Mechanics!I44)^2+(Scale_PCA_Mechanics!J19-Scale_PCA_Mechanics!J44)^2)</f>
        <v/>
      </c>
      <c r="D723">
        <f>INDEX(KMeans_6_2!AA2:AA51,A723)</f>
        <v/>
      </c>
      <c r="E723">
        <f>INDEX(KMeans_6_2!AA2:AA51,B723)</f>
        <v/>
      </c>
      <c r="O723">
        <f>IF(OR(AND(D723=1,E723=2),AND(D723=2,E723=1)),C723,"")</f>
        <v/>
      </c>
      <c r="P723">
        <f>IF(OR(AND(D723=1,E723=3),AND(D723=3,E723=1)),C723,"")</f>
        <v/>
      </c>
      <c r="Q723">
        <f>IF(OR(AND(D723=2,E723=3),AND(D723=3,E723=2)),C723,"")</f>
        <v/>
      </c>
    </row>
    <row r="724">
      <c r="A724" t="n">
        <v>18</v>
      </c>
      <c r="B724" t="n">
        <v>44</v>
      </c>
      <c r="C724">
        <f>SQRT((Scale_PCA_Mechanics!G19-Scale_PCA_Mechanics!G45)^2+(Scale_PCA_Mechanics!H19-Scale_PCA_Mechanics!H45)^2+(Scale_PCA_Mechanics!I19-Scale_PCA_Mechanics!I45)^2+(Scale_PCA_Mechanics!J19-Scale_PCA_Mechanics!J45)^2)</f>
        <v/>
      </c>
      <c r="D724">
        <f>INDEX(KMeans_6_2!AA2:AA51,A724)</f>
        <v/>
      </c>
      <c r="E724">
        <f>INDEX(KMeans_6_2!AA2:AA51,B724)</f>
        <v/>
      </c>
      <c r="O724">
        <f>IF(OR(AND(D724=1,E724=2),AND(D724=2,E724=1)),C724,"")</f>
        <v/>
      </c>
      <c r="P724">
        <f>IF(OR(AND(D724=1,E724=3),AND(D724=3,E724=1)),C724,"")</f>
        <v/>
      </c>
      <c r="Q724">
        <f>IF(OR(AND(D724=2,E724=3),AND(D724=3,E724=2)),C724,"")</f>
        <v/>
      </c>
    </row>
    <row r="725">
      <c r="A725" t="n">
        <v>18</v>
      </c>
      <c r="B725" t="n">
        <v>45</v>
      </c>
      <c r="C725">
        <f>SQRT((Scale_PCA_Mechanics!G19-Scale_PCA_Mechanics!G46)^2+(Scale_PCA_Mechanics!H19-Scale_PCA_Mechanics!H46)^2+(Scale_PCA_Mechanics!I19-Scale_PCA_Mechanics!I46)^2+(Scale_PCA_Mechanics!J19-Scale_PCA_Mechanics!J46)^2)</f>
        <v/>
      </c>
      <c r="D725">
        <f>INDEX(KMeans_6_2!AA2:AA51,A725)</f>
        <v/>
      </c>
      <c r="E725">
        <f>INDEX(KMeans_6_2!AA2:AA51,B725)</f>
        <v/>
      </c>
      <c r="O725">
        <f>IF(OR(AND(D725=1,E725=2),AND(D725=2,E725=1)),C725,"")</f>
        <v/>
      </c>
      <c r="P725">
        <f>IF(OR(AND(D725=1,E725=3),AND(D725=3,E725=1)),C725,"")</f>
        <v/>
      </c>
      <c r="Q725">
        <f>IF(OR(AND(D725=2,E725=3),AND(D725=3,E725=2)),C725,"")</f>
        <v/>
      </c>
    </row>
    <row r="726">
      <c r="A726" t="n">
        <v>18</v>
      </c>
      <c r="B726" t="n">
        <v>46</v>
      </c>
      <c r="C726">
        <f>SQRT((Scale_PCA_Mechanics!G19-Scale_PCA_Mechanics!G47)^2+(Scale_PCA_Mechanics!H19-Scale_PCA_Mechanics!H47)^2+(Scale_PCA_Mechanics!I19-Scale_PCA_Mechanics!I47)^2+(Scale_PCA_Mechanics!J19-Scale_PCA_Mechanics!J47)^2)</f>
        <v/>
      </c>
      <c r="D726">
        <f>INDEX(KMeans_6_2!AA2:AA51,A726)</f>
        <v/>
      </c>
      <c r="E726">
        <f>INDEX(KMeans_6_2!AA2:AA51,B726)</f>
        <v/>
      </c>
      <c r="O726">
        <f>IF(OR(AND(D726=1,E726=2),AND(D726=2,E726=1)),C726,"")</f>
        <v/>
      </c>
      <c r="P726">
        <f>IF(OR(AND(D726=1,E726=3),AND(D726=3,E726=1)),C726,"")</f>
        <v/>
      </c>
      <c r="Q726">
        <f>IF(OR(AND(D726=2,E726=3),AND(D726=3,E726=2)),C726,"")</f>
        <v/>
      </c>
    </row>
    <row r="727">
      <c r="A727" t="n">
        <v>18</v>
      </c>
      <c r="B727" t="n">
        <v>47</v>
      </c>
      <c r="C727">
        <f>SQRT((Scale_PCA_Mechanics!G19-Scale_PCA_Mechanics!G48)^2+(Scale_PCA_Mechanics!H19-Scale_PCA_Mechanics!H48)^2+(Scale_PCA_Mechanics!I19-Scale_PCA_Mechanics!I48)^2+(Scale_PCA_Mechanics!J19-Scale_PCA_Mechanics!J48)^2)</f>
        <v/>
      </c>
      <c r="D727">
        <f>INDEX(KMeans_6_2!AA2:AA51,A727)</f>
        <v/>
      </c>
      <c r="E727">
        <f>INDEX(KMeans_6_2!AA2:AA51,B727)</f>
        <v/>
      </c>
      <c r="O727">
        <f>IF(OR(AND(D727=1,E727=2),AND(D727=2,E727=1)),C727,"")</f>
        <v/>
      </c>
      <c r="P727">
        <f>IF(OR(AND(D727=1,E727=3),AND(D727=3,E727=1)),C727,"")</f>
        <v/>
      </c>
      <c r="Q727">
        <f>IF(OR(AND(D727=2,E727=3),AND(D727=3,E727=2)),C727,"")</f>
        <v/>
      </c>
    </row>
    <row r="728">
      <c r="A728" t="n">
        <v>18</v>
      </c>
      <c r="B728" t="n">
        <v>48</v>
      </c>
      <c r="C728">
        <f>SQRT((Scale_PCA_Mechanics!G19-Scale_PCA_Mechanics!G49)^2+(Scale_PCA_Mechanics!H19-Scale_PCA_Mechanics!H49)^2+(Scale_PCA_Mechanics!I19-Scale_PCA_Mechanics!I49)^2+(Scale_PCA_Mechanics!J19-Scale_PCA_Mechanics!J49)^2)</f>
        <v/>
      </c>
      <c r="D728">
        <f>INDEX(KMeans_6_2!AA2:AA51,A728)</f>
        <v/>
      </c>
      <c r="E728">
        <f>INDEX(KMeans_6_2!AA2:AA51,B728)</f>
        <v/>
      </c>
      <c r="O728">
        <f>IF(OR(AND(D728=1,E728=2),AND(D728=2,E728=1)),C728,"")</f>
        <v/>
      </c>
      <c r="P728">
        <f>IF(OR(AND(D728=1,E728=3),AND(D728=3,E728=1)),C728,"")</f>
        <v/>
      </c>
      <c r="Q728">
        <f>IF(OR(AND(D728=2,E728=3),AND(D728=3,E728=2)),C728,"")</f>
        <v/>
      </c>
    </row>
    <row r="729">
      <c r="A729" t="n">
        <v>18</v>
      </c>
      <c r="B729" t="n">
        <v>49</v>
      </c>
      <c r="C729">
        <f>SQRT((Scale_PCA_Mechanics!G19-Scale_PCA_Mechanics!G50)^2+(Scale_PCA_Mechanics!H19-Scale_PCA_Mechanics!H50)^2+(Scale_PCA_Mechanics!I19-Scale_PCA_Mechanics!I50)^2+(Scale_PCA_Mechanics!J19-Scale_PCA_Mechanics!J50)^2)</f>
        <v/>
      </c>
      <c r="D729">
        <f>INDEX(KMeans_6_2!AA2:AA51,A729)</f>
        <v/>
      </c>
      <c r="E729">
        <f>INDEX(KMeans_6_2!AA2:AA51,B729)</f>
        <v/>
      </c>
      <c r="O729">
        <f>IF(OR(AND(D729=1,E729=2),AND(D729=2,E729=1)),C729,"")</f>
        <v/>
      </c>
      <c r="P729">
        <f>IF(OR(AND(D729=1,E729=3),AND(D729=3,E729=1)),C729,"")</f>
        <v/>
      </c>
      <c r="Q729">
        <f>IF(OR(AND(D729=2,E729=3),AND(D729=3,E729=2)),C729,"")</f>
        <v/>
      </c>
    </row>
    <row r="730">
      <c r="A730" t="n">
        <v>18</v>
      </c>
      <c r="B730" t="n">
        <v>50</v>
      </c>
      <c r="C730">
        <f>SQRT((Scale_PCA_Mechanics!G19-Scale_PCA_Mechanics!G51)^2+(Scale_PCA_Mechanics!H19-Scale_PCA_Mechanics!H51)^2+(Scale_PCA_Mechanics!I19-Scale_PCA_Mechanics!I51)^2+(Scale_PCA_Mechanics!J19-Scale_PCA_Mechanics!J51)^2)</f>
        <v/>
      </c>
      <c r="D730">
        <f>INDEX(KMeans_6_2!AA2:AA51,A730)</f>
        <v/>
      </c>
      <c r="E730">
        <f>INDEX(KMeans_6_2!AA2:AA51,B730)</f>
        <v/>
      </c>
      <c r="O730">
        <f>IF(OR(AND(D730=1,E730=2),AND(D730=2,E730=1)),C730,"")</f>
        <v/>
      </c>
      <c r="P730">
        <f>IF(OR(AND(D730=1,E730=3),AND(D730=3,E730=1)),C730,"")</f>
        <v/>
      </c>
      <c r="Q730">
        <f>IF(OR(AND(D730=2,E730=3),AND(D730=3,E730=2)),C730,"")</f>
        <v/>
      </c>
    </row>
    <row r="731">
      <c r="A731" t="n">
        <v>19</v>
      </c>
      <c r="B731" t="n">
        <v>20</v>
      </c>
      <c r="C731">
        <f>SQRT((Scale_PCA_Mechanics!G20-Scale_PCA_Mechanics!G21)^2+(Scale_PCA_Mechanics!H20-Scale_PCA_Mechanics!H21)^2+(Scale_PCA_Mechanics!I20-Scale_PCA_Mechanics!I21)^2+(Scale_PCA_Mechanics!J20-Scale_PCA_Mechanics!J21)^2)</f>
        <v/>
      </c>
      <c r="D731">
        <f>INDEX(KMeans_6_2!AA2:AA51,A731)</f>
        <v/>
      </c>
      <c r="E731">
        <f>INDEX(KMeans_6_2!AA2:AA51,B731)</f>
        <v/>
      </c>
      <c r="O731">
        <f>IF(OR(AND(D731=1,E731=2),AND(D731=2,E731=1)),C731,"")</f>
        <v/>
      </c>
      <c r="P731">
        <f>IF(OR(AND(D731=1,E731=3),AND(D731=3,E731=1)),C731,"")</f>
        <v/>
      </c>
      <c r="Q731">
        <f>IF(OR(AND(D731=2,E731=3),AND(D731=3,E731=2)),C731,"")</f>
        <v/>
      </c>
    </row>
    <row r="732">
      <c r="A732" t="n">
        <v>19</v>
      </c>
      <c r="B732" t="n">
        <v>21</v>
      </c>
      <c r="C732">
        <f>SQRT((Scale_PCA_Mechanics!G20-Scale_PCA_Mechanics!G22)^2+(Scale_PCA_Mechanics!H20-Scale_PCA_Mechanics!H22)^2+(Scale_PCA_Mechanics!I20-Scale_PCA_Mechanics!I22)^2+(Scale_PCA_Mechanics!J20-Scale_PCA_Mechanics!J22)^2)</f>
        <v/>
      </c>
      <c r="D732">
        <f>INDEX(KMeans_6_2!AA2:AA51,A732)</f>
        <v/>
      </c>
      <c r="E732">
        <f>INDEX(KMeans_6_2!AA2:AA51,B732)</f>
        <v/>
      </c>
      <c r="O732">
        <f>IF(OR(AND(D732=1,E732=2),AND(D732=2,E732=1)),C732,"")</f>
        <v/>
      </c>
      <c r="P732">
        <f>IF(OR(AND(D732=1,E732=3),AND(D732=3,E732=1)),C732,"")</f>
        <v/>
      </c>
      <c r="Q732">
        <f>IF(OR(AND(D732=2,E732=3),AND(D732=3,E732=2)),C732,"")</f>
        <v/>
      </c>
    </row>
    <row r="733">
      <c r="A733" t="n">
        <v>19</v>
      </c>
      <c r="B733" t="n">
        <v>22</v>
      </c>
      <c r="C733">
        <f>SQRT((Scale_PCA_Mechanics!G20-Scale_PCA_Mechanics!G23)^2+(Scale_PCA_Mechanics!H20-Scale_PCA_Mechanics!H23)^2+(Scale_PCA_Mechanics!I20-Scale_PCA_Mechanics!I23)^2+(Scale_PCA_Mechanics!J20-Scale_PCA_Mechanics!J23)^2)</f>
        <v/>
      </c>
      <c r="D733">
        <f>INDEX(KMeans_6_2!AA2:AA51,A733)</f>
        <v/>
      </c>
      <c r="E733">
        <f>INDEX(KMeans_6_2!AA2:AA51,B733)</f>
        <v/>
      </c>
      <c r="O733">
        <f>IF(OR(AND(D733=1,E733=2),AND(D733=2,E733=1)),C733,"")</f>
        <v/>
      </c>
      <c r="P733">
        <f>IF(OR(AND(D733=1,E733=3),AND(D733=3,E733=1)),C733,"")</f>
        <v/>
      </c>
      <c r="Q733">
        <f>IF(OR(AND(D733=2,E733=3),AND(D733=3,E733=2)),C733,"")</f>
        <v/>
      </c>
    </row>
    <row r="734">
      <c r="A734" t="n">
        <v>19</v>
      </c>
      <c r="B734" t="n">
        <v>23</v>
      </c>
      <c r="C734">
        <f>SQRT((Scale_PCA_Mechanics!G20-Scale_PCA_Mechanics!G24)^2+(Scale_PCA_Mechanics!H20-Scale_PCA_Mechanics!H24)^2+(Scale_PCA_Mechanics!I20-Scale_PCA_Mechanics!I24)^2+(Scale_PCA_Mechanics!J20-Scale_PCA_Mechanics!J24)^2)</f>
        <v/>
      </c>
      <c r="D734">
        <f>INDEX(KMeans_6_2!AA2:AA51,A734)</f>
        <v/>
      </c>
      <c r="E734">
        <f>INDEX(KMeans_6_2!AA2:AA51,B734)</f>
        <v/>
      </c>
      <c r="O734">
        <f>IF(OR(AND(D734=1,E734=2),AND(D734=2,E734=1)),C734,"")</f>
        <v/>
      </c>
      <c r="P734">
        <f>IF(OR(AND(D734=1,E734=3),AND(D734=3,E734=1)),C734,"")</f>
        <v/>
      </c>
      <c r="Q734">
        <f>IF(OR(AND(D734=2,E734=3),AND(D734=3,E734=2)),C734,"")</f>
        <v/>
      </c>
    </row>
    <row r="735">
      <c r="A735" t="n">
        <v>19</v>
      </c>
      <c r="B735" t="n">
        <v>24</v>
      </c>
      <c r="C735">
        <f>SQRT((Scale_PCA_Mechanics!G20-Scale_PCA_Mechanics!G25)^2+(Scale_PCA_Mechanics!H20-Scale_PCA_Mechanics!H25)^2+(Scale_PCA_Mechanics!I20-Scale_PCA_Mechanics!I25)^2+(Scale_PCA_Mechanics!J20-Scale_PCA_Mechanics!J25)^2)</f>
        <v/>
      </c>
      <c r="D735">
        <f>INDEX(KMeans_6_2!AA2:AA51,A735)</f>
        <v/>
      </c>
      <c r="E735">
        <f>INDEX(KMeans_6_2!AA2:AA51,B735)</f>
        <v/>
      </c>
      <c r="O735">
        <f>IF(OR(AND(D735=1,E735=2),AND(D735=2,E735=1)),C735,"")</f>
        <v/>
      </c>
      <c r="P735">
        <f>IF(OR(AND(D735=1,E735=3),AND(D735=3,E735=1)),C735,"")</f>
        <v/>
      </c>
      <c r="Q735">
        <f>IF(OR(AND(D735=2,E735=3),AND(D735=3,E735=2)),C735,"")</f>
        <v/>
      </c>
    </row>
    <row r="736">
      <c r="A736" t="n">
        <v>19</v>
      </c>
      <c r="B736" t="n">
        <v>25</v>
      </c>
      <c r="C736">
        <f>SQRT((Scale_PCA_Mechanics!G20-Scale_PCA_Mechanics!G26)^2+(Scale_PCA_Mechanics!H20-Scale_PCA_Mechanics!H26)^2+(Scale_PCA_Mechanics!I20-Scale_PCA_Mechanics!I26)^2+(Scale_PCA_Mechanics!J20-Scale_PCA_Mechanics!J26)^2)</f>
        <v/>
      </c>
      <c r="D736">
        <f>INDEX(KMeans_6_2!AA2:AA51,A736)</f>
        <v/>
      </c>
      <c r="E736">
        <f>INDEX(KMeans_6_2!AA2:AA51,B736)</f>
        <v/>
      </c>
      <c r="O736">
        <f>IF(OR(AND(D736=1,E736=2),AND(D736=2,E736=1)),C736,"")</f>
        <v/>
      </c>
      <c r="P736">
        <f>IF(OR(AND(D736=1,E736=3),AND(D736=3,E736=1)),C736,"")</f>
        <v/>
      </c>
      <c r="Q736">
        <f>IF(OR(AND(D736=2,E736=3),AND(D736=3,E736=2)),C736,"")</f>
        <v/>
      </c>
    </row>
    <row r="737">
      <c r="A737" t="n">
        <v>19</v>
      </c>
      <c r="B737" t="n">
        <v>26</v>
      </c>
      <c r="C737">
        <f>SQRT((Scale_PCA_Mechanics!G20-Scale_PCA_Mechanics!G27)^2+(Scale_PCA_Mechanics!H20-Scale_PCA_Mechanics!H27)^2+(Scale_PCA_Mechanics!I20-Scale_PCA_Mechanics!I27)^2+(Scale_PCA_Mechanics!J20-Scale_PCA_Mechanics!J27)^2)</f>
        <v/>
      </c>
      <c r="D737">
        <f>INDEX(KMeans_6_2!AA2:AA51,A737)</f>
        <v/>
      </c>
      <c r="E737">
        <f>INDEX(KMeans_6_2!AA2:AA51,B737)</f>
        <v/>
      </c>
      <c r="O737">
        <f>IF(OR(AND(D737=1,E737=2),AND(D737=2,E737=1)),C737,"")</f>
        <v/>
      </c>
      <c r="P737">
        <f>IF(OR(AND(D737=1,E737=3),AND(D737=3,E737=1)),C737,"")</f>
        <v/>
      </c>
      <c r="Q737">
        <f>IF(OR(AND(D737=2,E737=3),AND(D737=3,E737=2)),C737,"")</f>
        <v/>
      </c>
    </row>
    <row r="738">
      <c r="A738" t="n">
        <v>19</v>
      </c>
      <c r="B738" t="n">
        <v>27</v>
      </c>
      <c r="C738">
        <f>SQRT((Scale_PCA_Mechanics!G20-Scale_PCA_Mechanics!G28)^2+(Scale_PCA_Mechanics!H20-Scale_PCA_Mechanics!H28)^2+(Scale_PCA_Mechanics!I20-Scale_PCA_Mechanics!I28)^2+(Scale_PCA_Mechanics!J20-Scale_PCA_Mechanics!J28)^2)</f>
        <v/>
      </c>
      <c r="D738">
        <f>INDEX(KMeans_6_2!AA2:AA51,A738)</f>
        <v/>
      </c>
      <c r="E738">
        <f>INDEX(KMeans_6_2!AA2:AA51,B738)</f>
        <v/>
      </c>
      <c r="O738">
        <f>IF(OR(AND(D738=1,E738=2),AND(D738=2,E738=1)),C738,"")</f>
        <v/>
      </c>
      <c r="P738">
        <f>IF(OR(AND(D738=1,E738=3),AND(D738=3,E738=1)),C738,"")</f>
        <v/>
      </c>
      <c r="Q738">
        <f>IF(OR(AND(D738=2,E738=3),AND(D738=3,E738=2)),C738,"")</f>
        <v/>
      </c>
    </row>
    <row r="739">
      <c r="A739" t="n">
        <v>19</v>
      </c>
      <c r="B739" t="n">
        <v>28</v>
      </c>
      <c r="C739">
        <f>SQRT((Scale_PCA_Mechanics!G20-Scale_PCA_Mechanics!G29)^2+(Scale_PCA_Mechanics!H20-Scale_PCA_Mechanics!H29)^2+(Scale_PCA_Mechanics!I20-Scale_PCA_Mechanics!I29)^2+(Scale_PCA_Mechanics!J20-Scale_PCA_Mechanics!J29)^2)</f>
        <v/>
      </c>
      <c r="D739">
        <f>INDEX(KMeans_6_2!AA2:AA51,A739)</f>
        <v/>
      </c>
      <c r="E739">
        <f>INDEX(KMeans_6_2!AA2:AA51,B739)</f>
        <v/>
      </c>
      <c r="O739">
        <f>IF(OR(AND(D739=1,E739=2),AND(D739=2,E739=1)),C739,"")</f>
        <v/>
      </c>
      <c r="P739">
        <f>IF(OR(AND(D739=1,E739=3),AND(D739=3,E739=1)),C739,"")</f>
        <v/>
      </c>
      <c r="Q739">
        <f>IF(OR(AND(D739=2,E739=3),AND(D739=3,E739=2)),C739,"")</f>
        <v/>
      </c>
    </row>
    <row r="740">
      <c r="A740" t="n">
        <v>19</v>
      </c>
      <c r="B740" t="n">
        <v>29</v>
      </c>
      <c r="C740">
        <f>SQRT((Scale_PCA_Mechanics!G20-Scale_PCA_Mechanics!G30)^2+(Scale_PCA_Mechanics!H20-Scale_PCA_Mechanics!H30)^2+(Scale_PCA_Mechanics!I20-Scale_PCA_Mechanics!I30)^2+(Scale_PCA_Mechanics!J20-Scale_PCA_Mechanics!J30)^2)</f>
        <v/>
      </c>
      <c r="D740">
        <f>INDEX(KMeans_6_2!AA2:AA51,A740)</f>
        <v/>
      </c>
      <c r="E740">
        <f>INDEX(KMeans_6_2!AA2:AA51,B740)</f>
        <v/>
      </c>
      <c r="O740">
        <f>IF(OR(AND(D740=1,E740=2),AND(D740=2,E740=1)),C740,"")</f>
        <v/>
      </c>
      <c r="P740">
        <f>IF(OR(AND(D740=1,E740=3),AND(D740=3,E740=1)),C740,"")</f>
        <v/>
      </c>
      <c r="Q740">
        <f>IF(OR(AND(D740=2,E740=3),AND(D740=3,E740=2)),C740,"")</f>
        <v/>
      </c>
    </row>
    <row r="741">
      <c r="A741" t="n">
        <v>19</v>
      </c>
      <c r="B741" t="n">
        <v>30</v>
      </c>
      <c r="C741">
        <f>SQRT((Scale_PCA_Mechanics!G20-Scale_PCA_Mechanics!G31)^2+(Scale_PCA_Mechanics!H20-Scale_PCA_Mechanics!H31)^2+(Scale_PCA_Mechanics!I20-Scale_PCA_Mechanics!I31)^2+(Scale_PCA_Mechanics!J20-Scale_PCA_Mechanics!J31)^2)</f>
        <v/>
      </c>
      <c r="D741">
        <f>INDEX(KMeans_6_2!AA2:AA51,A741)</f>
        <v/>
      </c>
      <c r="E741">
        <f>INDEX(KMeans_6_2!AA2:AA51,B741)</f>
        <v/>
      </c>
      <c r="O741">
        <f>IF(OR(AND(D741=1,E741=2),AND(D741=2,E741=1)),C741,"")</f>
        <v/>
      </c>
      <c r="P741">
        <f>IF(OR(AND(D741=1,E741=3),AND(D741=3,E741=1)),C741,"")</f>
        <v/>
      </c>
      <c r="Q741">
        <f>IF(OR(AND(D741=2,E741=3),AND(D741=3,E741=2)),C741,"")</f>
        <v/>
      </c>
    </row>
    <row r="742">
      <c r="A742" t="n">
        <v>19</v>
      </c>
      <c r="B742" t="n">
        <v>31</v>
      </c>
      <c r="C742">
        <f>SQRT((Scale_PCA_Mechanics!G20-Scale_PCA_Mechanics!G32)^2+(Scale_PCA_Mechanics!H20-Scale_PCA_Mechanics!H32)^2+(Scale_PCA_Mechanics!I20-Scale_PCA_Mechanics!I32)^2+(Scale_PCA_Mechanics!J20-Scale_PCA_Mechanics!J32)^2)</f>
        <v/>
      </c>
      <c r="D742">
        <f>INDEX(KMeans_6_2!AA2:AA51,A742)</f>
        <v/>
      </c>
      <c r="E742">
        <f>INDEX(KMeans_6_2!AA2:AA51,B742)</f>
        <v/>
      </c>
      <c r="O742">
        <f>IF(OR(AND(D742=1,E742=2),AND(D742=2,E742=1)),C742,"")</f>
        <v/>
      </c>
      <c r="P742">
        <f>IF(OR(AND(D742=1,E742=3),AND(D742=3,E742=1)),C742,"")</f>
        <v/>
      </c>
      <c r="Q742">
        <f>IF(OR(AND(D742=2,E742=3),AND(D742=3,E742=2)),C742,"")</f>
        <v/>
      </c>
    </row>
    <row r="743">
      <c r="A743" t="n">
        <v>19</v>
      </c>
      <c r="B743" t="n">
        <v>32</v>
      </c>
      <c r="C743">
        <f>SQRT((Scale_PCA_Mechanics!G20-Scale_PCA_Mechanics!G33)^2+(Scale_PCA_Mechanics!H20-Scale_PCA_Mechanics!H33)^2+(Scale_PCA_Mechanics!I20-Scale_PCA_Mechanics!I33)^2+(Scale_PCA_Mechanics!J20-Scale_PCA_Mechanics!J33)^2)</f>
        <v/>
      </c>
      <c r="D743">
        <f>INDEX(KMeans_6_2!AA2:AA51,A743)</f>
        <v/>
      </c>
      <c r="E743">
        <f>INDEX(KMeans_6_2!AA2:AA51,B743)</f>
        <v/>
      </c>
      <c r="O743">
        <f>IF(OR(AND(D743=1,E743=2),AND(D743=2,E743=1)),C743,"")</f>
        <v/>
      </c>
      <c r="P743">
        <f>IF(OR(AND(D743=1,E743=3),AND(D743=3,E743=1)),C743,"")</f>
        <v/>
      </c>
      <c r="Q743">
        <f>IF(OR(AND(D743=2,E743=3),AND(D743=3,E743=2)),C743,"")</f>
        <v/>
      </c>
    </row>
    <row r="744">
      <c r="A744" t="n">
        <v>19</v>
      </c>
      <c r="B744" t="n">
        <v>33</v>
      </c>
      <c r="C744">
        <f>SQRT((Scale_PCA_Mechanics!G20-Scale_PCA_Mechanics!G34)^2+(Scale_PCA_Mechanics!H20-Scale_PCA_Mechanics!H34)^2+(Scale_PCA_Mechanics!I20-Scale_PCA_Mechanics!I34)^2+(Scale_PCA_Mechanics!J20-Scale_PCA_Mechanics!J34)^2)</f>
        <v/>
      </c>
      <c r="D744">
        <f>INDEX(KMeans_6_2!AA2:AA51,A744)</f>
        <v/>
      </c>
      <c r="E744">
        <f>INDEX(KMeans_6_2!AA2:AA51,B744)</f>
        <v/>
      </c>
      <c r="O744">
        <f>IF(OR(AND(D744=1,E744=2),AND(D744=2,E744=1)),C744,"")</f>
        <v/>
      </c>
      <c r="P744">
        <f>IF(OR(AND(D744=1,E744=3),AND(D744=3,E744=1)),C744,"")</f>
        <v/>
      </c>
      <c r="Q744">
        <f>IF(OR(AND(D744=2,E744=3),AND(D744=3,E744=2)),C744,"")</f>
        <v/>
      </c>
    </row>
    <row r="745">
      <c r="A745" t="n">
        <v>19</v>
      </c>
      <c r="B745" t="n">
        <v>34</v>
      </c>
      <c r="C745">
        <f>SQRT((Scale_PCA_Mechanics!G20-Scale_PCA_Mechanics!G35)^2+(Scale_PCA_Mechanics!H20-Scale_PCA_Mechanics!H35)^2+(Scale_PCA_Mechanics!I20-Scale_PCA_Mechanics!I35)^2+(Scale_PCA_Mechanics!J20-Scale_PCA_Mechanics!J35)^2)</f>
        <v/>
      </c>
      <c r="D745">
        <f>INDEX(KMeans_6_2!AA2:AA51,A745)</f>
        <v/>
      </c>
      <c r="E745">
        <f>INDEX(KMeans_6_2!AA2:AA51,B745)</f>
        <v/>
      </c>
      <c r="O745">
        <f>IF(OR(AND(D745=1,E745=2),AND(D745=2,E745=1)),C745,"")</f>
        <v/>
      </c>
      <c r="P745">
        <f>IF(OR(AND(D745=1,E745=3),AND(D745=3,E745=1)),C745,"")</f>
        <v/>
      </c>
      <c r="Q745">
        <f>IF(OR(AND(D745=2,E745=3),AND(D745=3,E745=2)),C745,"")</f>
        <v/>
      </c>
    </row>
    <row r="746">
      <c r="A746" t="n">
        <v>19</v>
      </c>
      <c r="B746" t="n">
        <v>35</v>
      </c>
      <c r="C746">
        <f>SQRT((Scale_PCA_Mechanics!G20-Scale_PCA_Mechanics!G36)^2+(Scale_PCA_Mechanics!H20-Scale_PCA_Mechanics!H36)^2+(Scale_PCA_Mechanics!I20-Scale_PCA_Mechanics!I36)^2+(Scale_PCA_Mechanics!J20-Scale_PCA_Mechanics!J36)^2)</f>
        <v/>
      </c>
      <c r="D746">
        <f>INDEX(KMeans_6_2!AA2:AA51,A746)</f>
        <v/>
      </c>
      <c r="E746">
        <f>INDEX(KMeans_6_2!AA2:AA51,B746)</f>
        <v/>
      </c>
      <c r="O746">
        <f>IF(OR(AND(D746=1,E746=2),AND(D746=2,E746=1)),C746,"")</f>
        <v/>
      </c>
      <c r="P746">
        <f>IF(OR(AND(D746=1,E746=3),AND(D746=3,E746=1)),C746,"")</f>
        <v/>
      </c>
      <c r="Q746">
        <f>IF(OR(AND(D746=2,E746=3),AND(D746=3,E746=2)),C746,"")</f>
        <v/>
      </c>
    </row>
    <row r="747">
      <c r="A747" t="n">
        <v>19</v>
      </c>
      <c r="B747" t="n">
        <v>36</v>
      </c>
      <c r="C747">
        <f>SQRT((Scale_PCA_Mechanics!G20-Scale_PCA_Mechanics!G37)^2+(Scale_PCA_Mechanics!H20-Scale_PCA_Mechanics!H37)^2+(Scale_PCA_Mechanics!I20-Scale_PCA_Mechanics!I37)^2+(Scale_PCA_Mechanics!J20-Scale_PCA_Mechanics!J37)^2)</f>
        <v/>
      </c>
      <c r="D747">
        <f>INDEX(KMeans_6_2!AA2:AA51,A747)</f>
        <v/>
      </c>
      <c r="E747">
        <f>INDEX(KMeans_6_2!AA2:AA51,B747)</f>
        <v/>
      </c>
      <c r="O747">
        <f>IF(OR(AND(D747=1,E747=2),AND(D747=2,E747=1)),C747,"")</f>
        <v/>
      </c>
      <c r="P747">
        <f>IF(OR(AND(D747=1,E747=3),AND(D747=3,E747=1)),C747,"")</f>
        <v/>
      </c>
      <c r="Q747">
        <f>IF(OR(AND(D747=2,E747=3),AND(D747=3,E747=2)),C747,"")</f>
        <v/>
      </c>
    </row>
    <row r="748">
      <c r="A748" t="n">
        <v>19</v>
      </c>
      <c r="B748" t="n">
        <v>37</v>
      </c>
      <c r="C748">
        <f>SQRT((Scale_PCA_Mechanics!G20-Scale_PCA_Mechanics!G38)^2+(Scale_PCA_Mechanics!H20-Scale_PCA_Mechanics!H38)^2+(Scale_PCA_Mechanics!I20-Scale_PCA_Mechanics!I38)^2+(Scale_PCA_Mechanics!J20-Scale_PCA_Mechanics!J38)^2)</f>
        <v/>
      </c>
      <c r="D748">
        <f>INDEX(KMeans_6_2!AA2:AA51,A748)</f>
        <v/>
      </c>
      <c r="E748">
        <f>INDEX(KMeans_6_2!AA2:AA51,B748)</f>
        <v/>
      </c>
      <c r="O748">
        <f>IF(OR(AND(D748=1,E748=2),AND(D748=2,E748=1)),C748,"")</f>
        <v/>
      </c>
      <c r="P748">
        <f>IF(OR(AND(D748=1,E748=3),AND(D748=3,E748=1)),C748,"")</f>
        <v/>
      </c>
      <c r="Q748">
        <f>IF(OR(AND(D748=2,E748=3),AND(D748=3,E748=2)),C748,"")</f>
        <v/>
      </c>
    </row>
    <row r="749">
      <c r="A749" t="n">
        <v>19</v>
      </c>
      <c r="B749" t="n">
        <v>38</v>
      </c>
      <c r="C749">
        <f>SQRT((Scale_PCA_Mechanics!G20-Scale_PCA_Mechanics!G39)^2+(Scale_PCA_Mechanics!H20-Scale_PCA_Mechanics!H39)^2+(Scale_PCA_Mechanics!I20-Scale_PCA_Mechanics!I39)^2+(Scale_PCA_Mechanics!J20-Scale_PCA_Mechanics!J39)^2)</f>
        <v/>
      </c>
      <c r="D749">
        <f>INDEX(KMeans_6_2!AA2:AA51,A749)</f>
        <v/>
      </c>
      <c r="E749">
        <f>INDEX(KMeans_6_2!AA2:AA51,B749)</f>
        <v/>
      </c>
      <c r="O749">
        <f>IF(OR(AND(D749=1,E749=2),AND(D749=2,E749=1)),C749,"")</f>
        <v/>
      </c>
      <c r="P749">
        <f>IF(OR(AND(D749=1,E749=3),AND(D749=3,E749=1)),C749,"")</f>
        <v/>
      </c>
      <c r="Q749">
        <f>IF(OR(AND(D749=2,E749=3),AND(D749=3,E749=2)),C749,"")</f>
        <v/>
      </c>
    </row>
    <row r="750">
      <c r="A750" t="n">
        <v>19</v>
      </c>
      <c r="B750" t="n">
        <v>39</v>
      </c>
      <c r="C750">
        <f>SQRT((Scale_PCA_Mechanics!G20-Scale_PCA_Mechanics!G40)^2+(Scale_PCA_Mechanics!H20-Scale_PCA_Mechanics!H40)^2+(Scale_PCA_Mechanics!I20-Scale_PCA_Mechanics!I40)^2+(Scale_PCA_Mechanics!J20-Scale_PCA_Mechanics!J40)^2)</f>
        <v/>
      </c>
      <c r="D750">
        <f>INDEX(KMeans_6_2!AA2:AA51,A750)</f>
        <v/>
      </c>
      <c r="E750">
        <f>INDEX(KMeans_6_2!AA2:AA51,B750)</f>
        <v/>
      </c>
      <c r="O750">
        <f>IF(OR(AND(D750=1,E750=2),AND(D750=2,E750=1)),C750,"")</f>
        <v/>
      </c>
      <c r="P750">
        <f>IF(OR(AND(D750=1,E750=3),AND(D750=3,E750=1)),C750,"")</f>
        <v/>
      </c>
      <c r="Q750">
        <f>IF(OR(AND(D750=2,E750=3),AND(D750=3,E750=2)),C750,"")</f>
        <v/>
      </c>
    </row>
    <row r="751">
      <c r="A751" t="n">
        <v>19</v>
      </c>
      <c r="B751" t="n">
        <v>40</v>
      </c>
      <c r="C751">
        <f>SQRT((Scale_PCA_Mechanics!G20-Scale_PCA_Mechanics!G41)^2+(Scale_PCA_Mechanics!H20-Scale_PCA_Mechanics!H41)^2+(Scale_PCA_Mechanics!I20-Scale_PCA_Mechanics!I41)^2+(Scale_PCA_Mechanics!J20-Scale_PCA_Mechanics!J41)^2)</f>
        <v/>
      </c>
      <c r="D751">
        <f>INDEX(KMeans_6_2!AA2:AA51,A751)</f>
        <v/>
      </c>
      <c r="E751">
        <f>INDEX(KMeans_6_2!AA2:AA51,B751)</f>
        <v/>
      </c>
      <c r="O751">
        <f>IF(OR(AND(D751=1,E751=2),AND(D751=2,E751=1)),C751,"")</f>
        <v/>
      </c>
      <c r="P751">
        <f>IF(OR(AND(D751=1,E751=3),AND(D751=3,E751=1)),C751,"")</f>
        <v/>
      </c>
      <c r="Q751">
        <f>IF(OR(AND(D751=2,E751=3),AND(D751=3,E751=2)),C751,"")</f>
        <v/>
      </c>
    </row>
    <row r="752">
      <c r="A752" t="n">
        <v>19</v>
      </c>
      <c r="B752" t="n">
        <v>41</v>
      </c>
      <c r="C752">
        <f>SQRT((Scale_PCA_Mechanics!G20-Scale_PCA_Mechanics!G42)^2+(Scale_PCA_Mechanics!H20-Scale_PCA_Mechanics!H42)^2+(Scale_PCA_Mechanics!I20-Scale_PCA_Mechanics!I42)^2+(Scale_PCA_Mechanics!J20-Scale_PCA_Mechanics!J42)^2)</f>
        <v/>
      </c>
      <c r="D752">
        <f>INDEX(KMeans_6_2!AA2:AA51,A752)</f>
        <v/>
      </c>
      <c r="E752">
        <f>INDEX(KMeans_6_2!AA2:AA51,B752)</f>
        <v/>
      </c>
      <c r="O752">
        <f>IF(OR(AND(D752=1,E752=2),AND(D752=2,E752=1)),C752,"")</f>
        <v/>
      </c>
      <c r="P752">
        <f>IF(OR(AND(D752=1,E752=3),AND(D752=3,E752=1)),C752,"")</f>
        <v/>
      </c>
      <c r="Q752">
        <f>IF(OR(AND(D752=2,E752=3),AND(D752=3,E752=2)),C752,"")</f>
        <v/>
      </c>
    </row>
    <row r="753">
      <c r="A753" t="n">
        <v>19</v>
      </c>
      <c r="B753" t="n">
        <v>42</v>
      </c>
      <c r="C753">
        <f>SQRT((Scale_PCA_Mechanics!G20-Scale_PCA_Mechanics!G43)^2+(Scale_PCA_Mechanics!H20-Scale_PCA_Mechanics!H43)^2+(Scale_PCA_Mechanics!I20-Scale_PCA_Mechanics!I43)^2+(Scale_PCA_Mechanics!J20-Scale_PCA_Mechanics!J43)^2)</f>
        <v/>
      </c>
      <c r="D753">
        <f>INDEX(KMeans_6_2!AA2:AA51,A753)</f>
        <v/>
      </c>
      <c r="E753">
        <f>INDEX(KMeans_6_2!AA2:AA51,B753)</f>
        <v/>
      </c>
      <c r="O753">
        <f>IF(OR(AND(D753=1,E753=2),AND(D753=2,E753=1)),C753,"")</f>
        <v/>
      </c>
      <c r="P753">
        <f>IF(OR(AND(D753=1,E753=3),AND(D753=3,E753=1)),C753,"")</f>
        <v/>
      </c>
      <c r="Q753">
        <f>IF(OR(AND(D753=2,E753=3),AND(D753=3,E753=2)),C753,"")</f>
        <v/>
      </c>
    </row>
    <row r="754">
      <c r="A754" t="n">
        <v>19</v>
      </c>
      <c r="B754" t="n">
        <v>43</v>
      </c>
      <c r="C754">
        <f>SQRT((Scale_PCA_Mechanics!G20-Scale_PCA_Mechanics!G44)^2+(Scale_PCA_Mechanics!H20-Scale_PCA_Mechanics!H44)^2+(Scale_PCA_Mechanics!I20-Scale_PCA_Mechanics!I44)^2+(Scale_PCA_Mechanics!J20-Scale_PCA_Mechanics!J44)^2)</f>
        <v/>
      </c>
      <c r="D754">
        <f>INDEX(KMeans_6_2!AA2:AA51,A754)</f>
        <v/>
      </c>
      <c r="E754">
        <f>INDEX(KMeans_6_2!AA2:AA51,B754)</f>
        <v/>
      </c>
      <c r="O754">
        <f>IF(OR(AND(D754=1,E754=2),AND(D754=2,E754=1)),C754,"")</f>
        <v/>
      </c>
      <c r="P754">
        <f>IF(OR(AND(D754=1,E754=3),AND(D754=3,E754=1)),C754,"")</f>
        <v/>
      </c>
      <c r="Q754">
        <f>IF(OR(AND(D754=2,E754=3),AND(D754=3,E754=2)),C754,"")</f>
        <v/>
      </c>
    </row>
    <row r="755">
      <c r="A755" t="n">
        <v>19</v>
      </c>
      <c r="B755" t="n">
        <v>44</v>
      </c>
      <c r="C755">
        <f>SQRT((Scale_PCA_Mechanics!G20-Scale_PCA_Mechanics!G45)^2+(Scale_PCA_Mechanics!H20-Scale_PCA_Mechanics!H45)^2+(Scale_PCA_Mechanics!I20-Scale_PCA_Mechanics!I45)^2+(Scale_PCA_Mechanics!J20-Scale_PCA_Mechanics!J45)^2)</f>
        <v/>
      </c>
      <c r="D755">
        <f>INDEX(KMeans_6_2!AA2:AA51,A755)</f>
        <v/>
      </c>
      <c r="E755">
        <f>INDEX(KMeans_6_2!AA2:AA51,B755)</f>
        <v/>
      </c>
      <c r="O755">
        <f>IF(OR(AND(D755=1,E755=2),AND(D755=2,E755=1)),C755,"")</f>
        <v/>
      </c>
      <c r="P755">
        <f>IF(OR(AND(D755=1,E755=3),AND(D755=3,E755=1)),C755,"")</f>
        <v/>
      </c>
      <c r="Q755">
        <f>IF(OR(AND(D755=2,E755=3),AND(D755=3,E755=2)),C755,"")</f>
        <v/>
      </c>
    </row>
    <row r="756">
      <c r="A756" t="n">
        <v>19</v>
      </c>
      <c r="B756" t="n">
        <v>45</v>
      </c>
      <c r="C756">
        <f>SQRT((Scale_PCA_Mechanics!G20-Scale_PCA_Mechanics!G46)^2+(Scale_PCA_Mechanics!H20-Scale_PCA_Mechanics!H46)^2+(Scale_PCA_Mechanics!I20-Scale_PCA_Mechanics!I46)^2+(Scale_PCA_Mechanics!J20-Scale_PCA_Mechanics!J46)^2)</f>
        <v/>
      </c>
      <c r="D756">
        <f>INDEX(KMeans_6_2!AA2:AA51,A756)</f>
        <v/>
      </c>
      <c r="E756">
        <f>INDEX(KMeans_6_2!AA2:AA51,B756)</f>
        <v/>
      </c>
      <c r="O756">
        <f>IF(OR(AND(D756=1,E756=2),AND(D756=2,E756=1)),C756,"")</f>
        <v/>
      </c>
      <c r="P756">
        <f>IF(OR(AND(D756=1,E756=3),AND(D756=3,E756=1)),C756,"")</f>
        <v/>
      </c>
      <c r="Q756">
        <f>IF(OR(AND(D756=2,E756=3),AND(D756=3,E756=2)),C756,"")</f>
        <v/>
      </c>
    </row>
    <row r="757">
      <c r="A757" t="n">
        <v>19</v>
      </c>
      <c r="B757" t="n">
        <v>46</v>
      </c>
      <c r="C757">
        <f>SQRT((Scale_PCA_Mechanics!G20-Scale_PCA_Mechanics!G47)^2+(Scale_PCA_Mechanics!H20-Scale_PCA_Mechanics!H47)^2+(Scale_PCA_Mechanics!I20-Scale_PCA_Mechanics!I47)^2+(Scale_PCA_Mechanics!J20-Scale_PCA_Mechanics!J47)^2)</f>
        <v/>
      </c>
      <c r="D757">
        <f>INDEX(KMeans_6_2!AA2:AA51,A757)</f>
        <v/>
      </c>
      <c r="E757">
        <f>INDEX(KMeans_6_2!AA2:AA51,B757)</f>
        <v/>
      </c>
      <c r="O757">
        <f>IF(OR(AND(D757=1,E757=2),AND(D757=2,E757=1)),C757,"")</f>
        <v/>
      </c>
      <c r="P757">
        <f>IF(OR(AND(D757=1,E757=3),AND(D757=3,E757=1)),C757,"")</f>
        <v/>
      </c>
      <c r="Q757">
        <f>IF(OR(AND(D757=2,E757=3),AND(D757=3,E757=2)),C757,"")</f>
        <v/>
      </c>
    </row>
    <row r="758">
      <c r="A758" t="n">
        <v>19</v>
      </c>
      <c r="B758" t="n">
        <v>47</v>
      </c>
      <c r="C758">
        <f>SQRT((Scale_PCA_Mechanics!G20-Scale_PCA_Mechanics!G48)^2+(Scale_PCA_Mechanics!H20-Scale_PCA_Mechanics!H48)^2+(Scale_PCA_Mechanics!I20-Scale_PCA_Mechanics!I48)^2+(Scale_PCA_Mechanics!J20-Scale_PCA_Mechanics!J48)^2)</f>
        <v/>
      </c>
      <c r="D758">
        <f>INDEX(KMeans_6_2!AA2:AA51,A758)</f>
        <v/>
      </c>
      <c r="E758">
        <f>INDEX(KMeans_6_2!AA2:AA51,B758)</f>
        <v/>
      </c>
      <c r="O758">
        <f>IF(OR(AND(D758=1,E758=2),AND(D758=2,E758=1)),C758,"")</f>
        <v/>
      </c>
      <c r="P758">
        <f>IF(OR(AND(D758=1,E758=3),AND(D758=3,E758=1)),C758,"")</f>
        <v/>
      </c>
      <c r="Q758">
        <f>IF(OR(AND(D758=2,E758=3),AND(D758=3,E758=2)),C758,"")</f>
        <v/>
      </c>
    </row>
    <row r="759">
      <c r="A759" t="n">
        <v>19</v>
      </c>
      <c r="B759" t="n">
        <v>48</v>
      </c>
      <c r="C759">
        <f>SQRT((Scale_PCA_Mechanics!G20-Scale_PCA_Mechanics!G49)^2+(Scale_PCA_Mechanics!H20-Scale_PCA_Mechanics!H49)^2+(Scale_PCA_Mechanics!I20-Scale_PCA_Mechanics!I49)^2+(Scale_PCA_Mechanics!J20-Scale_PCA_Mechanics!J49)^2)</f>
        <v/>
      </c>
      <c r="D759">
        <f>INDEX(KMeans_6_2!AA2:AA51,A759)</f>
        <v/>
      </c>
      <c r="E759">
        <f>INDEX(KMeans_6_2!AA2:AA51,B759)</f>
        <v/>
      </c>
      <c r="O759">
        <f>IF(OR(AND(D759=1,E759=2),AND(D759=2,E759=1)),C759,"")</f>
        <v/>
      </c>
      <c r="P759">
        <f>IF(OR(AND(D759=1,E759=3),AND(D759=3,E759=1)),C759,"")</f>
        <v/>
      </c>
      <c r="Q759">
        <f>IF(OR(AND(D759=2,E759=3),AND(D759=3,E759=2)),C759,"")</f>
        <v/>
      </c>
    </row>
    <row r="760">
      <c r="A760" t="n">
        <v>19</v>
      </c>
      <c r="B760" t="n">
        <v>49</v>
      </c>
      <c r="C760">
        <f>SQRT((Scale_PCA_Mechanics!G20-Scale_PCA_Mechanics!G50)^2+(Scale_PCA_Mechanics!H20-Scale_PCA_Mechanics!H50)^2+(Scale_PCA_Mechanics!I20-Scale_PCA_Mechanics!I50)^2+(Scale_PCA_Mechanics!J20-Scale_PCA_Mechanics!J50)^2)</f>
        <v/>
      </c>
      <c r="D760">
        <f>INDEX(KMeans_6_2!AA2:AA51,A760)</f>
        <v/>
      </c>
      <c r="E760">
        <f>INDEX(KMeans_6_2!AA2:AA51,B760)</f>
        <v/>
      </c>
      <c r="O760">
        <f>IF(OR(AND(D760=1,E760=2),AND(D760=2,E760=1)),C760,"")</f>
        <v/>
      </c>
      <c r="P760">
        <f>IF(OR(AND(D760=1,E760=3),AND(D760=3,E760=1)),C760,"")</f>
        <v/>
      </c>
      <c r="Q760">
        <f>IF(OR(AND(D760=2,E760=3),AND(D760=3,E760=2)),C760,"")</f>
        <v/>
      </c>
    </row>
    <row r="761">
      <c r="A761" t="n">
        <v>19</v>
      </c>
      <c r="B761" t="n">
        <v>50</v>
      </c>
      <c r="C761">
        <f>SQRT((Scale_PCA_Mechanics!G20-Scale_PCA_Mechanics!G51)^2+(Scale_PCA_Mechanics!H20-Scale_PCA_Mechanics!H51)^2+(Scale_PCA_Mechanics!I20-Scale_PCA_Mechanics!I51)^2+(Scale_PCA_Mechanics!J20-Scale_PCA_Mechanics!J51)^2)</f>
        <v/>
      </c>
      <c r="D761">
        <f>INDEX(KMeans_6_2!AA2:AA51,A761)</f>
        <v/>
      </c>
      <c r="E761">
        <f>INDEX(KMeans_6_2!AA2:AA51,B761)</f>
        <v/>
      </c>
      <c r="O761">
        <f>IF(OR(AND(D761=1,E761=2),AND(D761=2,E761=1)),C761,"")</f>
        <v/>
      </c>
      <c r="P761">
        <f>IF(OR(AND(D761=1,E761=3),AND(D761=3,E761=1)),C761,"")</f>
        <v/>
      </c>
      <c r="Q761">
        <f>IF(OR(AND(D761=2,E761=3),AND(D761=3,E761=2)),C761,"")</f>
        <v/>
      </c>
    </row>
    <row r="762">
      <c r="A762" t="n">
        <v>20</v>
      </c>
      <c r="B762" t="n">
        <v>21</v>
      </c>
      <c r="C762">
        <f>SQRT((Scale_PCA_Mechanics!G21-Scale_PCA_Mechanics!G22)^2+(Scale_PCA_Mechanics!H21-Scale_PCA_Mechanics!H22)^2+(Scale_PCA_Mechanics!I21-Scale_PCA_Mechanics!I22)^2+(Scale_PCA_Mechanics!J21-Scale_PCA_Mechanics!J22)^2)</f>
        <v/>
      </c>
      <c r="D762">
        <f>INDEX(KMeans_6_2!AA2:AA51,A762)</f>
        <v/>
      </c>
      <c r="E762">
        <f>INDEX(KMeans_6_2!AA2:AA51,B762)</f>
        <v/>
      </c>
      <c r="O762">
        <f>IF(OR(AND(D762=1,E762=2),AND(D762=2,E762=1)),C762,"")</f>
        <v/>
      </c>
      <c r="P762">
        <f>IF(OR(AND(D762=1,E762=3),AND(D762=3,E762=1)),C762,"")</f>
        <v/>
      </c>
      <c r="Q762">
        <f>IF(OR(AND(D762=2,E762=3),AND(D762=3,E762=2)),C762,"")</f>
        <v/>
      </c>
    </row>
    <row r="763">
      <c r="A763" t="n">
        <v>20</v>
      </c>
      <c r="B763" t="n">
        <v>22</v>
      </c>
      <c r="C763">
        <f>SQRT((Scale_PCA_Mechanics!G21-Scale_PCA_Mechanics!G23)^2+(Scale_PCA_Mechanics!H21-Scale_PCA_Mechanics!H23)^2+(Scale_PCA_Mechanics!I21-Scale_PCA_Mechanics!I23)^2+(Scale_PCA_Mechanics!J21-Scale_PCA_Mechanics!J23)^2)</f>
        <v/>
      </c>
      <c r="D763">
        <f>INDEX(KMeans_6_2!AA2:AA51,A763)</f>
        <v/>
      </c>
      <c r="E763">
        <f>INDEX(KMeans_6_2!AA2:AA51,B763)</f>
        <v/>
      </c>
      <c r="O763">
        <f>IF(OR(AND(D763=1,E763=2),AND(D763=2,E763=1)),C763,"")</f>
        <v/>
      </c>
      <c r="P763">
        <f>IF(OR(AND(D763=1,E763=3),AND(D763=3,E763=1)),C763,"")</f>
        <v/>
      </c>
      <c r="Q763">
        <f>IF(OR(AND(D763=2,E763=3),AND(D763=3,E763=2)),C763,"")</f>
        <v/>
      </c>
    </row>
    <row r="764">
      <c r="A764" t="n">
        <v>20</v>
      </c>
      <c r="B764" t="n">
        <v>23</v>
      </c>
      <c r="C764">
        <f>SQRT((Scale_PCA_Mechanics!G21-Scale_PCA_Mechanics!G24)^2+(Scale_PCA_Mechanics!H21-Scale_PCA_Mechanics!H24)^2+(Scale_PCA_Mechanics!I21-Scale_PCA_Mechanics!I24)^2+(Scale_PCA_Mechanics!J21-Scale_PCA_Mechanics!J24)^2)</f>
        <v/>
      </c>
      <c r="D764">
        <f>INDEX(KMeans_6_2!AA2:AA51,A764)</f>
        <v/>
      </c>
      <c r="E764">
        <f>INDEX(KMeans_6_2!AA2:AA51,B764)</f>
        <v/>
      </c>
      <c r="O764">
        <f>IF(OR(AND(D764=1,E764=2),AND(D764=2,E764=1)),C764,"")</f>
        <v/>
      </c>
      <c r="P764">
        <f>IF(OR(AND(D764=1,E764=3),AND(D764=3,E764=1)),C764,"")</f>
        <v/>
      </c>
      <c r="Q764">
        <f>IF(OR(AND(D764=2,E764=3),AND(D764=3,E764=2)),C764,"")</f>
        <v/>
      </c>
    </row>
    <row r="765">
      <c r="A765" t="n">
        <v>20</v>
      </c>
      <c r="B765" t="n">
        <v>24</v>
      </c>
      <c r="C765">
        <f>SQRT((Scale_PCA_Mechanics!G21-Scale_PCA_Mechanics!G25)^2+(Scale_PCA_Mechanics!H21-Scale_PCA_Mechanics!H25)^2+(Scale_PCA_Mechanics!I21-Scale_PCA_Mechanics!I25)^2+(Scale_PCA_Mechanics!J21-Scale_PCA_Mechanics!J25)^2)</f>
        <v/>
      </c>
      <c r="D765">
        <f>INDEX(KMeans_6_2!AA2:AA51,A765)</f>
        <v/>
      </c>
      <c r="E765">
        <f>INDEX(KMeans_6_2!AA2:AA51,B765)</f>
        <v/>
      </c>
      <c r="O765">
        <f>IF(OR(AND(D765=1,E765=2),AND(D765=2,E765=1)),C765,"")</f>
        <v/>
      </c>
      <c r="P765">
        <f>IF(OR(AND(D765=1,E765=3),AND(D765=3,E765=1)),C765,"")</f>
        <v/>
      </c>
      <c r="Q765">
        <f>IF(OR(AND(D765=2,E765=3),AND(D765=3,E765=2)),C765,"")</f>
        <v/>
      </c>
    </row>
    <row r="766">
      <c r="A766" t="n">
        <v>20</v>
      </c>
      <c r="B766" t="n">
        <v>25</v>
      </c>
      <c r="C766">
        <f>SQRT((Scale_PCA_Mechanics!G21-Scale_PCA_Mechanics!G26)^2+(Scale_PCA_Mechanics!H21-Scale_PCA_Mechanics!H26)^2+(Scale_PCA_Mechanics!I21-Scale_PCA_Mechanics!I26)^2+(Scale_PCA_Mechanics!J21-Scale_PCA_Mechanics!J26)^2)</f>
        <v/>
      </c>
      <c r="D766">
        <f>INDEX(KMeans_6_2!AA2:AA51,A766)</f>
        <v/>
      </c>
      <c r="E766">
        <f>INDEX(KMeans_6_2!AA2:AA51,B766)</f>
        <v/>
      </c>
      <c r="O766">
        <f>IF(OR(AND(D766=1,E766=2),AND(D766=2,E766=1)),C766,"")</f>
        <v/>
      </c>
      <c r="P766">
        <f>IF(OR(AND(D766=1,E766=3),AND(D766=3,E766=1)),C766,"")</f>
        <v/>
      </c>
      <c r="Q766">
        <f>IF(OR(AND(D766=2,E766=3),AND(D766=3,E766=2)),C766,"")</f>
        <v/>
      </c>
    </row>
    <row r="767">
      <c r="A767" t="n">
        <v>20</v>
      </c>
      <c r="B767" t="n">
        <v>26</v>
      </c>
      <c r="C767">
        <f>SQRT((Scale_PCA_Mechanics!G21-Scale_PCA_Mechanics!G27)^2+(Scale_PCA_Mechanics!H21-Scale_PCA_Mechanics!H27)^2+(Scale_PCA_Mechanics!I21-Scale_PCA_Mechanics!I27)^2+(Scale_PCA_Mechanics!J21-Scale_PCA_Mechanics!J27)^2)</f>
        <v/>
      </c>
      <c r="D767">
        <f>INDEX(KMeans_6_2!AA2:AA51,A767)</f>
        <v/>
      </c>
      <c r="E767">
        <f>INDEX(KMeans_6_2!AA2:AA51,B767)</f>
        <v/>
      </c>
      <c r="O767">
        <f>IF(OR(AND(D767=1,E767=2),AND(D767=2,E767=1)),C767,"")</f>
        <v/>
      </c>
      <c r="P767">
        <f>IF(OR(AND(D767=1,E767=3),AND(D767=3,E767=1)),C767,"")</f>
        <v/>
      </c>
      <c r="Q767">
        <f>IF(OR(AND(D767=2,E767=3),AND(D767=3,E767=2)),C767,"")</f>
        <v/>
      </c>
    </row>
    <row r="768">
      <c r="A768" t="n">
        <v>20</v>
      </c>
      <c r="B768" t="n">
        <v>27</v>
      </c>
      <c r="C768">
        <f>SQRT((Scale_PCA_Mechanics!G21-Scale_PCA_Mechanics!G28)^2+(Scale_PCA_Mechanics!H21-Scale_PCA_Mechanics!H28)^2+(Scale_PCA_Mechanics!I21-Scale_PCA_Mechanics!I28)^2+(Scale_PCA_Mechanics!J21-Scale_PCA_Mechanics!J28)^2)</f>
        <v/>
      </c>
      <c r="D768">
        <f>INDEX(KMeans_6_2!AA2:AA51,A768)</f>
        <v/>
      </c>
      <c r="E768">
        <f>INDEX(KMeans_6_2!AA2:AA51,B768)</f>
        <v/>
      </c>
      <c r="O768">
        <f>IF(OR(AND(D768=1,E768=2),AND(D768=2,E768=1)),C768,"")</f>
        <v/>
      </c>
      <c r="P768">
        <f>IF(OR(AND(D768=1,E768=3),AND(D768=3,E768=1)),C768,"")</f>
        <v/>
      </c>
      <c r="Q768">
        <f>IF(OR(AND(D768=2,E768=3),AND(D768=3,E768=2)),C768,"")</f>
        <v/>
      </c>
    </row>
    <row r="769">
      <c r="A769" t="n">
        <v>20</v>
      </c>
      <c r="B769" t="n">
        <v>28</v>
      </c>
      <c r="C769">
        <f>SQRT((Scale_PCA_Mechanics!G21-Scale_PCA_Mechanics!G29)^2+(Scale_PCA_Mechanics!H21-Scale_PCA_Mechanics!H29)^2+(Scale_PCA_Mechanics!I21-Scale_PCA_Mechanics!I29)^2+(Scale_PCA_Mechanics!J21-Scale_PCA_Mechanics!J29)^2)</f>
        <v/>
      </c>
      <c r="D769">
        <f>INDEX(KMeans_6_2!AA2:AA51,A769)</f>
        <v/>
      </c>
      <c r="E769">
        <f>INDEX(KMeans_6_2!AA2:AA51,B769)</f>
        <v/>
      </c>
      <c r="O769">
        <f>IF(OR(AND(D769=1,E769=2),AND(D769=2,E769=1)),C769,"")</f>
        <v/>
      </c>
      <c r="P769">
        <f>IF(OR(AND(D769=1,E769=3),AND(D769=3,E769=1)),C769,"")</f>
        <v/>
      </c>
      <c r="Q769">
        <f>IF(OR(AND(D769=2,E769=3),AND(D769=3,E769=2)),C769,"")</f>
        <v/>
      </c>
    </row>
    <row r="770">
      <c r="A770" t="n">
        <v>20</v>
      </c>
      <c r="B770" t="n">
        <v>29</v>
      </c>
      <c r="C770">
        <f>SQRT((Scale_PCA_Mechanics!G21-Scale_PCA_Mechanics!G30)^2+(Scale_PCA_Mechanics!H21-Scale_PCA_Mechanics!H30)^2+(Scale_PCA_Mechanics!I21-Scale_PCA_Mechanics!I30)^2+(Scale_PCA_Mechanics!J21-Scale_PCA_Mechanics!J30)^2)</f>
        <v/>
      </c>
      <c r="D770">
        <f>INDEX(KMeans_6_2!AA2:AA51,A770)</f>
        <v/>
      </c>
      <c r="E770">
        <f>INDEX(KMeans_6_2!AA2:AA51,B770)</f>
        <v/>
      </c>
      <c r="O770">
        <f>IF(OR(AND(D770=1,E770=2),AND(D770=2,E770=1)),C770,"")</f>
        <v/>
      </c>
      <c r="P770">
        <f>IF(OR(AND(D770=1,E770=3),AND(D770=3,E770=1)),C770,"")</f>
        <v/>
      </c>
      <c r="Q770">
        <f>IF(OR(AND(D770=2,E770=3),AND(D770=3,E770=2)),C770,"")</f>
        <v/>
      </c>
    </row>
    <row r="771">
      <c r="A771" t="n">
        <v>20</v>
      </c>
      <c r="B771" t="n">
        <v>30</v>
      </c>
      <c r="C771">
        <f>SQRT((Scale_PCA_Mechanics!G21-Scale_PCA_Mechanics!G31)^2+(Scale_PCA_Mechanics!H21-Scale_PCA_Mechanics!H31)^2+(Scale_PCA_Mechanics!I21-Scale_PCA_Mechanics!I31)^2+(Scale_PCA_Mechanics!J21-Scale_PCA_Mechanics!J31)^2)</f>
        <v/>
      </c>
      <c r="D771">
        <f>INDEX(KMeans_6_2!AA2:AA51,A771)</f>
        <v/>
      </c>
      <c r="E771">
        <f>INDEX(KMeans_6_2!AA2:AA51,B771)</f>
        <v/>
      </c>
      <c r="O771">
        <f>IF(OR(AND(D771=1,E771=2),AND(D771=2,E771=1)),C771,"")</f>
        <v/>
      </c>
      <c r="P771">
        <f>IF(OR(AND(D771=1,E771=3),AND(D771=3,E771=1)),C771,"")</f>
        <v/>
      </c>
      <c r="Q771">
        <f>IF(OR(AND(D771=2,E771=3),AND(D771=3,E771=2)),C771,"")</f>
        <v/>
      </c>
    </row>
    <row r="772">
      <c r="A772" t="n">
        <v>20</v>
      </c>
      <c r="B772" t="n">
        <v>31</v>
      </c>
      <c r="C772">
        <f>SQRT((Scale_PCA_Mechanics!G21-Scale_PCA_Mechanics!G32)^2+(Scale_PCA_Mechanics!H21-Scale_PCA_Mechanics!H32)^2+(Scale_PCA_Mechanics!I21-Scale_PCA_Mechanics!I32)^2+(Scale_PCA_Mechanics!J21-Scale_PCA_Mechanics!J32)^2)</f>
        <v/>
      </c>
      <c r="D772">
        <f>INDEX(KMeans_6_2!AA2:AA51,A772)</f>
        <v/>
      </c>
      <c r="E772">
        <f>INDEX(KMeans_6_2!AA2:AA51,B772)</f>
        <v/>
      </c>
      <c r="O772">
        <f>IF(OR(AND(D772=1,E772=2),AND(D772=2,E772=1)),C772,"")</f>
        <v/>
      </c>
      <c r="P772">
        <f>IF(OR(AND(D772=1,E772=3),AND(D772=3,E772=1)),C772,"")</f>
        <v/>
      </c>
      <c r="Q772">
        <f>IF(OR(AND(D772=2,E772=3),AND(D772=3,E772=2)),C772,"")</f>
        <v/>
      </c>
    </row>
    <row r="773">
      <c r="A773" t="n">
        <v>20</v>
      </c>
      <c r="B773" t="n">
        <v>32</v>
      </c>
      <c r="C773">
        <f>SQRT((Scale_PCA_Mechanics!G21-Scale_PCA_Mechanics!G33)^2+(Scale_PCA_Mechanics!H21-Scale_PCA_Mechanics!H33)^2+(Scale_PCA_Mechanics!I21-Scale_PCA_Mechanics!I33)^2+(Scale_PCA_Mechanics!J21-Scale_PCA_Mechanics!J33)^2)</f>
        <v/>
      </c>
      <c r="D773">
        <f>INDEX(KMeans_6_2!AA2:AA51,A773)</f>
        <v/>
      </c>
      <c r="E773">
        <f>INDEX(KMeans_6_2!AA2:AA51,B773)</f>
        <v/>
      </c>
      <c r="O773">
        <f>IF(OR(AND(D773=1,E773=2),AND(D773=2,E773=1)),C773,"")</f>
        <v/>
      </c>
      <c r="P773">
        <f>IF(OR(AND(D773=1,E773=3),AND(D773=3,E773=1)),C773,"")</f>
        <v/>
      </c>
      <c r="Q773">
        <f>IF(OR(AND(D773=2,E773=3),AND(D773=3,E773=2)),C773,"")</f>
        <v/>
      </c>
    </row>
    <row r="774">
      <c r="A774" t="n">
        <v>20</v>
      </c>
      <c r="B774" t="n">
        <v>33</v>
      </c>
      <c r="C774">
        <f>SQRT((Scale_PCA_Mechanics!G21-Scale_PCA_Mechanics!G34)^2+(Scale_PCA_Mechanics!H21-Scale_PCA_Mechanics!H34)^2+(Scale_PCA_Mechanics!I21-Scale_PCA_Mechanics!I34)^2+(Scale_PCA_Mechanics!J21-Scale_PCA_Mechanics!J34)^2)</f>
        <v/>
      </c>
      <c r="D774">
        <f>INDEX(KMeans_6_2!AA2:AA51,A774)</f>
        <v/>
      </c>
      <c r="E774">
        <f>INDEX(KMeans_6_2!AA2:AA51,B774)</f>
        <v/>
      </c>
      <c r="O774">
        <f>IF(OR(AND(D774=1,E774=2),AND(D774=2,E774=1)),C774,"")</f>
        <v/>
      </c>
      <c r="P774">
        <f>IF(OR(AND(D774=1,E774=3),AND(D774=3,E774=1)),C774,"")</f>
        <v/>
      </c>
      <c r="Q774">
        <f>IF(OR(AND(D774=2,E774=3),AND(D774=3,E774=2)),C774,"")</f>
        <v/>
      </c>
    </row>
    <row r="775">
      <c r="A775" t="n">
        <v>20</v>
      </c>
      <c r="B775" t="n">
        <v>34</v>
      </c>
      <c r="C775">
        <f>SQRT((Scale_PCA_Mechanics!G21-Scale_PCA_Mechanics!G35)^2+(Scale_PCA_Mechanics!H21-Scale_PCA_Mechanics!H35)^2+(Scale_PCA_Mechanics!I21-Scale_PCA_Mechanics!I35)^2+(Scale_PCA_Mechanics!J21-Scale_PCA_Mechanics!J35)^2)</f>
        <v/>
      </c>
      <c r="D775">
        <f>INDEX(KMeans_6_2!AA2:AA51,A775)</f>
        <v/>
      </c>
      <c r="E775">
        <f>INDEX(KMeans_6_2!AA2:AA51,B775)</f>
        <v/>
      </c>
      <c r="O775">
        <f>IF(OR(AND(D775=1,E775=2),AND(D775=2,E775=1)),C775,"")</f>
        <v/>
      </c>
      <c r="P775">
        <f>IF(OR(AND(D775=1,E775=3),AND(D775=3,E775=1)),C775,"")</f>
        <v/>
      </c>
      <c r="Q775">
        <f>IF(OR(AND(D775=2,E775=3),AND(D775=3,E775=2)),C775,"")</f>
        <v/>
      </c>
    </row>
    <row r="776">
      <c r="A776" t="n">
        <v>20</v>
      </c>
      <c r="B776" t="n">
        <v>35</v>
      </c>
      <c r="C776">
        <f>SQRT((Scale_PCA_Mechanics!G21-Scale_PCA_Mechanics!G36)^2+(Scale_PCA_Mechanics!H21-Scale_PCA_Mechanics!H36)^2+(Scale_PCA_Mechanics!I21-Scale_PCA_Mechanics!I36)^2+(Scale_PCA_Mechanics!J21-Scale_PCA_Mechanics!J36)^2)</f>
        <v/>
      </c>
      <c r="D776">
        <f>INDEX(KMeans_6_2!AA2:AA51,A776)</f>
        <v/>
      </c>
      <c r="E776">
        <f>INDEX(KMeans_6_2!AA2:AA51,B776)</f>
        <v/>
      </c>
      <c r="O776">
        <f>IF(OR(AND(D776=1,E776=2),AND(D776=2,E776=1)),C776,"")</f>
        <v/>
      </c>
      <c r="P776">
        <f>IF(OR(AND(D776=1,E776=3),AND(D776=3,E776=1)),C776,"")</f>
        <v/>
      </c>
      <c r="Q776">
        <f>IF(OR(AND(D776=2,E776=3),AND(D776=3,E776=2)),C776,"")</f>
        <v/>
      </c>
    </row>
    <row r="777">
      <c r="A777" t="n">
        <v>20</v>
      </c>
      <c r="B777" t="n">
        <v>36</v>
      </c>
      <c r="C777">
        <f>SQRT((Scale_PCA_Mechanics!G21-Scale_PCA_Mechanics!G37)^2+(Scale_PCA_Mechanics!H21-Scale_PCA_Mechanics!H37)^2+(Scale_PCA_Mechanics!I21-Scale_PCA_Mechanics!I37)^2+(Scale_PCA_Mechanics!J21-Scale_PCA_Mechanics!J37)^2)</f>
        <v/>
      </c>
      <c r="D777">
        <f>INDEX(KMeans_6_2!AA2:AA51,A777)</f>
        <v/>
      </c>
      <c r="E777">
        <f>INDEX(KMeans_6_2!AA2:AA51,B777)</f>
        <v/>
      </c>
      <c r="O777">
        <f>IF(OR(AND(D777=1,E777=2),AND(D777=2,E777=1)),C777,"")</f>
        <v/>
      </c>
      <c r="P777">
        <f>IF(OR(AND(D777=1,E777=3),AND(D777=3,E777=1)),C777,"")</f>
        <v/>
      </c>
      <c r="Q777">
        <f>IF(OR(AND(D777=2,E777=3),AND(D777=3,E777=2)),C777,"")</f>
        <v/>
      </c>
    </row>
    <row r="778">
      <c r="A778" t="n">
        <v>20</v>
      </c>
      <c r="B778" t="n">
        <v>37</v>
      </c>
      <c r="C778">
        <f>SQRT((Scale_PCA_Mechanics!G21-Scale_PCA_Mechanics!G38)^2+(Scale_PCA_Mechanics!H21-Scale_PCA_Mechanics!H38)^2+(Scale_PCA_Mechanics!I21-Scale_PCA_Mechanics!I38)^2+(Scale_PCA_Mechanics!J21-Scale_PCA_Mechanics!J38)^2)</f>
        <v/>
      </c>
      <c r="D778">
        <f>INDEX(KMeans_6_2!AA2:AA51,A778)</f>
        <v/>
      </c>
      <c r="E778">
        <f>INDEX(KMeans_6_2!AA2:AA51,B778)</f>
        <v/>
      </c>
      <c r="O778">
        <f>IF(OR(AND(D778=1,E778=2),AND(D778=2,E778=1)),C778,"")</f>
        <v/>
      </c>
      <c r="P778">
        <f>IF(OR(AND(D778=1,E778=3),AND(D778=3,E778=1)),C778,"")</f>
        <v/>
      </c>
      <c r="Q778">
        <f>IF(OR(AND(D778=2,E778=3),AND(D778=3,E778=2)),C778,"")</f>
        <v/>
      </c>
    </row>
    <row r="779">
      <c r="A779" t="n">
        <v>20</v>
      </c>
      <c r="B779" t="n">
        <v>38</v>
      </c>
      <c r="C779">
        <f>SQRT((Scale_PCA_Mechanics!G21-Scale_PCA_Mechanics!G39)^2+(Scale_PCA_Mechanics!H21-Scale_PCA_Mechanics!H39)^2+(Scale_PCA_Mechanics!I21-Scale_PCA_Mechanics!I39)^2+(Scale_PCA_Mechanics!J21-Scale_PCA_Mechanics!J39)^2)</f>
        <v/>
      </c>
      <c r="D779">
        <f>INDEX(KMeans_6_2!AA2:AA51,A779)</f>
        <v/>
      </c>
      <c r="E779">
        <f>INDEX(KMeans_6_2!AA2:AA51,B779)</f>
        <v/>
      </c>
      <c r="O779">
        <f>IF(OR(AND(D779=1,E779=2),AND(D779=2,E779=1)),C779,"")</f>
        <v/>
      </c>
      <c r="P779">
        <f>IF(OR(AND(D779=1,E779=3),AND(D779=3,E779=1)),C779,"")</f>
        <v/>
      </c>
      <c r="Q779">
        <f>IF(OR(AND(D779=2,E779=3),AND(D779=3,E779=2)),C779,"")</f>
        <v/>
      </c>
    </row>
    <row r="780">
      <c r="A780" t="n">
        <v>20</v>
      </c>
      <c r="B780" t="n">
        <v>39</v>
      </c>
      <c r="C780">
        <f>SQRT((Scale_PCA_Mechanics!G21-Scale_PCA_Mechanics!G40)^2+(Scale_PCA_Mechanics!H21-Scale_PCA_Mechanics!H40)^2+(Scale_PCA_Mechanics!I21-Scale_PCA_Mechanics!I40)^2+(Scale_PCA_Mechanics!J21-Scale_PCA_Mechanics!J40)^2)</f>
        <v/>
      </c>
      <c r="D780">
        <f>INDEX(KMeans_6_2!AA2:AA51,A780)</f>
        <v/>
      </c>
      <c r="E780">
        <f>INDEX(KMeans_6_2!AA2:AA51,B780)</f>
        <v/>
      </c>
      <c r="O780">
        <f>IF(OR(AND(D780=1,E780=2),AND(D780=2,E780=1)),C780,"")</f>
        <v/>
      </c>
      <c r="P780">
        <f>IF(OR(AND(D780=1,E780=3),AND(D780=3,E780=1)),C780,"")</f>
        <v/>
      </c>
      <c r="Q780">
        <f>IF(OR(AND(D780=2,E780=3),AND(D780=3,E780=2)),C780,"")</f>
        <v/>
      </c>
    </row>
    <row r="781">
      <c r="A781" t="n">
        <v>20</v>
      </c>
      <c r="B781" t="n">
        <v>40</v>
      </c>
      <c r="C781">
        <f>SQRT((Scale_PCA_Mechanics!G21-Scale_PCA_Mechanics!G41)^2+(Scale_PCA_Mechanics!H21-Scale_PCA_Mechanics!H41)^2+(Scale_PCA_Mechanics!I21-Scale_PCA_Mechanics!I41)^2+(Scale_PCA_Mechanics!J21-Scale_PCA_Mechanics!J41)^2)</f>
        <v/>
      </c>
      <c r="D781">
        <f>INDEX(KMeans_6_2!AA2:AA51,A781)</f>
        <v/>
      </c>
      <c r="E781">
        <f>INDEX(KMeans_6_2!AA2:AA51,B781)</f>
        <v/>
      </c>
      <c r="O781">
        <f>IF(OR(AND(D781=1,E781=2),AND(D781=2,E781=1)),C781,"")</f>
        <v/>
      </c>
      <c r="P781">
        <f>IF(OR(AND(D781=1,E781=3),AND(D781=3,E781=1)),C781,"")</f>
        <v/>
      </c>
      <c r="Q781">
        <f>IF(OR(AND(D781=2,E781=3),AND(D781=3,E781=2)),C781,"")</f>
        <v/>
      </c>
    </row>
    <row r="782">
      <c r="A782" t="n">
        <v>20</v>
      </c>
      <c r="B782" t="n">
        <v>41</v>
      </c>
      <c r="C782">
        <f>SQRT((Scale_PCA_Mechanics!G21-Scale_PCA_Mechanics!G42)^2+(Scale_PCA_Mechanics!H21-Scale_PCA_Mechanics!H42)^2+(Scale_PCA_Mechanics!I21-Scale_PCA_Mechanics!I42)^2+(Scale_PCA_Mechanics!J21-Scale_PCA_Mechanics!J42)^2)</f>
        <v/>
      </c>
      <c r="D782">
        <f>INDEX(KMeans_6_2!AA2:AA51,A782)</f>
        <v/>
      </c>
      <c r="E782">
        <f>INDEX(KMeans_6_2!AA2:AA51,B782)</f>
        <v/>
      </c>
      <c r="O782">
        <f>IF(OR(AND(D782=1,E782=2),AND(D782=2,E782=1)),C782,"")</f>
        <v/>
      </c>
      <c r="P782">
        <f>IF(OR(AND(D782=1,E782=3),AND(D782=3,E782=1)),C782,"")</f>
        <v/>
      </c>
      <c r="Q782">
        <f>IF(OR(AND(D782=2,E782=3),AND(D782=3,E782=2)),C782,"")</f>
        <v/>
      </c>
    </row>
    <row r="783">
      <c r="A783" t="n">
        <v>20</v>
      </c>
      <c r="B783" t="n">
        <v>42</v>
      </c>
      <c r="C783">
        <f>SQRT((Scale_PCA_Mechanics!G21-Scale_PCA_Mechanics!G43)^2+(Scale_PCA_Mechanics!H21-Scale_PCA_Mechanics!H43)^2+(Scale_PCA_Mechanics!I21-Scale_PCA_Mechanics!I43)^2+(Scale_PCA_Mechanics!J21-Scale_PCA_Mechanics!J43)^2)</f>
        <v/>
      </c>
      <c r="D783">
        <f>INDEX(KMeans_6_2!AA2:AA51,A783)</f>
        <v/>
      </c>
      <c r="E783">
        <f>INDEX(KMeans_6_2!AA2:AA51,B783)</f>
        <v/>
      </c>
      <c r="O783">
        <f>IF(OR(AND(D783=1,E783=2),AND(D783=2,E783=1)),C783,"")</f>
        <v/>
      </c>
      <c r="P783">
        <f>IF(OR(AND(D783=1,E783=3),AND(D783=3,E783=1)),C783,"")</f>
        <v/>
      </c>
      <c r="Q783">
        <f>IF(OR(AND(D783=2,E783=3),AND(D783=3,E783=2)),C783,"")</f>
        <v/>
      </c>
    </row>
    <row r="784">
      <c r="A784" t="n">
        <v>20</v>
      </c>
      <c r="B784" t="n">
        <v>43</v>
      </c>
      <c r="C784">
        <f>SQRT((Scale_PCA_Mechanics!G21-Scale_PCA_Mechanics!G44)^2+(Scale_PCA_Mechanics!H21-Scale_PCA_Mechanics!H44)^2+(Scale_PCA_Mechanics!I21-Scale_PCA_Mechanics!I44)^2+(Scale_PCA_Mechanics!J21-Scale_PCA_Mechanics!J44)^2)</f>
        <v/>
      </c>
      <c r="D784">
        <f>INDEX(KMeans_6_2!AA2:AA51,A784)</f>
        <v/>
      </c>
      <c r="E784">
        <f>INDEX(KMeans_6_2!AA2:AA51,B784)</f>
        <v/>
      </c>
      <c r="O784">
        <f>IF(OR(AND(D784=1,E784=2),AND(D784=2,E784=1)),C784,"")</f>
        <v/>
      </c>
      <c r="P784">
        <f>IF(OR(AND(D784=1,E784=3),AND(D784=3,E784=1)),C784,"")</f>
        <v/>
      </c>
      <c r="Q784">
        <f>IF(OR(AND(D784=2,E784=3),AND(D784=3,E784=2)),C784,"")</f>
        <v/>
      </c>
    </row>
    <row r="785">
      <c r="A785" t="n">
        <v>20</v>
      </c>
      <c r="B785" t="n">
        <v>44</v>
      </c>
      <c r="C785">
        <f>SQRT((Scale_PCA_Mechanics!G21-Scale_PCA_Mechanics!G45)^2+(Scale_PCA_Mechanics!H21-Scale_PCA_Mechanics!H45)^2+(Scale_PCA_Mechanics!I21-Scale_PCA_Mechanics!I45)^2+(Scale_PCA_Mechanics!J21-Scale_PCA_Mechanics!J45)^2)</f>
        <v/>
      </c>
      <c r="D785">
        <f>INDEX(KMeans_6_2!AA2:AA51,A785)</f>
        <v/>
      </c>
      <c r="E785">
        <f>INDEX(KMeans_6_2!AA2:AA51,B785)</f>
        <v/>
      </c>
      <c r="O785">
        <f>IF(OR(AND(D785=1,E785=2),AND(D785=2,E785=1)),C785,"")</f>
        <v/>
      </c>
      <c r="P785">
        <f>IF(OR(AND(D785=1,E785=3),AND(D785=3,E785=1)),C785,"")</f>
        <v/>
      </c>
      <c r="Q785">
        <f>IF(OR(AND(D785=2,E785=3),AND(D785=3,E785=2)),C785,"")</f>
        <v/>
      </c>
    </row>
    <row r="786">
      <c r="A786" t="n">
        <v>20</v>
      </c>
      <c r="B786" t="n">
        <v>45</v>
      </c>
      <c r="C786">
        <f>SQRT((Scale_PCA_Mechanics!G21-Scale_PCA_Mechanics!G46)^2+(Scale_PCA_Mechanics!H21-Scale_PCA_Mechanics!H46)^2+(Scale_PCA_Mechanics!I21-Scale_PCA_Mechanics!I46)^2+(Scale_PCA_Mechanics!J21-Scale_PCA_Mechanics!J46)^2)</f>
        <v/>
      </c>
      <c r="D786">
        <f>INDEX(KMeans_6_2!AA2:AA51,A786)</f>
        <v/>
      </c>
      <c r="E786">
        <f>INDEX(KMeans_6_2!AA2:AA51,B786)</f>
        <v/>
      </c>
      <c r="O786">
        <f>IF(OR(AND(D786=1,E786=2),AND(D786=2,E786=1)),C786,"")</f>
        <v/>
      </c>
      <c r="P786">
        <f>IF(OR(AND(D786=1,E786=3),AND(D786=3,E786=1)),C786,"")</f>
        <v/>
      </c>
      <c r="Q786">
        <f>IF(OR(AND(D786=2,E786=3),AND(D786=3,E786=2)),C786,"")</f>
        <v/>
      </c>
    </row>
    <row r="787">
      <c r="A787" t="n">
        <v>20</v>
      </c>
      <c r="B787" t="n">
        <v>46</v>
      </c>
      <c r="C787">
        <f>SQRT((Scale_PCA_Mechanics!G21-Scale_PCA_Mechanics!G47)^2+(Scale_PCA_Mechanics!H21-Scale_PCA_Mechanics!H47)^2+(Scale_PCA_Mechanics!I21-Scale_PCA_Mechanics!I47)^2+(Scale_PCA_Mechanics!J21-Scale_PCA_Mechanics!J47)^2)</f>
        <v/>
      </c>
      <c r="D787">
        <f>INDEX(KMeans_6_2!AA2:AA51,A787)</f>
        <v/>
      </c>
      <c r="E787">
        <f>INDEX(KMeans_6_2!AA2:AA51,B787)</f>
        <v/>
      </c>
      <c r="O787">
        <f>IF(OR(AND(D787=1,E787=2),AND(D787=2,E787=1)),C787,"")</f>
        <v/>
      </c>
      <c r="P787">
        <f>IF(OR(AND(D787=1,E787=3),AND(D787=3,E787=1)),C787,"")</f>
        <v/>
      </c>
      <c r="Q787">
        <f>IF(OR(AND(D787=2,E787=3),AND(D787=3,E787=2)),C787,"")</f>
        <v/>
      </c>
    </row>
    <row r="788">
      <c r="A788" t="n">
        <v>20</v>
      </c>
      <c r="B788" t="n">
        <v>47</v>
      </c>
      <c r="C788">
        <f>SQRT((Scale_PCA_Mechanics!G21-Scale_PCA_Mechanics!G48)^2+(Scale_PCA_Mechanics!H21-Scale_PCA_Mechanics!H48)^2+(Scale_PCA_Mechanics!I21-Scale_PCA_Mechanics!I48)^2+(Scale_PCA_Mechanics!J21-Scale_PCA_Mechanics!J48)^2)</f>
        <v/>
      </c>
      <c r="D788">
        <f>INDEX(KMeans_6_2!AA2:AA51,A788)</f>
        <v/>
      </c>
      <c r="E788">
        <f>INDEX(KMeans_6_2!AA2:AA51,B788)</f>
        <v/>
      </c>
      <c r="O788">
        <f>IF(OR(AND(D788=1,E788=2),AND(D788=2,E788=1)),C788,"")</f>
        <v/>
      </c>
      <c r="P788">
        <f>IF(OR(AND(D788=1,E788=3),AND(D788=3,E788=1)),C788,"")</f>
        <v/>
      </c>
      <c r="Q788">
        <f>IF(OR(AND(D788=2,E788=3),AND(D788=3,E788=2)),C788,"")</f>
        <v/>
      </c>
    </row>
    <row r="789">
      <c r="A789" t="n">
        <v>20</v>
      </c>
      <c r="B789" t="n">
        <v>48</v>
      </c>
      <c r="C789">
        <f>SQRT((Scale_PCA_Mechanics!G21-Scale_PCA_Mechanics!G49)^2+(Scale_PCA_Mechanics!H21-Scale_PCA_Mechanics!H49)^2+(Scale_PCA_Mechanics!I21-Scale_PCA_Mechanics!I49)^2+(Scale_PCA_Mechanics!J21-Scale_PCA_Mechanics!J49)^2)</f>
        <v/>
      </c>
      <c r="D789">
        <f>INDEX(KMeans_6_2!AA2:AA51,A789)</f>
        <v/>
      </c>
      <c r="E789">
        <f>INDEX(KMeans_6_2!AA2:AA51,B789)</f>
        <v/>
      </c>
      <c r="O789">
        <f>IF(OR(AND(D789=1,E789=2),AND(D789=2,E789=1)),C789,"")</f>
        <v/>
      </c>
      <c r="P789">
        <f>IF(OR(AND(D789=1,E789=3),AND(D789=3,E789=1)),C789,"")</f>
        <v/>
      </c>
      <c r="Q789">
        <f>IF(OR(AND(D789=2,E789=3),AND(D789=3,E789=2)),C789,"")</f>
        <v/>
      </c>
    </row>
    <row r="790">
      <c r="A790" t="n">
        <v>20</v>
      </c>
      <c r="B790" t="n">
        <v>49</v>
      </c>
      <c r="C790">
        <f>SQRT((Scale_PCA_Mechanics!G21-Scale_PCA_Mechanics!G50)^2+(Scale_PCA_Mechanics!H21-Scale_PCA_Mechanics!H50)^2+(Scale_PCA_Mechanics!I21-Scale_PCA_Mechanics!I50)^2+(Scale_PCA_Mechanics!J21-Scale_PCA_Mechanics!J50)^2)</f>
        <v/>
      </c>
      <c r="D790">
        <f>INDEX(KMeans_6_2!AA2:AA51,A790)</f>
        <v/>
      </c>
      <c r="E790">
        <f>INDEX(KMeans_6_2!AA2:AA51,B790)</f>
        <v/>
      </c>
      <c r="O790">
        <f>IF(OR(AND(D790=1,E790=2),AND(D790=2,E790=1)),C790,"")</f>
        <v/>
      </c>
      <c r="P790">
        <f>IF(OR(AND(D790=1,E790=3),AND(D790=3,E790=1)),C790,"")</f>
        <v/>
      </c>
      <c r="Q790">
        <f>IF(OR(AND(D790=2,E790=3),AND(D790=3,E790=2)),C790,"")</f>
        <v/>
      </c>
    </row>
    <row r="791">
      <c r="A791" t="n">
        <v>20</v>
      </c>
      <c r="B791" t="n">
        <v>50</v>
      </c>
      <c r="C791">
        <f>SQRT((Scale_PCA_Mechanics!G21-Scale_PCA_Mechanics!G51)^2+(Scale_PCA_Mechanics!H21-Scale_PCA_Mechanics!H51)^2+(Scale_PCA_Mechanics!I21-Scale_PCA_Mechanics!I51)^2+(Scale_PCA_Mechanics!J21-Scale_PCA_Mechanics!J51)^2)</f>
        <v/>
      </c>
      <c r="D791">
        <f>INDEX(KMeans_6_2!AA2:AA51,A791)</f>
        <v/>
      </c>
      <c r="E791">
        <f>INDEX(KMeans_6_2!AA2:AA51,B791)</f>
        <v/>
      </c>
      <c r="O791">
        <f>IF(OR(AND(D791=1,E791=2),AND(D791=2,E791=1)),C791,"")</f>
        <v/>
      </c>
      <c r="P791">
        <f>IF(OR(AND(D791=1,E791=3),AND(D791=3,E791=1)),C791,"")</f>
        <v/>
      </c>
      <c r="Q791">
        <f>IF(OR(AND(D791=2,E791=3),AND(D791=3,E791=2)),C791,"")</f>
        <v/>
      </c>
    </row>
    <row r="792">
      <c r="A792" t="n">
        <v>21</v>
      </c>
      <c r="B792" t="n">
        <v>22</v>
      </c>
      <c r="C792">
        <f>SQRT((Scale_PCA_Mechanics!G22-Scale_PCA_Mechanics!G23)^2+(Scale_PCA_Mechanics!H22-Scale_PCA_Mechanics!H23)^2+(Scale_PCA_Mechanics!I22-Scale_PCA_Mechanics!I23)^2+(Scale_PCA_Mechanics!J22-Scale_PCA_Mechanics!J23)^2)</f>
        <v/>
      </c>
      <c r="D792">
        <f>INDEX(KMeans_6_2!AA2:AA51,A792)</f>
        <v/>
      </c>
      <c r="E792">
        <f>INDEX(KMeans_6_2!AA2:AA51,B792)</f>
        <v/>
      </c>
      <c r="O792">
        <f>IF(OR(AND(D792=1,E792=2),AND(D792=2,E792=1)),C792,"")</f>
        <v/>
      </c>
      <c r="P792">
        <f>IF(OR(AND(D792=1,E792=3),AND(D792=3,E792=1)),C792,"")</f>
        <v/>
      </c>
      <c r="Q792">
        <f>IF(OR(AND(D792=2,E792=3),AND(D792=3,E792=2)),C792,"")</f>
        <v/>
      </c>
    </row>
    <row r="793">
      <c r="A793" t="n">
        <v>21</v>
      </c>
      <c r="B793" t="n">
        <v>23</v>
      </c>
      <c r="C793">
        <f>SQRT((Scale_PCA_Mechanics!G22-Scale_PCA_Mechanics!G24)^2+(Scale_PCA_Mechanics!H22-Scale_PCA_Mechanics!H24)^2+(Scale_PCA_Mechanics!I22-Scale_PCA_Mechanics!I24)^2+(Scale_PCA_Mechanics!J22-Scale_PCA_Mechanics!J24)^2)</f>
        <v/>
      </c>
      <c r="D793">
        <f>INDEX(KMeans_6_2!AA2:AA51,A793)</f>
        <v/>
      </c>
      <c r="E793">
        <f>INDEX(KMeans_6_2!AA2:AA51,B793)</f>
        <v/>
      </c>
      <c r="O793">
        <f>IF(OR(AND(D793=1,E793=2),AND(D793=2,E793=1)),C793,"")</f>
        <v/>
      </c>
      <c r="P793">
        <f>IF(OR(AND(D793=1,E793=3),AND(D793=3,E793=1)),C793,"")</f>
        <v/>
      </c>
      <c r="Q793">
        <f>IF(OR(AND(D793=2,E793=3),AND(D793=3,E793=2)),C793,"")</f>
        <v/>
      </c>
    </row>
    <row r="794">
      <c r="A794" t="n">
        <v>21</v>
      </c>
      <c r="B794" t="n">
        <v>24</v>
      </c>
      <c r="C794">
        <f>SQRT((Scale_PCA_Mechanics!G22-Scale_PCA_Mechanics!G25)^2+(Scale_PCA_Mechanics!H22-Scale_PCA_Mechanics!H25)^2+(Scale_PCA_Mechanics!I22-Scale_PCA_Mechanics!I25)^2+(Scale_PCA_Mechanics!J22-Scale_PCA_Mechanics!J25)^2)</f>
        <v/>
      </c>
      <c r="D794">
        <f>INDEX(KMeans_6_2!AA2:AA51,A794)</f>
        <v/>
      </c>
      <c r="E794">
        <f>INDEX(KMeans_6_2!AA2:AA51,B794)</f>
        <v/>
      </c>
      <c r="O794">
        <f>IF(OR(AND(D794=1,E794=2),AND(D794=2,E794=1)),C794,"")</f>
        <v/>
      </c>
      <c r="P794">
        <f>IF(OR(AND(D794=1,E794=3),AND(D794=3,E794=1)),C794,"")</f>
        <v/>
      </c>
      <c r="Q794">
        <f>IF(OR(AND(D794=2,E794=3),AND(D794=3,E794=2)),C794,"")</f>
        <v/>
      </c>
    </row>
    <row r="795">
      <c r="A795" t="n">
        <v>21</v>
      </c>
      <c r="B795" t="n">
        <v>25</v>
      </c>
      <c r="C795">
        <f>SQRT((Scale_PCA_Mechanics!G22-Scale_PCA_Mechanics!G26)^2+(Scale_PCA_Mechanics!H22-Scale_PCA_Mechanics!H26)^2+(Scale_PCA_Mechanics!I22-Scale_PCA_Mechanics!I26)^2+(Scale_PCA_Mechanics!J22-Scale_PCA_Mechanics!J26)^2)</f>
        <v/>
      </c>
      <c r="D795">
        <f>INDEX(KMeans_6_2!AA2:AA51,A795)</f>
        <v/>
      </c>
      <c r="E795">
        <f>INDEX(KMeans_6_2!AA2:AA51,B795)</f>
        <v/>
      </c>
      <c r="O795">
        <f>IF(OR(AND(D795=1,E795=2),AND(D795=2,E795=1)),C795,"")</f>
        <v/>
      </c>
      <c r="P795">
        <f>IF(OR(AND(D795=1,E795=3),AND(D795=3,E795=1)),C795,"")</f>
        <v/>
      </c>
      <c r="Q795">
        <f>IF(OR(AND(D795=2,E795=3),AND(D795=3,E795=2)),C795,"")</f>
        <v/>
      </c>
    </row>
    <row r="796">
      <c r="A796" t="n">
        <v>21</v>
      </c>
      <c r="B796" t="n">
        <v>26</v>
      </c>
      <c r="C796">
        <f>SQRT((Scale_PCA_Mechanics!G22-Scale_PCA_Mechanics!G27)^2+(Scale_PCA_Mechanics!H22-Scale_PCA_Mechanics!H27)^2+(Scale_PCA_Mechanics!I22-Scale_PCA_Mechanics!I27)^2+(Scale_PCA_Mechanics!J22-Scale_PCA_Mechanics!J27)^2)</f>
        <v/>
      </c>
      <c r="D796">
        <f>INDEX(KMeans_6_2!AA2:AA51,A796)</f>
        <v/>
      </c>
      <c r="E796">
        <f>INDEX(KMeans_6_2!AA2:AA51,B796)</f>
        <v/>
      </c>
      <c r="O796">
        <f>IF(OR(AND(D796=1,E796=2),AND(D796=2,E796=1)),C796,"")</f>
        <v/>
      </c>
      <c r="P796">
        <f>IF(OR(AND(D796=1,E796=3),AND(D796=3,E796=1)),C796,"")</f>
        <v/>
      </c>
      <c r="Q796">
        <f>IF(OR(AND(D796=2,E796=3),AND(D796=3,E796=2)),C796,"")</f>
        <v/>
      </c>
    </row>
    <row r="797">
      <c r="A797" t="n">
        <v>21</v>
      </c>
      <c r="B797" t="n">
        <v>27</v>
      </c>
      <c r="C797">
        <f>SQRT((Scale_PCA_Mechanics!G22-Scale_PCA_Mechanics!G28)^2+(Scale_PCA_Mechanics!H22-Scale_PCA_Mechanics!H28)^2+(Scale_PCA_Mechanics!I22-Scale_PCA_Mechanics!I28)^2+(Scale_PCA_Mechanics!J22-Scale_PCA_Mechanics!J28)^2)</f>
        <v/>
      </c>
      <c r="D797">
        <f>INDEX(KMeans_6_2!AA2:AA51,A797)</f>
        <v/>
      </c>
      <c r="E797">
        <f>INDEX(KMeans_6_2!AA2:AA51,B797)</f>
        <v/>
      </c>
      <c r="O797">
        <f>IF(OR(AND(D797=1,E797=2),AND(D797=2,E797=1)),C797,"")</f>
        <v/>
      </c>
      <c r="P797">
        <f>IF(OR(AND(D797=1,E797=3),AND(D797=3,E797=1)),C797,"")</f>
        <v/>
      </c>
      <c r="Q797">
        <f>IF(OR(AND(D797=2,E797=3),AND(D797=3,E797=2)),C797,"")</f>
        <v/>
      </c>
    </row>
    <row r="798">
      <c r="A798" t="n">
        <v>21</v>
      </c>
      <c r="B798" t="n">
        <v>28</v>
      </c>
      <c r="C798">
        <f>SQRT((Scale_PCA_Mechanics!G22-Scale_PCA_Mechanics!G29)^2+(Scale_PCA_Mechanics!H22-Scale_PCA_Mechanics!H29)^2+(Scale_PCA_Mechanics!I22-Scale_PCA_Mechanics!I29)^2+(Scale_PCA_Mechanics!J22-Scale_PCA_Mechanics!J29)^2)</f>
        <v/>
      </c>
      <c r="D798">
        <f>INDEX(KMeans_6_2!AA2:AA51,A798)</f>
        <v/>
      </c>
      <c r="E798">
        <f>INDEX(KMeans_6_2!AA2:AA51,B798)</f>
        <v/>
      </c>
      <c r="O798">
        <f>IF(OR(AND(D798=1,E798=2),AND(D798=2,E798=1)),C798,"")</f>
        <v/>
      </c>
      <c r="P798">
        <f>IF(OR(AND(D798=1,E798=3),AND(D798=3,E798=1)),C798,"")</f>
        <v/>
      </c>
      <c r="Q798">
        <f>IF(OR(AND(D798=2,E798=3),AND(D798=3,E798=2)),C798,"")</f>
        <v/>
      </c>
    </row>
    <row r="799">
      <c r="A799" t="n">
        <v>21</v>
      </c>
      <c r="B799" t="n">
        <v>29</v>
      </c>
      <c r="C799">
        <f>SQRT((Scale_PCA_Mechanics!G22-Scale_PCA_Mechanics!G30)^2+(Scale_PCA_Mechanics!H22-Scale_PCA_Mechanics!H30)^2+(Scale_PCA_Mechanics!I22-Scale_PCA_Mechanics!I30)^2+(Scale_PCA_Mechanics!J22-Scale_PCA_Mechanics!J30)^2)</f>
        <v/>
      </c>
      <c r="D799">
        <f>INDEX(KMeans_6_2!AA2:AA51,A799)</f>
        <v/>
      </c>
      <c r="E799">
        <f>INDEX(KMeans_6_2!AA2:AA51,B799)</f>
        <v/>
      </c>
      <c r="O799">
        <f>IF(OR(AND(D799=1,E799=2),AND(D799=2,E799=1)),C799,"")</f>
        <v/>
      </c>
      <c r="P799">
        <f>IF(OR(AND(D799=1,E799=3),AND(D799=3,E799=1)),C799,"")</f>
        <v/>
      </c>
      <c r="Q799">
        <f>IF(OR(AND(D799=2,E799=3),AND(D799=3,E799=2)),C799,"")</f>
        <v/>
      </c>
    </row>
    <row r="800">
      <c r="A800" t="n">
        <v>21</v>
      </c>
      <c r="B800" t="n">
        <v>30</v>
      </c>
      <c r="C800">
        <f>SQRT((Scale_PCA_Mechanics!G22-Scale_PCA_Mechanics!G31)^2+(Scale_PCA_Mechanics!H22-Scale_PCA_Mechanics!H31)^2+(Scale_PCA_Mechanics!I22-Scale_PCA_Mechanics!I31)^2+(Scale_PCA_Mechanics!J22-Scale_PCA_Mechanics!J31)^2)</f>
        <v/>
      </c>
      <c r="D800">
        <f>INDEX(KMeans_6_2!AA2:AA51,A800)</f>
        <v/>
      </c>
      <c r="E800">
        <f>INDEX(KMeans_6_2!AA2:AA51,B800)</f>
        <v/>
      </c>
      <c r="O800">
        <f>IF(OR(AND(D800=1,E800=2),AND(D800=2,E800=1)),C800,"")</f>
        <v/>
      </c>
      <c r="P800">
        <f>IF(OR(AND(D800=1,E800=3),AND(D800=3,E800=1)),C800,"")</f>
        <v/>
      </c>
      <c r="Q800">
        <f>IF(OR(AND(D800=2,E800=3),AND(D800=3,E800=2)),C800,"")</f>
        <v/>
      </c>
    </row>
    <row r="801">
      <c r="A801" t="n">
        <v>21</v>
      </c>
      <c r="B801" t="n">
        <v>31</v>
      </c>
      <c r="C801">
        <f>SQRT((Scale_PCA_Mechanics!G22-Scale_PCA_Mechanics!G32)^2+(Scale_PCA_Mechanics!H22-Scale_PCA_Mechanics!H32)^2+(Scale_PCA_Mechanics!I22-Scale_PCA_Mechanics!I32)^2+(Scale_PCA_Mechanics!J22-Scale_PCA_Mechanics!J32)^2)</f>
        <v/>
      </c>
      <c r="D801">
        <f>INDEX(KMeans_6_2!AA2:AA51,A801)</f>
        <v/>
      </c>
      <c r="E801">
        <f>INDEX(KMeans_6_2!AA2:AA51,B801)</f>
        <v/>
      </c>
      <c r="O801">
        <f>IF(OR(AND(D801=1,E801=2),AND(D801=2,E801=1)),C801,"")</f>
        <v/>
      </c>
      <c r="P801">
        <f>IF(OR(AND(D801=1,E801=3),AND(D801=3,E801=1)),C801,"")</f>
        <v/>
      </c>
      <c r="Q801">
        <f>IF(OR(AND(D801=2,E801=3),AND(D801=3,E801=2)),C801,"")</f>
        <v/>
      </c>
    </row>
    <row r="802">
      <c r="A802" t="n">
        <v>21</v>
      </c>
      <c r="B802" t="n">
        <v>32</v>
      </c>
      <c r="C802">
        <f>SQRT((Scale_PCA_Mechanics!G22-Scale_PCA_Mechanics!G33)^2+(Scale_PCA_Mechanics!H22-Scale_PCA_Mechanics!H33)^2+(Scale_PCA_Mechanics!I22-Scale_PCA_Mechanics!I33)^2+(Scale_PCA_Mechanics!J22-Scale_PCA_Mechanics!J33)^2)</f>
        <v/>
      </c>
      <c r="D802">
        <f>INDEX(KMeans_6_2!AA2:AA51,A802)</f>
        <v/>
      </c>
      <c r="E802">
        <f>INDEX(KMeans_6_2!AA2:AA51,B802)</f>
        <v/>
      </c>
      <c r="O802">
        <f>IF(OR(AND(D802=1,E802=2),AND(D802=2,E802=1)),C802,"")</f>
        <v/>
      </c>
      <c r="P802">
        <f>IF(OR(AND(D802=1,E802=3),AND(D802=3,E802=1)),C802,"")</f>
        <v/>
      </c>
      <c r="Q802">
        <f>IF(OR(AND(D802=2,E802=3),AND(D802=3,E802=2)),C802,"")</f>
        <v/>
      </c>
    </row>
    <row r="803">
      <c r="A803" t="n">
        <v>21</v>
      </c>
      <c r="B803" t="n">
        <v>33</v>
      </c>
      <c r="C803">
        <f>SQRT((Scale_PCA_Mechanics!G22-Scale_PCA_Mechanics!G34)^2+(Scale_PCA_Mechanics!H22-Scale_PCA_Mechanics!H34)^2+(Scale_PCA_Mechanics!I22-Scale_PCA_Mechanics!I34)^2+(Scale_PCA_Mechanics!J22-Scale_PCA_Mechanics!J34)^2)</f>
        <v/>
      </c>
      <c r="D803">
        <f>INDEX(KMeans_6_2!AA2:AA51,A803)</f>
        <v/>
      </c>
      <c r="E803">
        <f>INDEX(KMeans_6_2!AA2:AA51,B803)</f>
        <v/>
      </c>
      <c r="O803">
        <f>IF(OR(AND(D803=1,E803=2),AND(D803=2,E803=1)),C803,"")</f>
        <v/>
      </c>
      <c r="P803">
        <f>IF(OR(AND(D803=1,E803=3),AND(D803=3,E803=1)),C803,"")</f>
        <v/>
      </c>
      <c r="Q803">
        <f>IF(OR(AND(D803=2,E803=3),AND(D803=3,E803=2)),C803,"")</f>
        <v/>
      </c>
    </row>
    <row r="804">
      <c r="A804" t="n">
        <v>21</v>
      </c>
      <c r="B804" t="n">
        <v>34</v>
      </c>
      <c r="C804">
        <f>SQRT((Scale_PCA_Mechanics!G22-Scale_PCA_Mechanics!G35)^2+(Scale_PCA_Mechanics!H22-Scale_PCA_Mechanics!H35)^2+(Scale_PCA_Mechanics!I22-Scale_PCA_Mechanics!I35)^2+(Scale_PCA_Mechanics!J22-Scale_PCA_Mechanics!J35)^2)</f>
        <v/>
      </c>
      <c r="D804">
        <f>INDEX(KMeans_6_2!AA2:AA51,A804)</f>
        <v/>
      </c>
      <c r="E804">
        <f>INDEX(KMeans_6_2!AA2:AA51,B804)</f>
        <v/>
      </c>
      <c r="O804">
        <f>IF(OR(AND(D804=1,E804=2),AND(D804=2,E804=1)),C804,"")</f>
        <v/>
      </c>
      <c r="P804">
        <f>IF(OR(AND(D804=1,E804=3),AND(D804=3,E804=1)),C804,"")</f>
        <v/>
      </c>
      <c r="Q804">
        <f>IF(OR(AND(D804=2,E804=3),AND(D804=3,E804=2)),C804,"")</f>
        <v/>
      </c>
    </row>
    <row r="805">
      <c r="A805" t="n">
        <v>21</v>
      </c>
      <c r="B805" t="n">
        <v>35</v>
      </c>
      <c r="C805">
        <f>SQRT((Scale_PCA_Mechanics!G22-Scale_PCA_Mechanics!G36)^2+(Scale_PCA_Mechanics!H22-Scale_PCA_Mechanics!H36)^2+(Scale_PCA_Mechanics!I22-Scale_PCA_Mechanics!I36)^2+(Scale_PCA_Mechanics!J22-Scale_PCA_Mechanics!J36)^2)</f>
        <v/>
      </c>
      <c r="D805">
        <f>INDEX(KMeans_6_2!AA2:AA51,A805)</f>
        <v/>
      </c>
      <c r="E805">
        <f>INDEX(KMeans_6_2!AA2:AA51,B805)</f>
        <v/>
      </c>
      <c r="O805">
        <f>IF(OR(AND(D805=1,E805=2),AND(D805=2,E805=1)),C805,"")</f>
        <v/>
      </c>
      <c r="P805">
        <f>IF(OR(AND(D805=1,E805=3),AND(D805=3,E805=1)),C805,"")</f>
        <v/>
      </c>
      <c r="Q805">
        <f>IF(OR(AND(D805=2,E805=3),AND(D805=3,E805=2)),C805,"")</f>
        <v/>
      </c>
    </row>
    <row r="806">
      <c r="A806" t="n">
        <v>21</v>
      </c>
      <c r="B806" t="n">
        <v>36</v>
      </c>
      <c r="C806">
        <f>SQRT((Scale_PCA_Mechanics!G22-Scale_PCA_Mechanics!G37)^2+(Scale_PCA_Mechanics!H22-Scale_PCA_Mechanics!H37)^2+(Scale_PCA_Mechanics!I22-Scale_PCA_Mechanics!I37)^2+(Scale_PCA_Mechanics!J22-Scale_PCA_Mechanics!J37)^2)</f>
        <v/>
      </c>
      <c r="D806">
        <f>INDEX(KMeans_6_2!AA2:AA51,A806)</f>
        <v/>
      </c>
      <c r="E806">
        <f>INDEX(KMeans_6_2!AA2:AA51,B806)</f>
        <v/>
      </c>
      <c r="O806">
        <f>IF(OR(AND(D806=1,E806=2),AND(D806=2,E806=1)),C806,"")</f>
        <v/>
      </c>
      <c r="P806">
        <f>IF(OR(AND(D806=1,E806=3),AND(D806=3,E806=1)),C806,"")</f>
        <v/>
      </c>
      <c r="Q806">
        <f>IF(OR(AND(D806=2,E806=3),AND(D806=3,E806=2)),C806,"")</f>
        <v/>
      </c>
    </row>
    <row r="807">
      <c r="A807" t="n">
        <v>21</v>
      </c>
      <c r="B807" t="n">
        <v>37</v>
      </c>
      <c r="C807">
        <f>SQRT((Scale_PCA_Mechanics!G22-Scale_PCA_Mechanics!G38)^2+(Scale_PCA_Mechanics!H22-Scale_PCA_Mechanics!H38)^2+(Scale_PCA_Mechanics!I22-Scale_PCA_Mechanics!I38)^2+(Scale_PCA_Mechanics!J22-Scale_PCA_Mechanics!J38)^2)</f>
        <v/>
      </c>
      <c r="D807">
        <f>INDEX(KMeans_6_2!AA2:AA51,A807)</f>
        <v/>
      </c>
      <c r="E807">
        <f>INDEX(KMeans_6_2!AA2:AA51,B807)</f>
        <v/>
      </c>
      <c r="O807">
        <f>IF(OR(AND(D807=1,E807=2),AND(D807=2,E807=1)),C807,"")</f>
        <v/>
      </c>
      <c r="P807">
        <f>IF(OR(AND(D807=1,E807=3),AND(D807=3,E807=1)),C807,"")</f>
        <v/>
      </c>
      <c r="Q807">
        <f>IF(OR(AND(D807=2,E807=3),AND(D807=3,E807=2)),C807,"")</f>
        <v/>
      </c>
    </row>
    <row r="808">
      <c r="A808" t="n">
        <v>21</v>
      </c>
      <c r="B808" t="n">
        <v>38</v>
      </c>
      <c r="C808">
        <f>SQRT((Scale_PCA_Mechanics!G22-Scale_PCA_Mechanics!G39)^2+(Scale_PCA_Mechanics!H22-Scale_PCA_Mechanics!H39)^2+(Scale_PCA_Mechanics!I22-Scale_PCA_Mechanics!I39)^2+(Scale_PCA_Mechanics!J22-Scale_PCA_Mechanics!J39)^2)</f>
        <v/>
      </c>
      <c r="D808">
        <f>INDEX(KMeans_6_2!AA2:AA51,A808)</f>
        <v/>
      </c>
      <c r="E808">
        <f>INDEX(KMeans_6_2!AA2:AA51,B808)</f>
        <v/>
      </c>
      <c r="O808">
        <f>IF(OR(AND(D808=1,E808=2),AND(D808=2,E808=1)),C808,"")</f>
        <v/>
      </c>
      <c r="P808">
        <f>IF(OR(AND(D808=1,E808=3),AND(D808=3,E808=1)),C808,"")</f>
        <v/>
      </c>
      <c r="Q808">
        <f>IF(OR(AND(D808=2,E808=3),AND(D808=3,E808=2)),C808,"")</f>
        <v/>
      </c>
    </row>
    <row r="809">
      <c r="A809" t="n">
        <v>21</v>
      </c>
      <c r="B809" t="n">
        <v>39</v>
      </c>
      <c r="C809">
        <f>SQRT((Scale_PCA_Mechanics!G22-Scale_PCA_Mechanics!G40)^2+(Scale_PCA_Mechanics!H22-Scale_PCA_Mechanics!H40)^2+(Scale_PCA_Mechanics!I22-Scale_PCA_Mechanics!I40)^2+(Scale_PCA_Mechanics!J22-Scale_PCA_Mechanics!J40)^2)</f>
        <v/>
      </c>
      <c r="D809">
        <f>INDEX(KMeans_6_2!AA2:AA51,A809)</f>
        <v/>
      </c>
      <c r="E809">
        <f>INDEX(KMeans_6_2!AA2:AA51,B809)</f>
        <v/>
      </c>
      <c r="O809">
        <f>IF(OR(AND(D809=1,E809=2),AND(D809=2,E809=1)),C809,"")</f>
        <v/>
      </c>
      <c r="P809">
        <f>IF(OR(AND(D809=1,E809=3),AND(D809=3,E809=1)),C809,"")</f>
        <v/>
      </c>
      <c r="Q809">
        <f>IF(OR(AND(D809=2,E809=3),AND(D809=3,E809=2)),C809,"")</f>
        <v/>
      </c>
    </row>
    <row r="810">
      <c r="A810" t="n">
        <v>21</v>
      </c>
      <c r="B810" t="n">
        <v>40</v>
      </c>
      <c r="C810">
        <f>SQRT((Scale_PCA_Mechanics!G22-Scale_PCA_Mechanics!G41)^2+(Scale_PCA_Mechanics!H22-Scale_PCA_Mechanics!H41)^2+(Scale_PCA_Mechanics!I22-Scale_PCA_Mechanics!I41)^2+(Scale_PCA_Mechanics!J22-Scale_PCA_Mechanics!J41)^2)</f>
        <v/>
      </c>
      <c r="D810">
        <f>INDEX(KMeans_6_2!AA2:AA51,A810)</f>
        <v/>
      </c>
      <c r="E810">
        <f>INDEX(KMeans_6_2!AA2:AA51,B810)</f>
        <v/>
      </c>
      <c r="O810">
        <f>IF(OR(AND(D810=1,E810=2),AND(D810=2,E810=1)),C810,"")</f>
        <v/>
      </c>
      <c r="P810">
        <f>IF(OR(AND(D810=1,E810=3),AND(D810=3,E810=1)),C810,"")</f>
        <v/>
      </c>
      <c r="Q810">
        <f>IF(OR(AND(D810=2,E810=3),AND(D810=3,E810=2)),C810,"")</f>
        <v/>
      </c>
    </row>
    <row r="811">
      <c r="A811" t="n">
        <v>21</v>
      </c>
      <c r="B811" t="n">
        <v>41</v>
      </c>
      <c r="C811">
        <f>SQRT((Scale_PCA_Mechanics!G22-Scale_PCA_Mechanics!G42)^2+(Scale_PCA_Mechanics!H22-Scale_PCA_Mechanics!H42)^2+(Scale_PCA_Mechanics!I22-Scale_PCA_Mechanics!I42)^2+(Scale_PCA_Mechanics!J22-Scale_PCA_Mechanics!J42)^2)</f>
        <v/>
      </c>
      <c r="D811">
        <f>INDEX(KMeans_6_2!AA2:AA51,A811)</f>
        <v/>
      </c>
      <c r="E811">
        <f>INDEX(KMeans_6_2!AA2:AA51,B811)</f>
        <v/>
      </c>
      <c r="O811">
        <f>IF(OR(AND(D811=1,E811=2),AND(D811=2,E811=1)),C811,"")</f>
        <v/>
      </c>
      <c r="P811">
        <f>IF(OR(AND(D811=1,E811=3),AND(D811=3,E811=1)),C811,"")</f>
        <v/>
      </c>
      <c r="Q811">
        <f>IF(OR(AND(D811=2,E811=3),AND(D811=3,E811=2)),C811,"")</f>
        <v/>
      </c>
    </row>
    <row r="812">
      <c r="A812" t="n">
        <v>21</v>
      </c>
      <c r="B812" t="n">
        <v>42</v>
      </c>
      <c r="C812">
        <f>SQRT((Scale_PCA_Mechanics!G22-Scale_PCA_Mechanics!G43)^2+(Scale_PCA_Mechanics!H22-Scale_PCA_Mechanics!H43)^2+(Scale_PCA_Mechanics!I22-Scale_PCA_Mechanics!I43)^2+(Scale_PCA_Mechanics!J22-Scale_PCA_Mechanics!J43)^2)</f>
        <v/>
      </c>
      <c r="D812">
        <f>INDEX(KMeans_6_2!AA2:AA51,A812)</f>
        <v/>
      </c>
      <c r="E812">
        <f>INDEX(KMeans_6_2!AA2:AA51,B812)</f>
        <v/>
      </c>
      <c r="O812">
        <f>IF(OR(AND(D812=1,E812=2),AND(D812=2,E812=1)),C812,"")</f>
        <v/>
      </c>
      <c r="P812">
        <f>IF(OR(AND(D812=1,E812=3),AND(D812=3,E812=1)),C812,"")</f>
        <v/>
      </c>
      <c r="Q812">
        <f>IF(OR(AND(D812=2,E812=3),AND(D812=3,E812=2)),C812,"")</f>
        <v/>
      </c>
    </row>
    <row r="813">
      <c r="A813" t="n">
        <v>21</v>
      </c>
      <c r="B813" t="n">
        <v>43</v>
      </c>
      <c r="C813">
        <f>SQRT((Scale_PCA_Mechanics!G22-Scale_PCA_Mechanics!G44)^2+(Scale_PCA_Mechanics!H22-Scale_PCA_Mechanics!H44)^2+(Scale_PCA_Mechanics!I22-Scale_PCA_Mechanics!I44)^2+(Scale_PCA_Mechanics!J22-Scale_PCA_Mechanics!J44)^2)</f>
        <v/>
      </c>
      <c r="D813">
        <f>INDEX(KMeans_6_2!AA2:AA51,A813)</f>
        <v/>
      </c>
      <c r="E813">
        <f>INDEX(KMeans_6_2!AA2:AA51,B813)</f>
        <v/>
      </c>
      <c r="O813">
        <f>IF(OR(AND(D813=1,E813=2),AND(D813=2,E813=1)),C813,"")</f>
        <v/>
      </c>
      <c r="P813">
        <f>IF(OR(AND(D813=1,E813=3),AND(D813=3,E813=1)),C813,"")</f>
        <v/>
      </c>
      <c r="Q813">
        <f>IF(OR(AND(D813=2,E813=3),AND(D813=3,E813=2)),C813,"")</f>
        <v/>
      </c>
    </row>
    <row r="814">
      <c r="A814" t="n">
        <v>21</v>
      </c>
      <c r="B814" t="n">
        <v>44</v>
      </c>
      <c r="C814">
        <f>SQRT((Scale_PCA_Mechanics!G22-Scale_PCA_Mechanics!G45)^2+(Scale_PCA_Mechanics!H22-Scale_PCA_Mechanics!H45)^2+(Scale_PCA_Mechanics!I22-Scale_PCA_Mechanics!I45)^2+(Scale_PCA_Mechanics!J22-Scale_PCA_Mechanics!J45)^2)</f>
        <v/>
      </c>
      <c r="D814">
        <f>INDEX(KMeans_6_2!AA2:AA51,A814)</f>
        <v/>
      </c>
      <c r="E814">
        <f>INDEX(KMeans_6_2!AA2:AA51,B814)</f>
        <v/>
      </c>
      <c r="O814">
        <f>IF(OR(AND(D814=1,E814=2),AND(D814=2,E814=1)),C814,"")</f>
        <v/>
      </c>
      <c r="P814">
        <f>IF(OR(AND(D814=1,E814=3),AND(D814=3,E814=1)),C814,"")</f>
        <v/>
      </c>
      <c r="Q814">
        <f>IF(OR(AND(D814=2,E814=3),AND(D814=3,E814=2)),C814,"")</f>
        <v/>
      </c>
    </row>
    <row r="815">
      <c r="A815" t="n">
        <v>21</v>
      </c>
      <c r="B815" t="n">
        <v>45</v>
      </c>
      <c r="C815">
        <f>SQRT((Scale_PCA_Mechanics!G22-Scale_PCA_Mechanics!G46)^2+(Scale_PCA_Mechanics!H22-Scale_PCA_Mechanics!H46)^2+(Scale_PCA_Mechanics!I22-Scale_PCA_Mechanics!I46)^2+(Scale_PCA_Mechanics!J22-Scale_PCA_Mechanics!J46)^2)</f>
        <v/>
      </c>
      <c r="D815">
        <f>INDEX(KMeans_6_2!AA2:AA51,A815)</f>
        <v/>
      </c>
      <c r="E815">
        <f>INDEX(KMeans_6_2!AA2:AA51,B815)</f>
        <v/>
      </c>
      <c r="O815">
        <f>IF(OR(AND(D815=1,E815=2),AND(D815=2,E815=1)),C815,"")</f>
        <v/>
      </c>
      <c r="P815">
        <f>IF(OR(AND(D815=1,E815=3),AND(D815=3,E815=1)),C815,"")</f>
        <v/>
      </c>
      <c r="Q815">
        <f>IF(OR(AND(D815=2,E815=3),AND(D815=3,E815=2)),C815,"")</f>
        <v/>
      </c>
    </row>
    <row r="816">
      <c r="A816" t="n">
        <v>21</v>
      </c>
      <c r="B816" t="n">
        <v>46</v>
      </c>
      <c r="C816">
        <f>SQRT((Scale_PCA_Mechanics!G22-Scale_PCA_Mechanics!G47)^2+(Scale_PCA_Mechanics!H22-Scale_PCA_Mechanics!H47)^2+(Scale_PCA_Mechanics!I22-Scale_PCA_Mechanics!I47)^2+(Scale_PCA_Mechanics!J22-Scale_PCA_Mechanics!J47)^2)</f>
        <v/>
      </c>
      <c r="D816">
        <f>INDEX(KMeans_6_2!AA2:AA51,A816)</f>
        <v/>
      </c>
      <c r="E816">
        <f>INDEX(KMeans_6_2!AA2:AA51,B816)</f>
        <v/>
      </c>
      <c r="O816">
        <f>IF(OR(AND(D816=1,E816=2),AND(D816=2,E816=1)),C816,"")</f>
        <v/>
      </c>
      <c r="P816">
        <f>IF(OR(AND(D816=1,E816=3),AND(D816=3,E816=1)),C816,"")</f>
        <v/>
      </c>
      <c r="Q816">
        <f>IF(OR(AND(D816=2,E816=3),AND(D816=3,E816=2)),C816,"")</f>
        <v/>
      </c>
    </row>
    <row r="817">
      <c r="A817" t="n">
        <v>21</v>
      </c>
      <c r="B817" t="n">
        <v>47</v>
      </c>
      <c r="C817">
        <f>SQRT((Scale_PCA_Mechanics!G22-Scale_PCA_Mechanics!G48)^2+(Scale_PCA_Mechanics!H22-Scale_PCA_Mechanics!H48)^2+(Scale_PCA_Mechanics!I22-Scale_PCA_Mechanics!I48)^2+(Scale_PCA_Mechanics!J22-Scale_PCA_Mechanics!J48)^2)</f>
        <v/>
      </c>
      <c r="D817">
        <f>INDEX(KMeans_6_2!AA2:AA51,A817)</f>
        <v/>
      </c>
      <c r="E817">
        <f>INDEX(KMeans_6_2!AA2:AA51,B817)</f>
        <v/>
      </c>
      <c r="O817">
        <f>IF(OR(AND(D817=1,E817=2),AND(D817=2,E817=1)),C817,"")</f>
        <v/>
      </c>
      <c r="P817">
        <f>IF(OR(AND(D817=1,E817=3),AND(D817=3,E817=1)),C817,"")</f>
        <v/>
      </c>
      <c r="Q817">
        <f>IF(OR(AND(D817=2,E817=3),AND(D817=3,E817=2)),C817,"")</f>
        <v/>
      </c>
    </row>
    <row r="818">
      <c r="A818" t="n">
        <v>21</v>
      </c>
      <c r="B818" t="n">
        <v>48</v>
      </c>
      <c r="C818">
        <f>SQRT((Scale_PCA_Mechanics!G22-Scale_PCA_Mechanics!G49)^2+(Scale_PCA_Mechanics!H22-Scale_PCA_Mechanics!H49)^2+(Scale_PCA_Mechanics!I22-Scale_PCA_Mechanics!I49)^2+(Scale_PCA_Mechanics!J22-Scale_PCA_Mechanics!J49)^2)</f>
        <v/>
      </c>
      <c r="D818">
        <f>INDEX(KMeans_6_2!AA2:AA51,A818)</f>
        <v/>
      </c>
      <c r="E818">
        <f>INDEX(KMeans_6_2!AA2:AA51,B818)</f>
        <v/>
      </c>
      <c r="O818">
        <f>IF(OR(AND(D818=1,E818=2),AND(D818=2,E818=1)),C818,"")</f>
        <v/>
      </c>
      <c r="P818">
        <f>IF(OR(AND(D818=1,E818=3),AND(D818=3,E818=1)),C818,"")</f>
        <v/>
      </c>
      <c r="Q818">
        <f>IF(OR(AND(D818=2,E818=3),AND(D818=3,E818=2)),C818,"")</f>
        <v/>
      </c>
    </row>
    <row r="819">
      <c r="A819" t="n">
        <v>21</v>
      </c>
      <c r="B819" t="n">
        <v>49</v>
      </c>
      <c r="C819">
        <f>SQRT((Scale_PCA_Mechanics!G22-Scale_PCA_Mechanics!G50)^2+(Scale_PCA_Mechanics!H22-Scale_PCA_Mechanics!H50)^2+(Scale_PCA_Mechanics!I22-Scale_PCA_Mechanics!I50)^2+(Scale_PCA_Mechanics!J22-Scale_PCA_Mechanics!J50)^2)</f>
        <v/>
      </c>
      <c r="D819">
        <f>INDEX(KMeans_6_2!AA2:AA51,A819)</f>
        <v/>
      </c>
      <c r="E819">
        <f>INDEX(KMeans_6_2!AA2:AA51,B819)</f>
        <v/>
      </c>
      <c r="O819">
        <f>IF(OR(AND(D819=1,E819=2),AND(D819=2,E819=1)),C819,"")</f>
        <v/>
      </c>
      <c r="P819">
        <f>IF(OR(AND(D819=1,E819=3),AND(D819=3,E819=1)),C819,"")</f>
        <v/>
      </c>
      <c r="Q819">
        <f>IF(OR(AND(D819=2,E819=3),AND(D819=3,E819=2)),C819,"")</f>
        <v/>
      </c>
    </row>
    <row r="820">
      <c r="A820" t="n">
        <v>21</v>
      </c>
      <c r="B820" t="n">
        <v>50</v>
      </c>
      <c r="C820">
        <f>SQRT((Scale_PCA_Mechanics!G22-Scale_PCA_Mechanics!G51)^2+(Scale_PCA_Mechanics!H22-Scale_PCA_Mechanics!H51)^2+(Scale_PCA_Mechanics!I22-Scale_PCA_Mechanics!I51)^2+(Scale_PCA_Mechanics!J22-Scale_PCA_Mechanics!J51)^2)</f>
        <v/>
      </c>
      <c r="D820">
        <f>INDEX(KMeans_6_2!AA2:AA51,A820)</f>
        <v/>
      </c>
      <c r="E820">
        <f>INDEX(KMeans_6_2!AA2:AA51,B820)</f>
        <v/>
      </c>
      <c r="O820">
        <f>IF(OR(AND(D820=1,E820=2),AND(D820=2,E820=1)),C820,"")</f>
        <v/>
      </c>
      <c r="P820">
        <f>IF(OR(AND(D820=1,E820=3),AND(D820=3,E820=1)),C820,"")</f>
        <v/>
      </c>
      <c r="Q820">
        <f>IF(OR(AND(D820=2,E820=3),AND(D820=3,E820=2)),C820,"")</f>
        <v/>
      </c>
    </row>
    <row r="821">
      <c r="A821" t="n">
        <v>22</v>
      </c>
      <c r="B821" t="n">
        <v>23</v>
      </c>
      <c r="C821">
        <f>SQRT((Scale_PCA_Mechanics!G23-Scale_PCA_Mechanics!G24)^2+(Scale_PCA_Mechanics!H23-Scale_PCA_Mechanics!H24)^2+(Scale_PCA_Mechanics!I23-Scale_PCA_Mechanics!I24)^2+(Scale_PCA_Mechanics!J23-Scale_PCA_Mechanics!J24)^2)</f>
        <v/>
      </c>
      <c r="D821">
        <f>INDEX(KMeans_6_2!AA2:AA51,A821)</f>
        <v/>
      </c>
      <c r="E821">
        <f>INDEX(KMeans_6_2!AA2:AA51,B821)</f>
        <v/>
      </c>
      <c r="O821">
        <f>IF(OR(AND(D821=1,E821=2),AND(D821=2,E821=1)),C821,"")</f>
        <v/>
      </c>
      <c r="P821">
        <f>IF(OR(AND(D821=1,E821=3),AND(D821=3,E821=1)),C821,"")</f>
        <v/>
      </c>
      <c r="Q821">
        <f>IF(OR(AND(D821=2,E821=3),AND(D821=3,E821=2)),C821,"")</f>
        <v/>
      </c>
    </row>
    <row r="822">
      <c r="A822" t="n">
        <v>22</v>
      </c>
      <c r="B822" t="n">
        <v>24</v>
      </c>
      <c r="C822">
        <f>SQRT((Scale_PCA_Mechanics!G23-Scale_PCA_Mechanics!G25)^2+(Scale_PCA_Mechanics!H23-Scale_PCA_Mechanics!H25)^2+(Scale_PCA_Mechanics!I23-Scale_PCA_Mechanics!I25)^2+(Scale_PCA_Mechanics!J23-Scale_PCA_Mechanics!J25)^2)</f>
        <v/>
      </c>
      <c r="D822">
        <f>INDEX(KMeans_6_2!AA2:AA51,A822)</f>
        <v/>
      </c>
      <c r="E822">
        <f>INDEX(KMeans_6_2!AA2:AA51,B822)</f>
        <v/>
      </c>
      <c r="O822">
        <f>IF(OR(AND(D822=1,E822=2),AND(D822=2,E822=1)),C822,"")</f>
        <v/>
      </c>
      <c r="P822">
        <f>IF(OR(AND(D822=1,E822=3),AND(D822=3,E822=1)),C822,"")</f>
        <v/>
      </c>
      <c r="Q822">
        <f>IF(OR(AND(D822=2,E822=3),AND(D822=3,E822=2)),C822,"")</f>
        <v/>
      </c>
    </row>
    <row r="823">
      <c r="A823" t="n">
        <v>22</v>
      </c>
      <c r="B823" t="n">
        <v>25</v>
      </c>
      <c r="C823">
        <f>SQRT((Scale_PCA_Mechanics!G23-Scale_PCA_Mechanics!G26)^2+(Scale_PCA_Mechanics!H23-Scale_PCA_Mechanics!H26)^2+(Scale_PCA_Mechanics!I23-Scale_PCA_Mechanics!I26)^2+(Scale_PCA_Mechanics!J23-Scale_PCA_Mechanics!J26)^2)</f>
        <v/>
      </c>
      <c r="D823">
        <f>INDEX(KMeans_6_2!AA2:AA51,A823)</f>
        <v/>
      </c>
      <c r="E823">
        <f>INDEX(KMeans_6_2!AA2:AA51,B823)</f>
        <v/>
      </c>
      <c r="O823">
        <f>IF(OR(AND(D823=1,E823=2),AND(D823=2,E823=1)),C823,"")</f>
        <v/>
      </c>
      <c r="P823">
        <f>IF(OR(AND(D823=1,E823=3),AND(D823=3,E823=1)),C823,"")</f>
        <v/>
      </c>
      <c r="Q823">
        <f>IF(OR(AND(D823=2,E823=3),AND(D823=3,E823=2)),C823,"")</f>
        <v/>
      </c>
    </row>
    <row r="824">
      <c r="A824" t="n">
        <v>22</v>
      </c>
      <c r="B824" t="n">
        <v>26</v>
      </c>
      <c r="C824">
        <f>SQRT((Scale_PCA_Mechanics!G23-Scale_PCA_Mechanics!G27)^2+(Scale_PCA_Mechanics!H23-Scale_PCA_Mechanics!H27)^2+(Scale_PCA_Mechanics!I23-Scale_PCA_Mechanics!I27)^2+(Scale_PCA_Mechanics!J23-Scale_PCA_Mechanics!J27)^2)</f>
        <v/>
      </c>
      <c r="D824">
        <f>INDEX(KMeans_6_2!AA2:AA51,A824)</f>
        <v/>
      </c>
      <c r="E824">
        <f>INDEX(KMeans_6_2!AA2:AA51,B824)</f>
        <v/>
      </c>
      <c r="O824">
        <f>IF(OR(AND(D824=1,E824=2),AND(D824=2,E824=1)),C824,"")</f>
        <v/>
      </c>
      <c r="P824">
        <f>IF(OR(AND(D824=1,E824=3),AND(D824=3,E824=1)),C824,"")</f>
        <v/>
      </c>
      <c r="Q824">
        <f>IF(OR(AND(D824=2,E824=3),AND(D824=3,E824=2)),C824,"")</f>
        <v/>
      </c>
    </row>
    <row r="825">
      <c r="A825" t="n">
        <v>22</v>
      </c>
      <c r="B825" t="n">
        <v>27</v>
      </c>
      <c r="C825">
        <f>SQRT((Scale_PCA_Mechanics!G23-Scale_PCA_Mechanics!G28)^2+(Scale_PCA_Mechanics!H23-Scale_PCA_Mechanics!H28)^2+(Scale_PCA_Mechanics!I23-Scale_PCA_Mechanics!I28)^2+(Scale_PCA_Mechanics!J23-Scale_PCA_Mechanics!J28)^2)</f>
        <v/>
      </c>
      <c r="D825">
        <f>INDEX(KMeans_6_2!AA2:AA51,A825)</f>
        <v/>
      </c>
      <c r="E825">
        <f>INDEX(KMeans_6_2!AA2:AA51,B825)</f>
        <v/>
      </c>
      <c r="O825">
        <f>IF(OR(AND(D825=1,E825=2),AND(D825=2,E825=1)),C825,"")</f>
        <v/>
      </c>
      <c r="P825">
        <f>IF(OR(AND(D825=1,E825=3),AND(D825=3,E825=1)),C825,"")</f>
        <v/>
      </c>
      <c r="Q825">
        <f>IF(OR(AND(D825=2,E825=3),AND(D825=3,E825=2)),C825,"")</f>
        <v/>
      </c>
    </row>
    <row r="826">
      <c r="A826" t="n">
        <v>22</v>
      </c>
      <c r="B826" t="n">
        <v>28</v>
      </c>
      <c r="C826">
        <f>SQRT((Scale_PCA_Mechanics!G23-Scale_PCA_Mechanics!G29)^2+(Scale_PCA_Mechanics!H23-Scale_PCA_Mechanics!H29)^2+(Scale_PCA_Mechanics!I23-Scale_PCA_Mechanics!I29)^2+(Scale_PCA_Mechanics!J23-Scale_PCA_Mechanics!J29)^2)</f>
        <v/>
      </c>
      <c r="D826">
        <f>INDEX(KMeans_6_2!AA2:AA51,A826)</f>
        <v/>
      </c>
      <c r="E826">
        <f>INDEX(KMeans_6_2!AA2:AA51,B826)</f>
        <v/>
      </c>
      <c r="O826">
        <f>IF(OR(AND(D826=1,E826=2),AND(D826=2,E826=1)),C826,"")</f>
        <v/>
      </c>
      <c r="P826">
        <f>IF(OR(AND(D826=1,E826=3),AND(D826=3,E826=1)),C826,"")</f>
        <v/>
      </c>
      <c r="Q826">
        <f>IF(OR(AND(D826=2,E826=3),AND(D826=3,E826=2)),C826,"")</f>
        <v/>
      </c>
    </row>
    <row r="827">
      <c r="A827" t="n">
        <v>22</v>
      </c>
      <c r="B827" t="n">
        <v>29</v>
      </c>
      <c r="C827">
        <f>SQRT((Scale_PCA_Mechanics!G23-Scale_PCA_Mechanics!G30)^2+(Scale_PCA_Mechanics!H23-Scale_PCA_Mechanics!H30)^2+(Scale_PCA_Mechanics!I23-Scale_PCA_Mechanics!I30)^2+(Scale_PCA_Mechanics!J23-Scale_PCA_Mechanics!J30)^2)</f>
        <v/>
      </c>
      <c r="D827">
        <f>INDEX(KMeans_6_2!AA2:AA51,A827)</f>
        <v/>
      </c>
      <c r="E827">
        <f>INDEX(KMeans_6_2!AA2:AA51,B827)</f>
        <v/>
      </c>
      <c r="O827">
        <f>IF(OR(AND(D827=1,E827=2),AND(D827=2,E827=1)),C827,"")</f>
        <v/>
      </c>
      <c r="P827">
        <f>IF(OR(AND(D827=1,E827=3),AND(D827=3,E827=1)),C827,"")</f>
        <v/>
      </c>
      <c r="Q827">
        <f>IF(OR(AND(D827=2,E827=3),AND(D827=3,E827=2)),C827,"")</f>
        <v/>
      </c>
    </row>
    <row r="828">
      <c r="A828" t="n">
        <v>22</v>
      </c>
      <c r="B828" t="n">
        <v>30</v>
      </c>
      <c r="C828">
        <f>SQRT((Scale_PCA_Mechanics!G23-Scale_PCA_Mechanics!G31)^2+(Scale_PCA_Mechanics!H23-Scale_PCA_Mechanics!H31)^2+(Scale_PCA_Mechanics!I23-Scale_PCA_Mechanics!I31)^2+(Scale_PCA_Mechanics!J23-Scale_PCA_Mechanics!J31)^2)</f>
        <v/>
      </c>
      <c r="D828">
        <f>INDEX(KMeans_6_2!AA2:AA51,A828)</f>
        <v/>
      </c>
      <c r="E828">
        <f>INDEX(KMeans_6_2!AA2:AA51,B828)</f>
        <v/>
      </c>
      <c r="O828">
        <f>IF(OR(AND(D828=1,E828=2),AND(D828=2,E828=1)),C828,"")</f>
        <v/>
      </c>
      <c r="P828">
        <f>IF(OR(AND(D828=1,E828=3),AND(D828=3,E828=1)),C828,"")</f>
        <v/>
      </c>
      <c r="Q828">
        <f>IF(OR(AND(D828=2,E828=3),AND(D828=3,E828=2)),C828,"")</f>
        <v/>
      </c>
    </row>
    <row r="829">
      <c r="A829" t="n">
        <v>22</v>
      </c>
      <c r="B829" t="n">
        <v>31</v>
      </c>
      <c r="C829">
        <f>SQRT((Scale_PCA_Mechanics!G23-Scale_PCA_Mechanics!G32)^2+(Scale_PCA_Mechanics!H23-Scale_PCA_Mechanics!H32)^2+(Scale_PCA_Mechanics!I23-Scale_PCA_Mechanics!I32)^2+(Scale_PCA_Mechanics!J23-Scale_PCA_Mechanics!J32)^2)</f>
        <v/>
      </c>
      <c r="D829">
        <f>INDEX(KMeans_6_2!AA2:AA51,A829)</f>
        <v/>
      </c>
      <c r="E829">
        <f>INDEX(KMeans_6_2!AA2:AA51,B829)</f>
        <v/>
      </c>
      <c r="O829">
        <f>IF(OR(AND(D829=1,E829=2),AND(D829=2,E829=1)),C829,"")</f>
        <v/>
      </c>
      <c r="P829">
        <f>IF(OR(AND(D829=1,E829=3),AND(D829=3,E829=1)),C829,"")</f>
        <v/>
      </c>
      <c r="Q829">
        <f>IF(OR(AND(D829=2,E829=3),AND(D829=3,E829=2)),C829,"")</f>
        <v/>
      </c>
    </row>
    <row r="830">
      <c r="A830" t="n">
        <v>22</v>
      </c>
      <c r="B830" t="n">
        <v>32</v>
      </c>
      <c r="C830">
        <f>SQRT((Scale_PCA_Mechanics!G23-Scale_PCA_Mechanics!G33)^2+(Scale_PCA_Mechanics!H23-Scale_PCA_Mechanics!H33)^2+(Scale_PCA_Mechanics!I23-Scale_PCA_Mechanics!I33)^2+(Scale_PCA_Mechanics!J23-Scale_PCA_Mechanics!J33)^2)</f>
        <v/>
      </c>
      <c r="D830">
        <f>INDEX(KMeans_6_2!AA2:AA51,A830)</f>
        <v/>
      </c>
      <c r="E830">
        <f>INDEX(KMeans_6_2!AA2:AA51,B830)</f>
        <v/>
      </c>
      <c r="O830">
        <f>IF(OR(AND(D830=1,E830=2),AND(D830=2,E830=1)),C830,"")</f>
        <v/>
      </c>
      <c r="P830">
        <f>IF(OR(AND(D830=1,E830=3),AND(D830=3,E830=1)),C830,"")</f>
        <v/>
      </c>
      <c r="Q830">
        <f>IF(OR(AND(D830=2,E830=3),AND(D830=3,E830=2)),C830,"")</f>
        <v/>
      </c>
    </row>
    <row r="831">
      <c r="A831" t="n">
        <v>22</v>
      </c>
      <c r="B831" t="n">
        <v>33</v>
      </c>
      <c r="C831">
        <f>SQRT((Scale_PCA_Mechanics!G23-Scale_PCA_Mechanics!G34)^2+(Scale_PCA_Mechanics!H23-Scale_PCA_Mechanics!H34)^2+(Scale_PCA_Mechanics!I23-Scale_PCA_Mechanics!I34)^2+(Scale_PCA_Mechanics!J23-Scale_PCA_Mechanics!J34)^2)</f>
        <v/>
      </c>
      <c r="D831">
        <f>INDEX(KMeans_6_2!AA2:AA51,A831)</f>
        <v/>
      </c>
      <c r="E831">
        <f>INDEX(KMeans_6_2!AA2:AA51,B831)</f>
        <v/>
      </c>
      <c r="O831">
        <f>IF(OR(AND(D831=1,E831=2),AND(D831=2,E831=1)),C831,"")</f>
        <v/>
      </c>
      <c r="P831">
        <f>IF(OR(AND(D831=1,E831=3),AND(D831=3,E831=1)),C831,"")</f>
        <v/>
      </c>
      <c r="Q831">
        <f>IF(OR(AND(D831=2,E831=3),AND(D831=3,E831=2)),C831,"")</f>
        <v/>
      </c>
    </row>
    <row r="832">
      <c r="A832" t="n">
        <v>22</v>
      </c>
      <c r="B832" t="n">
        <v>34</v>
      </c>
      <c r="C832">
        <f>SQRT((Scale_PCA_Mechanics!G23-Scale_PCA_Mechanics!G35)^2+(Scale_PCA_Mechanics!H23-Scale_PCA_Mechanics!H35)^2+(Scale_PCA_Mechanics!I23-Scale_PCA_Mechanics!I35)^2+(Scale_PCA_Mechanics!J23-Scale_PCA_Mechanics!J35)^2)</f>
        <v/>
      </c>
      <c r="D832">
        <f>INDEX(KMeans_6_2!AA2:AA51,A832)</f>
        <v/>
      </c>
      <c r="E832">
        <f>INDEX(KMeans_6_2!AA2:AA51,B832)</f>
        <v/>
      </c>
      <c r="O832">
        <f>IF(OR(AND(D832=1,E832=2),AND(D832=2,E832=1)),C832,"")</f>
        <v/>
      </c>
      <c r="P832">
        <f>IF(OR(AND(D832=1,E832=3),AND(D832=3,E832=1)),C832,"")</f>
        <v/>
      </c>
      <c r="Q832">
        <f>IF(OR(AND(D832=2,E832=3),AND(D832=3,E832=2)),C832,"")</f>
        <v/>
      </c>
    </row>
    <row r="833">
      <c r="A833" t="n">
        <v>22</v>
      </c>
      <c r="B833" t="n">
        <v>35</v>
      </c>
      <c r="C833">
        <f>SQRT((Scale_PCA_Mechanics!G23-Scale_PCA_Mechanics!G36)^2+(Scale_PCA_Mechanics!H23-Scale_PCA_Mechanics!H36)^2+(Scale_PCA_Mechanics!I23-Scale_PCA_Mechanics!I36)^2+(Scale_PCA_Mechanics!J23-Scale_PCA_Mechanics!J36)^2)</f>
        <v/>
      </c>
      <c r="D833">
        <f>INDEX(KMeans_6_2!AA2:AA51,A833)</f>
        <v/>
      </c>
      <c r="E833">
        <f>INDEX(KMeans_6_2!AA2:AA51,B833)</f>
        <v/>
      </c>
      <c r="O833">
        <f>IF(OR(AND(D833=1,E833=2),AND(D833=2,E833=1)),C833,"")</f>
        <v/>
      </c>
      <c r="P833">
        <f>IF(OR(AND(D833=1,E833=3),AND(D833=3,E833=1)),C833,"")</f>
        <v/>
      </c>
      <c r="Q833">
        <f>IF(OR(AND(D833=2,E833=3),AND(D833=3,E833=2)),C833,"")</f>
        <v/>
      </c>
    </row>
    <row r="834">
      <c r="A834" t="n">
        <v>22</v>
      </c>
      <c r="B834" t="n">
        <v>36</v>
      </c>
      <c r="C834">
        <f>SQRT((Scale_PCA_Mechanics!G23-Scale_PCA_Mechanics!G37)^2+(Scale_PCA_Mechanics!H23-Scale_PCA_Mechanics!H37)^2+(Scale_PCA_Mechanics!I23-Scale_PCA_Mechanics!I37)^2+(Scale_PCA_Mechanics!J23-Scale_PCA_Mechanics!J37)^2)</f>
        <v/>
      </c>
      <c r="D834">
        <f>INDEX(KMeans_6_2!AA2:AA51,A834)</f>
        <v/>
      </c>
      <c r="E834">
        <f>INDEX(KMeans_6_2!AA2:AA51,B834)</f>
        <v/>
      </c>
      <c r="O834">
        <f>IF(OR(AND(D834=1,E834=2),AND(D834=2,E834=1)),C834,"")</f>
        <v/>
      </c>
      <c r="P834">
        <f>IF(OR(AND(D834=1,E834=3),AND(D834=3,E834=1)),C834,"")</f>
        <v/>
      </c>
      <c r="Q834">
        <f>IF(OR(AND(D834=2,E834=3),AND(D834=3,E834=2)),C834,"")</f>
        <v/>
      </c>
    </row>
    <row r="835">
      <c r="A835" t="n">
        <v>22</v>
      </c>
      <c r="B835" t="n">
        <v>37</v>
      </c>
      <c r="C835">
        <f>SQRT((Scale_PCA_Mechanics!G23-Scale_PCA_Mechanics!G38)^2+(Scale_PCA_Mechanics!H23-Scale_PCA_Mechanics!H38)^2+(Scale_PCA_Mechanics!I23-Scale_PCA_Mechanics!I38)^2+(Scale_PCA_Mechanics!J23-Scale_PCA_Mechanics!J38)^2)</f>
        <v/>
      </c>
      <c r="D835">
        <f>INDEX(KMeans_6_2!AA2:AA51,A835)</f>
        <v/>
      </c>
      <c r="E835">
        <f>INDEX(KMeans_6_2!AA2:AA51,B835)</f>
        <v/>
      </c>
      <c r="O835">
        <f>IF(OR(AND(D835=1,E835=2),AND(D835=2,E835=1)),C835,"")</f>
        <v/>
      </c>
      <c r="P835">
        <f>IF(OR(AND(D835=1,E835=3),AND(D835=3,E835=1)),C835,"")</f>
        <v/>
      </c>
      <c r="Q835">
        <f>IF(OR(AND(D835=2,E835=3),AND(D835=3,E835=2)),C835,"")</f>
        <v/>
      </c>
    </row>
    <row r="836">
      <c r="A836" t="n">
        <v>22</v>
      </c>
      <c r="B836" t="n">
        <v>38</v>
      </c>
      <c r="C836">
        <f>SQRT((Scale_PCA_Mechanics!G23-Scale_PCA_Mechanics!G39)^2+(Scale_PCA_Mechanics!H23-Scale_PCA_Mechanics!H39)^2+(Scale_PCA_Mechanics!I23-Scale_PCA_Mechanics!I39)^2+(Scale_PCA_Mechanics!J23-Scale_PCA_Mechanics!J39)^2)</f>
        <v/>
      </c>
      <c r="D836">
        <f>INDEX(KMeans_6_2!AA2:AA51,A836)</f>
        <v/>
      </c>
      <c r="E836">
        <f>INDEX(KMeans_6_2!AA2:AA51,B836)</f>
        <v/>
      </c>
      <c r="O836">
        <f>IF(OR(AND(D836=1,E836=2),AND(D836=2,E836=1)),C836,"")</f>
        <v/>
      </c>
      <c r="P836">
        <f>IF(OR(AND(D836=1,E836=3),AND(D836=3,E836=1)),C836,"")</f>
        <v/>
      </c>
      <c r="Q836">
        <f>IF(OR(AND(D836=2,E836=3),AND(D836=3,E836=2)),C836,"")</f>
        <v/>
      </c>
    </row>
    <row r="837">
      <c r="A837" t="n">
        <v>22</v>
      </c>
      <c r="B837" t="n">
        <v>39</v>
      </c>
      <c r="C837">
        <f>SQRT((Scale_PCA_Mechanics!G23-Scale_PCA_Mechanics!G40)^2+(Scale_PCA_Mechanics!H23-Scale_PCA_Mechanics!H40)^2+(Scale_PCA_Mechanics!I23-Scale_PCA_Mechanics!I40)^2+(Scale_PCA_Mechanics!J23-Scale_PCA_Mechanics!J40)^2)</f>
        <v/>
      </c>
      <c r="D837">
        <f>INDEX(KMeans_6_2!AA2:AA51,A837)</f>
        <v/>
      </c>
      <c r="E837">
        <f>INDEX(KMeans_6_2!AA2:AA51,B837)</f>
        <v/>
      </c>
      <c r="O837">
        <f>IF(OR(AND(D837=1,E837=2),AND(D837=2,E837=1)),C837,"")</f>
        <v/>
      </c>
      <c r="P837">
        <f>IF(OR(AND(D837=1,E837=3),AND(D837=3,E837=1)),C837,"")</f>
        <v/>
      </c>
      <c r="Q837">
        <f>IF(OR(AND(D837=2,E837=3),AND(D837=3,E837=2)),C837,"")</f>
        <v/>
      </c>
    </row>
    <row r="838">
      <c r="A838" t="n">
        <v>22</v>
      </c>
      <c r="B838" t="n">
        <v>40</v>
      </c>
      <c r="C838">
        <f>SQRT((Scale_PCA_Mechanics!G23-Scale_PCA_Mechanics!G41)^2+(Scale_PCA_Mechanics!H23-Scale_PCA_Mechanics!H41)^2+(Scale_PCA_Mechanics!I23-Scale_PCA_Mechanics!I41)^2+(Scale_PCA_Mechanics!J23-Scale_PCA_Mechanics!J41)^2)</f>
        <v/>
      </c>
      <c r="D838">
        <f>INDEX(KMeans_6_2!AA2:AA51,A838)</f>
        <v/>
      </c>
      <c r="E838">
        <f>INDEX(KMeans_6_2!AA2:AA51,B838)</f>
        <v/>
      </c>
      <c r="O838">
        <f>IF(OR(AND(D838=1,E838=2),AND(D838=2,E838=1)),C838,"")</f>
        <v/>
      </c>
      <c r="P838">
        <f>IF(OR(AND(D838=1,E838=3),AND(D838=3,E838=1)),C838,"")</f>
        <v/>
      </c>
      <c r="Q838">
        <f>IF(OR(AND(D838=2,E838=3),AND(D838=3,E838=2)),C838,"")</f>
        <v/>
      </c>
    </row>
    <row r="839">
      <c r="A839" t="n">
        <v>22</v>
      </c>
      <c r="B839" t="n">
        <v>41</v>
      </c>
      <c r="C839">
        <f>SQRT((Scale_PCA_Mechanics!G23-Scale_PCA_Mechanics!G42)^2+(Scale_PCA_Mechanics!H23-Scale_PCA_Mechanics!H42)^2+(Scale_PCA_Mechanics!I23-Scale_PCA_Mechanics!I42)^2+(Scale_PCA_Mechanics!J23-Scale_PCA_Mechanics!J42)^2)</f>
        <v/>
      </c>
      <c r="D839">
        <f>INDEX(KMeans_6_2!AA2:AA51,A839)</f>
        <v/>
      </c>
      <c r="E839">
        <f>INDEX(KMeans_6_2!AA2:AA51,B839)</f>
        <v/>
      </c>
      <c r="O839">
        <f>IF(OR(AND(D839=1,E839=2),AND(D839=2,E839=1)),C839,"")</f>
        <v/>
      </c>
      <c r="P839">
        <f>IF(OR(AND(D839=1,E839=3),AND(D839=3,E839=1)),C839,"")</f>
        <v/>
      </c>
      <c r="Q839">
        <f>IF(OR(AND(D839=2,E839=3),AND(D839=3,E839=2)),C839,"")</f>
        <v/>
      </c>
    </row>
    <row r="840">
      <c r="A840" t="n">
        <v>22</v>
      </c>
      <c r="B840" t="n">
        <v>42</v>
      </c>
      <c r="C840">
        <f>SQRT((Scale_PCA_Mechanics!G23-Scale_PCA_Mechanics!G43)^2+(Scale_PCA_Mechanics!H23-Scale_PCA_Mechanics!H43)^2+(Scale_PCA_Mechanics!I23-Scale_PCA_Mechanics!I43)^2+(Scale_PCA_Mechanics!J23-Scale_PCA_Mechanics!J43)^2)</f>
        <v/>
      </c>
      <c r="D840">
        <f>INDEX(KMeans_6_2!AA2:AA51,A840)</f>
        <v/>
      </c>
      <c r="E840">
        <f>INDEX(KMeans_6_2!AA2:AA51,B840)</f>
        <v/>
      </c>
      <c r="O840">
        <f>IF(OR(AND(D840=1,E840=2),AND(D840=2,E840=1)),C840,"")</f>
        <v/>
      </c>
      <c r="P840">
        <f>IF(OR(AND(D840=1,E840=3),AND(D840=3,E840=1)),C840,"")</f>
        <v/>
      </c>
      <c r="Q840">
        <f>IF(OR(AND(D840=2,E840=3),AND(D840=3,E840=2)),C840,"")</f>
        <v/>
      </c>
    </row>
    <row r="841">
      <c r="A841" t="n">
        <v>22</v>
      </c>
      <c r="B841" t="n">
        <v>43</v>
      </c>
      <c r="C841">
        <f>SQRT((Scale_PCA_Mechanics!G23-Scale_PCA_Mechanics!G44)^2+(Scale_PCA_Mechanics!H23-Scale_PCA_Mechanics!H44)^2+(Scale_PCA_Mechanics!I23-Scale_PCA_Mechanics!I44)^2+(Scale_PCA_Mechanics!J23-Scale_PCA_Mechanics!J44)^2)</f>
        <v/>
      </c>
      <c r="D841">
        <f>INDEX(KMeans_6_2!AA2:AA51,A841)</f>
        <v/>
      </c>
      <c r="E841">
        <f>INDEX(KMeans_6_2!AA2:AA51,B841)</f>
        <v/>
      </c>
      <c r="O841">
        <f>IF(OR(AND(D841=1,E841=2),AND(D841=2,E841=1)),C841,"")</f>
        <v/>
      </c>
      <c r="P841">
        <f>IF(OR(AND(D841=1,E841=3),AND(D841=3,E841=1)),C841,"")</f>
        <v/>
      </c>
      <c r="Q841">
        <f>IF(OR(AND(D841=2,E841=3),AND(D841=3,E841=2)),C841,"")</f>
        <v/>
      </c>
    </row>
    <row r="842">
      <c r="A842" t="n">
        <v>22</v>
      </c>
      <c r="B842" t="n">
        <v>44</v>
      </c>
      <c r="C842">
        <f>SQRT((Scale_PCA_Mechanics!G23-Scale_PCA_Mechanics!G45)^2+(Scale_PCA_Mechanics!H23-Scale_PCA_Mechanics!H45)^2+(Scale_PCA_Mechanics!I23-Scale_PCA_Mechanics!I45)^2+(Scale_PCA_Mechanics!J23-Scale_PCA_Mechanics!J45)^2)</f>
        <v/>
      </c>
      <c r="D842">
        <f>INDEX(KMeans_6_2!AA2:AA51,A842)</f>
        <v/>
      </c>
      <c r="E842">
        <f>INDEX(KMeans_6_2!AA2:AA51,B842)</f>
        <v/>
      </c>
      <c r="O842">
        <f>IF(OR(AND(D842=1,E842=2),AND(D842=2,E842=1)),C842,"")</f>
        <v/>
      </c>
      <c r="P842">
        <f>IF(OR(AND(D842=1,E842=3),AND(D842=3,E842=1)),C842,"")</f>
        <v/>
      </c>
      <c r="Q842">
        <f>IF(OR(AND(D842=2,E842=3),AND(D842=3,E842=2)),C842,"")</f>
        <v/>
      </c>
    </row>
    <row r="843">
      <c r="A843" t="n">
        <v>22</v>
      </c>
      <c r="B843" t="n">
        <v>45</v>
      </c>
      <c r="C843">
        <f>SQRT((Scale_PCA_Mechanics!G23-Scale_PCA_Mechanics!G46)^2+(Scale_PCA_Mechanics!H23-Scale_PCA_Mechanics!H46)^2+(Scale_PCA_Mechanics!I23-Scale_PCA_Mechanics!I46)^2+(Scale_PCA_Mechanics!J23-Scale_PCA_Mechanics!J46)^2)</f>
        <v/>
      </c>
      <c r="D843">
        <f>INDEX(KMeans_6_2!AA2:AA51,A843)</f>
        <v/>
      </c>
      <c r="E843">
        <f>INDEX(KMeans_6_2!AA2:AA51,B843)</f>
        <v/>
      </c>
      <c r="O843">
        <f>IF(OR(AND(D843=1,E843=2),AND(D843=2,E843=1)),C843,"")</f>
        <v/>
      </c>
      <c r="P843">
        <f>IF(OR(AND(D843=1,E843=3),AND(D843=3,E843=1)),C843,"")</f>
        <v/>
      </c>
      <c r="Q843">
        <f>IF(OR(AND(D843=2,E843=3),AND(D843=3,E843=2)),C843,"")</f>
        <v/>
      </c>
    </row>
    <row r="844">
      <c r="A844" t="n">
        <v>22</v>
      </c>
      <c r="B844" t="n">
        <v>46</v>
      </c>
      <c r="C844">
        <f>SQRT((Scale_PCA_Mechanics!G23-Scale_PCA_Mechanics!G47)^2+(Scale_PCA_Mechanics!H23-Scale_PCA_Mechanics!H47)^2+(Scale_PCA_Mechanics!I23-Scale_PCA_Mechanics!I47)^2+(Scale_PCA_Mechanics!J23-Scale_PCA_Mechanics!J47)^2)</f>
        <v/>
      </c>
      <c r="D844">
        <f>INDEX(KMeans_6_2!AA2:AA51,A844)</f>
        <v/>
      </c>
      <c r="E844">
        <f>INDEX(KMeans_6_2!AA2:AA51,B844)</f>
        <v/>
      </c>
      <c r="O844">
        <f>IF(OR(AND(D844=1,E844=2),AND(D844=2,E844=1)),C844,"")</f>
        <v/>
      </c>
      <c r="P844">
        <f>IF(OR(AND(D844=1,E844=3),AND(D844=3,E844=1)),C844,"")</f>
        <v/>
      </c>
      <c r="Q844">
        <f>IF(OR(AND(D844=2,E844=3),AND(D844=3,E844=2)),C844,"")</f>
        <v/>
      </c>
    </row>
    <row r="845">
      <c r="A845" t="n">
        <v>22</v>
      </c>
      <c r="B845" t="n">
        <v>47</v>
      </c>
      <c r="C845">
        <f>SQRT((Scale_PCA_Mechanics!G23-Scale_PCA_Mechanics!G48)^2+(Scale_PCA_Mechanics!H23-Scale_PCA_Mechanics!H48)^2+(Scale_PCA_Mechanics!I23-Scale_PCA_Mechanics!I48)^2+(Scale_PCA_Mechanics!J23-Scale_PCA_Mechanics!J48)^2)</f>
        <v/>
      </c>
      <c r="D845">
        <f>INDEX(KMeans_6_2!AA2:AA51,A845)</f>
        <v/>
      </c>
      <c r="E845">
        <f>INDEX(KMeans_6_2!AA2:AA51,B845)</f>
        <v/>
      </c>
      <c r="O845">
        <f>IF(OR(AND(D845=1,E845=2),AND(D845=2,E845=1)),C845,"")</f>
        <v/>
      </c>
      <c r="P845">
        <f>IF(OR(AND(D845=1,E845=3),AND(D845=3,E845=1)),C845,"")</f>
        <v/>
      </c>
      <c r="Q845">
        <f>IF(OR(AND(D845=2,E845=3),AND(D845=3,E845=2)),C845,"")</f>
        <v/>
      </c>
    </row>
    <row r="846">
      <c r="A846" t="n">
        <v>22</v>
      </c>
      <c r="B846" t="n">
        <v>48</v>
      </c>
      <c r="C846">
        <f>SQRT((Scale_PCA_Mechanics!G23-Scale_PCA_Mechanics!G49)^2+(Scale_PCA_Mechanics!H23-Scale_PCA_Mechanics!H49)^2+(Scale_PCA_Mechanics!I23-Scale_PCA_Mechanics!I49)^2+(Scale_PCA_Mechanics!J23-Scale_PCA_Mechanics!J49)^2)</f>
        <v/>
      </c>
      <c r="D846">
        <f>INDEX(KMeans_6_2!AA2:AA51,A846)</f>
        <v/>
      </c>
      <c r="E846">
        <f>INDEX(KMeans_6_2!AA2:AA51,B846)</f>
        <v/>
      </c>
      <c r="O846">
        <f>IF(OR(AND(D846=1,E846=2),AND(D846=2,E846=1)),C846,"")</f>
        <v/>
      </c>
      <c r="P846">
        <f>IF(OR(AND(D846=1,E846=3),AND(D846=3,E846=1)),C846,"")</f>
        <v/>
      </c>
      <c r="Q846">
        <f>IF(OR(AND(D846=2,E846=3),AND(D846=3,E846=2)),C846,"")</f>
        <v/>
      </c>
    </row>
    <row r="847">
      <c r="A847" t="n">
        <v>22</v>
      </c>
      <c r="B847" t="n">
        <v>49</v>
      </c>
      <c r="C847">
        <f>SQRT((Scale_PCA_Mechanics!G23-Scale_PCA_Mechanics!G50)^2+(Scale_PCA_Mechanics!H23-Scale_PCA_Mechanics!H50)^2+(Scale_PCA_Mechanics!I23-Scale_PCA_Mechanics!I50)^2+(Scale_PCA_Mechanics!J23-Scale_PCA_Mechanics!J50)^2)</f>
        <v/>
      </c>
      <c r="D847">
        <f>INDEX(KMeans_6_2!AA2:AA51,A847)</f>
        <v/>
      </c>
      <c r="E847">
        <f>INDEX(KMeans_6_2!AA2:AA51,B847)</f>
        <v/>
      </c>
      <c r="O847">
        <f>IF(OR(AND(D847=1,E847=2),AND(D847=2,E847=1)),C847,"")</f>
        <v/>
      </c>
      <c r="P847">
        <f>IF(OR(AND(D847=1,E847=3),AND(D847=3,E847=1)),C847,"")</f>
        <v/>
      </c>
      <c r="Q847">
        <f>IF(OR(AND(D847=2,E847=3),AND(D847=3,E847=2)),C847,"")</f>
        <v/>
      </c>
    </row>
    <row r="848">
      <c r="A848" t="n">
        <v>22</v>
      </c>
      <c r="B848" t="n">
        <v>50</v>
      </c>
      <c r="C848">
        <f>SQRT((Scale_PCA_Mechanics!G23-Scale_PCA_Mechanics!G51)^2+(Scale_PCA_Mechanics!H23-Scale_PCA_Mechanics!H51)^2+(Scale_PCA_Mechanics!I23-Scale_PCA_Mechanics!I51)^2+(Scale_PCA_Mechanics!J23-Scale_PCA_Mechanics!J51)^2)</f>
        <v/>
      </c>
      <c r="D848">
        <f>INDEX(KMeans_6_2!AA2:AA51,A848)</f>
        <v/>
      </c>
      <c r="E848">
        <f>INDEX(KMeans_6_2!AA2:AA51,B848)</f>
        <v/>
      </c>
      <c r="O848">
        <f>IF(OR(AND(D848=1,E848=2),AND(D848=2,E848=1)),C848,"")</f>
        <v/>
      </c>
      <c r="P848">
        <f>IF(OR(AND(D848=1,E848=3),AND(D848=3,E848=1)),C848,"")</f>
        <v/>
      </c>
      <c r="Q848">
        <f>IF(OR(AND(D848=2,E848=3),AND(D848=3,E848=2)),C848,"")</f>
        <v/>
      </c>
    </row>
    <row r="849">
      <c r="A849" t="n">
        <v>23</v>
      </c>
      <c r="B849" t="n">
        <v>24</v>
      </c>
      <c r="C849">
        <f>SQRT((Scale_PCA_Mechanics!G24-Scale_PCA_Mechanics!G25)^2+(Scale_PCA_Mechanics!H24-Scale_PCA_Mechanics!H25)^2+(Scale_PCA_Mechanics!I24-Scale_PCA_Mechanics!I25)^2+(Scale_PCA_Mechanics!J24-Scale_PCA_Mechanics!J25)^2)</f>
        <v/>
      </c>
      <c r="D849">
        <f>INDEX(KMeans_6_2!AA2:AA51,A849)</f>
        <v/>
      </c>
      <c r="E849">
        <f>INDEX(KMeans_6_2!AA2:AA51,B849)</f>
        <v/>
      </c>
      <c r="O849">
        <f>IF(OR(AND(D849=1,E849=2),AND(D849=2,E849=1)),C849,"")</f>
        <v/>
      </c>
      <c r="P849">
        <f>IF(OR(AND(D849=1,E849=3),AND(D849=3,E849=1)),C849,"")</f>
        <v/>
      </c>
      <c r="Q849">
        <f>IF(OR(AND(D849=2,E849=3),AND(D849=3,E849=2)),C849,"")</f>
        <v/>
      </c>
    </row>
    <row r="850">
      <c r="A850" t="n">
        <v>23</v>
      </c>
      <c r="B850" t="n">
        <v>25</v>
      </c>
      <c r="C850">
        <f>SQRT((Scale_PCA_Mechanics!G24-Scale_PCA_Mechanics!G26)^2+(Scale_PCA_Mechanics!H24-Scale_PCA_Mechanics!H26)^2+(Scale_PCA_Mechanics!I24-Scale_PCA_Mechanics!I26)^2+(Scale_PCA_Mechanics!J24-Scale_PCA_Mechanics!J26)^2)</f>
        <v/>
      </c>
      <c r="D850">
        <f>INDEX(KMeans_6_2!AA2:AA51,A850)</f>
        <v/>
      </c>
      <c r="E850">
        <f>INDEX(KMeans_6_2!AA2:AA51,B850)</f>
        <v/>
      </c>
      <c r="O850">
        <f>IF(OR(AND(D850=1,E850=2),AND(D850=2,E850=1)),C850,"")</f>
        <v/>
      </c>
      <c r="P850">
        <f>IF(OR(AND(D850=1,E850=3),AND(D850=3,E850=1)),C850,"")</f>
        <v/>
      </c>
      <c r="Q850">
        <f>IF(OR(AND(D850=2,E850=3),AND(D850=3,E850=2)),C850,"")</f>
        <v/>
      </c>
    </row>
    <row r="851">
      <c r="A851" t="n">
        <v>23</v>
      </c>
      <c r="B851" t="n">
        <v>26</v>
      </c>
      <c r="C851">
        <f>SQRT((Scale_PCA_Mechanics!G24-Scale_PCA_Mechanics!G27)^2+(Scale_PCA_Mechanics!H24-Scale_PCA_Mechanics!H27)^2+(Scale_PCA_Mechanics!I24-Scale_PCA_Mechanics!I27)^2+(Scale_PCA_Mechanics!J24-Scale_PCA_Mechanics!J27)^2)</f>
        <v/>
      </c>
      <c r="D851">
        <f>INDEX(KMeans_6_2!AA2:AA51,A851)</f>
        <v/>
      </c>
      <c r="E851">
        <f>INDEX(KMeans_6_2!AA2:AA51,B851)</f>
        <v/>
      </c>
      <c r="O851">
        <f>IF(OR(AND(D851=1,E851=2),AND(D851=2,E851=1)),C851,"")</f>
        <v/>
      </c>
      <c r="P851">
        <f>IF(OR(AND(D851=1,E851=3),AND(D851=3,E851=1)),C851,"")</f>
        <v/>
      </c>
      <c r="Q851">
        <f>IF(OR(AND(D851=2,E851=3),AND(D851=3,E851=2)),C851,"")</f>
        <v/>
      </c>
    </row>
    <row r="852">
      <c r="A852" t="n">
        <v>23</v>
      </c>
      <c r="B852" t="n">
        <v>27</v>
      </c>
      <c r="C852">
        <f>SQRT((Scale_PCA_Mechanics!G24-Scale_PCA_Mechanics!G28)^2+(Scale_PCA_Mechanics!H24-Scale_PCA_Mechanics!H28)^2+(Scale_PCA_Mechanics!I24-Scale_PCA_Mechanics!I28)^2+(Scale_PCA_Mechanics!J24-Scale_PCA_Mechanics!J28)^2)</f>
        <v/>
      </c>
      <c r="D852">
        <f>INDEX(KMeans_6_2!AA2:AA51,A852)</f>
        <v/>
      </c>
      <c r="E852">
        <f>INDEX(KMeans_6_2!AA2:AA51,B852)</f>
        <v/>
      </c>
      <c r="O852">
        <f>IF(OR(AND(D852=1,E852=2),AND(D852=2,E852=1)),C852,"")</f>
        <v/>
      </c>
      <c r="P852">
        <f>IF(OR(AND(D852=1,E852=3),AND(D852=3,E852=1)),C852,"")</f>
        <v/>
      </c>
      <c r="Q852">
        <f>IF(OR(AND(D852=2,E852=3),AND(D852=3,E852=2)),C852,"")</f>
        <v/>
      </c>
    </row>
    <row r="853">
      <c r="A853" t="n">
        <v>23</v>
      </c>
      <c r="B853" t="n">
        <v>28</v>
      </c>
      <c r="C853">
        <f>SQRT((Scale_PCA_Mechanics!G24-Scale_PCA_Mechanics!G29)^2+(Scale_PCA_Mechanics!H24-Scale_PCA_Mechanics!H29)^2+(Scale_PCA_Mechanics!I24-Scale_PCA_Mechanics!I29)^2+(Scale_PCA_Mechanics!J24-Scale_PCA_Mechanics!J29)^2)</f>
        <v/>
      </c>
      <c r="D853">
        <f>INDEX(KMeans_6_2!AA2:AA51,A853)</f>
        <v/>
      </c>
      <c r="E853">
        <f>INDEX(KMeans_6_2!AA2:AA51,B853)</f>
        <v/>
      </c>
      <c r="O853">
        <f>IF(OR(AND(D853=1,E853=2),AND(D853=2,E853=1)),C853,"")</f>
        <v/>
      </c>
      <c r="P853">
        <f>IF(OR(AND(D853=1,E853=3),AND(D853=3,E853=1)),C853,"")</f>
        <v/>
      </c>
      <c r="Q853">
        <f>IF(OR(AND(D853=2,E853=3),AND(D853=3,E853=2)),C853,"")</f>
        <v/>
      </c>
    </row>
    <row r="854">
      <c r="A854" t="n">
        <v>23</v>
      </c>
      <c r="B854" t="n">
        <v>29</v>
      </c>
      <c r="C854">
        <f>SQRT((Scale_PCA_Mechanics!G24-Scale_PCA_Mechanics!G30)^2+(Scale_PCA_Mechanics!H24-Scale_PCA_Mechanics!H30)^2+(Scale_PCA_Mechanics!I24-Scale_PCA_Mechanics!I30)^2+(Scale_PCA_Mechanics!J24-Scale_PCA_Mechanics!J30)^2)</f>
        <v/>
      </c>
      <c r="D854">
        <f>INDEX(KMeans_6_2!AA2:AA51,A854)</f>
        <v/>
      </c>
      <c r="E854">
        <f>INDEX(KMeans_6_2!AA2:AA51,B854)</f>
        <v/>
      </c>
      <c r="O854">
        <f>IF(OR(AND(D854=1,E854=2),AND(D854=2,E854=1)),C854,"")</f>
        <v/>
      </c>
      <c r="P854">
        <f>IF(OR(AND(D854=1,E854=3),AND(D854=3,E854=1)),C854,"")</f>
        <v/>
      </c>
      <c r="Q854">
        <f>IF(OR(AND(D854=2,E854=3),AND(D854=3,E854=2)),C854,"")</f>
        <v/>
      </c>
    </row>
    <row r="855">
      <c r="A855" t="n">
        <v>23</v>
      </c>
      <c r="B855" t="n">
        <v>30</v>
      </c>
      <c r="C855">
        <f>SQRT((Scale_PCA_Mechanics!G24-Scale_PCA_Mechanics!G31)^2+(Scale_PCA_Mechanics!H24-Scale_PCA_Mechanics!H31)^2+(Scale_PCA_Mechanics!I24-Scale_PCA_Mechanics!I31)^2+(Scale_PCA_Mechanics!J24-Scale_PCA_Mechanics!J31)^2)</f>
        <v/>
      </c>
      <c r="D855">
        <f>INDEX(KMeans_6_2!AA2:AA51,A855)</f>
        <v/>
      </c>
      <c r="E855">
        <f>INDEX(KMeans_6_2!AA2:AA51,B855)</f>
        <v/>
      </c>
      <c r="O855">
        <f>IF(OR(AND(D855=1,E855=2),AND(D855=2,E855=1)),C855,"")</f>
        <v/>
      </c>
      <c r="P855">
        <f>IF(OR(AND(D855=1,E855=3),AND(D855=3,E855=1)),C855,"")</f>
        <v/>
      </c>
      <c r="Q855">
        <f>IF(OR(AND(D855=2,E855=3),AND(D855=3,E855=2)),C855,"")</f>
        <v/>
      </c>
    </row>
    <row r="856">
      <c r="A856" t="n">
        <v>23</v>
      </c>
      <c r="B856" t="n">
        <v>31</v>
      </c>
      <c r="C856">
        <f>SQRT((Scale_PCA_Mechanics!G24-Scale_PCA_Mechanics!G32)^2+(Scale_PCA_Mechanics!H24-Scale_PCA_Mechanics!H32)^2+(Scale_PCA_Mechanics!I24-Scale_PCA_Mechanics!I32)^2+(Scale_PCA_Mechanics!J24-Scale_PCA_Mechanics!J32)^2)</f>
        <v/>
      </c>
      <c r="D856">
        <f>INDEX(KMeans_6_2!AA2:AA51,A856)</f>
        <v/>
      </c>
      <c r="E856">
        <f>INDEX(KMeans_6_2!AA2:AA51,B856)</f>
        <v/>
      </c>
      <c r="O856">
        <f>IF(OR(AND(D856=1,E856=2),AND(D856=2,E856=1)),C856,"")</f>
        <v/>
      </c>
      <c r="P856">
        <f>IF(OR(AND(D856=1,E856=3),AND(D856=3,E856=1)),C856,"")</f>
        <v/>
      </c>
      <c r="Q856">
        <f>IF(OR(AND(D856=2,E856=3),AND(D856=3,E856=2)),C856,"")</f>
        <v/>
      </c>
    </row>
    <row r="857">
      <c r="A857" t="n">
        <v>23</v>
      </c>
      <c r="B857" t="n">
        <v>32</v>
      </c>
      <c r="C857">
        <f>SQRT((Scale_PCA_Mechanics!G24-Scale_PCA_Mechanics!G33)^2+(Scale_PCA_Mechanics!H24-Scale_PCA_Mechanics!H33)^2+(Scale_PCA_Mechanics!I24-Scale_PCA_Mechanics!I33)^2+(Scale_PCA_Mechanics!J24-Scale_PCA_Mechanics!J33)^2)</f>
        <v/>
      </c>
      <c r="D857">
        <f>INDEX(KMeans_6_2!AA2:AA51,A857)</f>
        <v/>
      </c>
      <c r="E857">
        <f>INDEX(KMeans_6_2!AA2:AA51,B857)</f>
        <v/>
      </c>
      <c r="O857">
        <f>IF(OR(AND(D857=1,E857=2),AND(D857=2,E857=1)),C857,"")</f>
        <v/>
      </c>
      <c r="P857">
        <f>IF(OR(AND(D857=1,E857=3),AND(D857=3,E857=1)),C857,"")</f>
        <v/>
      </c>
      <c r="Q857">
        <f>IF(OR(AND(D857=2,E857=3),AND(D857=3,E857=2)),C857,"")</f>
        <v/>
      </c>
    </row>
    <row r="858">
      <c r="A858" t="n">
        <v>23</v>
      </c>
      <c r="B858" t="n">
        <v>33</v>
      </c>
      <c r="C858">
        <f>SQRT((Scale_PCA_Mechanics!G24-Scale_PCA_Mechanics!G34)^2+(Scale_PCA_Mechanics!H24-Scale_PCA_Mechanics!H34)^2+(Scale_PCA_Mechanics!I24-Scale_PCA_Mechanics!I34)^2+(Scale_PCA_Mechanics!J24-Scale_PCA_Mechanics!J34)^2)</f>
        <v/>
      </c>
      <c r="D858">
        <f>INDEX(KMeans_6_2!AA2:AA51,A858)</f>
        <v/>
      </c>
      <c r="E858">
        <f>INDEX(KMeans_6_2!AA2:AA51,B858)</f>
        <v/>
      </c>
      <c r="O858">
        <f>IF(OR(AND(D858=1,E858=2),AND(D858=2,E858=1)),C858,"")</f>
        <v/>
      </c>
      <c r="P858">
        <f>IF(OR(AND(D858=1,E858=3),AND(D858=3,E858=1)),C858,"")</f>
        <v/>
      </c>
      <c r="Q858">
        <f>IF(OR(AND(D858=2,E858=3),AND(D858=3,E858=2)),C858,"")</f>
        <v/>
      </c>
    </row>
    <row r="859">
      <c r="A859" t="n">
        <v>23</v>
      </c>
      <c r="B859" t="n">
        <v>34</v>
      </c>
      <c r="C859">
        <f>SQRT((Scale_PCA_Mechanics!G24-Scale_PCA_Mechanics!G35)^2+(Scale_PCA_Mechanics!H24-Scale_PCA_Mechanics!H35)^2+(Scale_PCA_Mechanics!I24-Scale_PCA_Mechanics!I35)^2+(Scale_PCA_Mechanics!J24-Scale_PCA_Mechanics!J35)^2)</f>
        <v/>
      </c>
      <c r="D859">
        <f>INDEX(KMeans_6_2!AA2:AA51,A859)</f>
        <v/>
      </c>
      <c r="E859">
        <f>INDEX(KMeans_6_2!AA2:AA51,B859)</f>
        <v/>
      </c>
      <c r="O859">
        <f>IF(OR(AND(D859=1,E859=2),AND(D859=2,E859=1)),C859,"")</f>
        <v/>
      </c>
      <c r="P859">
        <f>IF(OR(AND(D859=1,E859=3),AND(D859=3,E859=1)),C859,"")</f>
        <v/>
      </c>
      <c r="Q859">
        <f>IF(OR(AND(D859=2,E859=3),AND(D859=3,E859=2)),C859,"")</f>
        <v/>
      </c>
    </row>
    <row r="860">
      <c r="A860" t="n">
        <v>23</v>
      </c>
      <c r="B860" t="n">
        <v>35</v>
      </c>
      <c r="C860">
        <f>SQRT((Scale_PCA_Mechanics!G24-Scale_PCA_Mechanics!G36)^2+(Scale_PCA_Mechanics!H24-Scale_PCA_Mechanics!H36)^2+(Scale_PCA_Mechanics!I24-Scale_PCA_Mechanics!I36)^2+(Scale_PCA_Mechanics!J24-Scale_PCA_Mechanics!J36)^2)</f>
        <v/>
      </c>
      <c r="D860">
        <f>INDEX(KMeans_6_2!AA2:AA51,A860)</f>
        <v/>
      </c>
      <c r="E860">
        <f>INDEX(KMeans_6_2!AA2:AA51,B860)</f>
        <v/>
      </c>
      <c r="O860">
        <f>IF(OR(AND(D860=1,E860=2),AND(D860=2,E860=1)),C860,"")</f>
        <v/>
      </c>
      <c r="P860">
        <f>IF(OR(AND(D860=1,E860=3),AND(D860=3,E860=1)),C860,"")</f>
        <v/>
      </c>
      <c r="Q860">
        <f>IF(OR(AND(D860=2,E860=3),AND(D860=3,E860=2)),C860,"")</f>
        <v/>
      </c>
    </row>
    <row r="861">
      <c r="A861" t="n">
        <v>23</v>
      </c>
      <c r="B861" t="n">
        <v>36</v>
      </c>
      <c r="C861">
        <f>SQRT((Scale_PCA_Mechanics!G24-Scale_PCA_Mechanics!G37)^2+(Scale_PCA_Mechanics!H24-Scale_PCA_Mechanics!H37)^2+(Scale_PCA_Mechanics!I24-Scale_PCA_Mechanics!I37)^2+(Scale_PCA_Mechanics!J24-Scale_PCA_Mechanics!J37)^2)</f>
        <v/>
      </c>
      <c r="D861">
        <f>INDEX(KMeans_6_2!AA2:AA51,A861)</f>
        <v/>
      </c>
      <c r="E861">
        <f>INDEX(KMeans_6_2!AA2:AA51,B861)</f>
        <v/>
      </c>
      <c r="O861">
        <f>IF(OR(AND(D861=1,E861=2),AND(D861=2,E861=1)),C861,"")</f>
        <v/>
      </c>
      <c r="P861">
        <f>IF(OR(AND(D861=1,E861=3),AND(D861=3,E861=1)),C861,"")</f>
        <v/>
      </c>
      <c r="Q861">
        <f>IF(OR(AND(D861=2,E861=3),AND(D861=3,E861=2)),C861,"")</f>
        <v/>
      </c>
    </row>
    <row r="862">
      <c r="A862" t="n">
        <v>23</v>
      </c>
      <c r="B862" t="n">
        <v>37</v>
      </c>
      <c r="C862">
        <f>SQRT((Scale_PCA_Mechanics!G24-Scale_PCA_Mechanics!G38)^2+(Scale_PCA_Mechanics!H24-Scale_PCA_Mechanics!H38)^2+(Scale_PCA_Mechanics!I24-Scale_PCA_Mechanics!I38)^2+(Scale_PCA_Mechanics!J24-Scale_PCA_Mechanics!J38)^2)</f>
        <v/>
      </c>
      <c r="D862">
        <f>INDEX(KMeans_6_2!AA2:AA51,A862)</f>
        <v/>
      </c>
      <c r="E862">
        <f>INDEX(KMeans_6_2!AA2:AA51,B862)</f>
        <v/>
      </c>
      <c r="O862">
        <f>IF(OR(AND(D862=1,E862=2),AND(D862=2,E862=1)),C862,"")</f>
        <v/>
      </c>
      <c r="P862">
        <f>IF(OR(AND(D862=1,E862=3),AND(D862=3,E862=1)),C862,"")</f>
        <v/>
      </c>
      <c r="Q862">
        <f>IF(OR(AND(D862=2,E862=3),AND(D862=3,E862=2)),C862,"")</f>
        <v/>
      </c>
    </row>
    <row r="863">
      <c r="A863" t="n">
        <v>23</v>
      </c>
      <c r="B863" t="n">
        <v>38</v>
      </c>
      <c r="C863">
        <f>SQRT((Scale_PCA_Mechanics!G24-Scale_PCA_Mechanics!G39)^2+(Scale_PCA_Mechanics!H24-Scale_PCA_Mechanics!H39)^2+(Scale_PCA_Mechanics!I24-Scale_PCA_Mechanics!I39)^2+(Scale_PCA_Mechanics!J24-Scale_PCA_Mechanics!J39)^2)</f>
        <v/>
      </c>
      <c r="D863">
        <f>INDEX(KMeans_6_2!AA2:AA51,A863)</f>
        <v/>
      </c>
      <c r="E863">
        <f>INDEX(KMeans_6_2!AA2:AA51,B863)</f>
        <v/>
      </c>
      <c r="O863">
        <f>IF(OR(AND(D863=1,E863=2),AND(D863=2,E863=1)),C863,"")</f>
        <v/>
      </c>
      <c r="P863">
        <f>IF(OR(AND(D863=1,E863=3),AND(D863=3,E863=1)),C863,"")</f>
        <v/>
      </c>
      <c r="Q863">
        <f>IF(OR(AND(D863=2,E863=3),AND(D863=3,E863=2)),C863,"")</f>
        <v/>
      </c>
    </row>
    <row r="864">
      <c r="A864" t="n">
        <v>23</v>
      </c>
      <c r="B864" t="n">
        <v>39</v>
      </c>
      <c r="C864">
        <f>SQRT((Scale_PCA_Mechanics!G24-Scale_PCA_Mechanics!G40)^2+(Scale_PCA_Mechanics!H24-Scale_PCA_Mechanics!H40)^2+(Scale_PCA_Mechanics!I24-Scale_PCA_Mechanics!I40)^2+(Scale_PCA_Mechanics!J24-Scale_PCA_Mechanics!J40)^2)</f>
        <v/>
      </c>
      <c r="D864">
        <f>INDEX(KMeans_6_2!AA2:AA51,A864)</f>
        <v/>
      </c>
      <c r="E864">
        <f>INDEX(KMeans_6_2!AA2:AA51,B864)</f>
        <v/>
      </c>
      <c r="O864">
        <f>IF(OR(AND(D864=1,E864=2),AND(D864=2,E864=1)),C864,"")</f>
        <v/>
      </c>
      <c r="P864">
        <f>IF(OR(AND(D864=1,E864=3),AND(D864=3,E864=1)),C864,"")</f>
        <v/>
      </c>
      <c r="Q864">
        <f>IF(OR(AND(D864=2,E864=3),AND(D864=3,E864=2)),C864,"")</f>
        <v/>
      </c>
    </row>
    <row r="865">
      <c r="A865" t="n">
        <v>23</v>
      </c>
      <c r="B865" t="n">
        <v>40</v>
      </c>
      <c r="C865">
        <f>SQRT((Scale_PCA_Mechanics!G24-Scale_PCA_Mechanics!G41)^2+(Scale_PCA_Mechanics!H24-Scale_PCA_Mechanics!H41)^2+(Scale_PCA_Mechanics!I24-Scale_PCA_Mechanics!I41)^2+(Scale_PCA_Mechanics!J24-Scale_PCA_Mechanics!J41)^2)</f>
        <v/>
      </c>
      <c r="D865">
        <f>INDEX(KMeans_6_2!AA2:AA51,A865)</f>
        <v/>
      </c>
      <c r="E865">
        <f>INDEX(KMeans_6_2!AA2:AA51,B865)</f>
        <v/>
      </c>
      <c r="O865">
        <f>IF(OR(AND(D865=1,E865=2),AND(D865=2,E865=1)),C865,"")</f>
        <v/>
      </c>
      <c r="P865">
        <f>IF(OR(AND(D865=1,E865=3),AND(D865=3,E865=1)),C865,"")</f>
        <v/>
      </c>
      <c r="Q865">
        <f>IF(OR(AND(D865=2,E865=3),AND(D865=3,E865=2)),C865,"")</f>
        <v/>
      </c>
    </row>
    <row r="866">
      <c r="A866" t="n">
        <v>23</v>
      </c>
      <c r="B866" t="n">
        <v>41</v>
      </c>
      <c r="C866">
        <f>SQRT((Scale_PCA_Mechanics!G24-Scale_PCA_Mechanics!G42)^2+(Scale_PCA_Mechanics!H24-Scale_PCA_Mechanics!H42)^2+(Scale_PCA_Mechanics!I24-Scale_PCA_Mechanics!I42)^2+(Scale_PCA_Mechanics!J24-Scale_PCA_Mechanics!J42)^2)</f>
        <v/>
      </c>
      <c r="D866">
        <f>INDEX(KMeans_6_2!AA2:AA51,A866)</f>
        <v/>
      </c>
      <c r="E866">
        <f>INDEX(KMeans_6_2!AA2:AA51,B866)</f>
        <v/>
      </c>
      <c r="O866">
        <f>IF(OR(AND(D866=1,E866=2),AND(D866=2,E866=1)),C866,"")</f>
        <v/>
      </c>
      <c r="P866">
        <f>IF(OR(AND(D866=1,E866=3),AND(D866=3,E866=1)),C866,"")</f>
        <v/>
      </c>
      <c r="Q866">
        <f>IF(OR(AND(D866=2,E866=3),AND(D866=3,E866=2)),C866,"")</f>
        <v/>
      </c>
    </row>
    <row r="867">
      <c r="A867" t="n">
        <v>23</v>
      </c>
      <c r="B867" t="n">
        <v>42</v>
      </c>
      <c r="C867">
        <f>SQRT((Scale_PCA_Mechanics!G24-Scale_PCA_Mechanics!G43)^2+(Scale_PCA_Mechanics!H24-Scale_PCA_Mechanics!H43)^2+(Scale_PCA_Mechanics!I24-Scale_PCA_Mechanics!I43)^2+(Scale_PCA_Mechanics!J24-Scale_PCA_Mechanics!J43)^2)</f>
        <v/>
      </c>
      <c r="D867">
        <f>INDEX(KMeans_6_2!AA2:AA51,A867)</f>
        <v/>
      </c>
      <c r="E867">
        <f>INDEX(KMeans_6_2!AA2:AA51,B867)</f>
        <v/>
      </c>
      <c r="O867">
        <f>IF(OR(AND(D867=1,E867=2),AND(D867=2,E867=1)),C867,"")</f>
        <v/>
      </c>
      <c r="P867">
        <f>IF(OR(AND(D867=1,E867=3),AND(D867=3,E867=1)),C867,"")</f>
        <v/>
      </c>
      <c r="Q867">
        <f>IF(OR(AND(D867=2,E867=3),AND(D867=3,E867=2)),C867,"")</f>
        <v/>
      </c>
    </row>
    <row r="868">
      <c r="A868" t="n">
        <v>23</v>
      </c>
      <c r="B868" t="n">
        <v>43</v>
      </c>
      <c r="C868">
        <f>SQRT((Scale_PCA_Mechanics!G24-Scale_PCA_Mechanics!G44)^2+(Scale_PCA_Mechanics!H24-Scale_PCA_Mechanics!H44)^2+(Scale_PCA_Mechanics!I24-Scale_PCA_Mechanics!I44)^2+(Scale_PCA_Mechanics!J24-Scale_PCA_Mechanics!J44)^2)</f>
        <v/>
      </c>
      <c r="D868">
        <f>INDEX(KMeans_6_2!AA2:AA51,A868)</f>
        <v/>
      </c>
      <c r="E868">
        <f>INDEX(KMeans_6_2!AA2:AA51,B868)</f>
        <v/>
      </c>
      <c r="O868">
        <f>IF(OR(AND(D868=1,E868=2),AND(D868=2,E868=1)),C868,"")</f>
        <v/>
      </c>
      <c r="P868">
        <f>IF(OR(AND(D868=1,E868=3),AND(D868=3,E868=1)),C868,"")</f>
        <v/>
      </c>
      <c r="Q868">
        <f>IF(OR(AND(D868=2,E868=3),AND(D868=3,E868=2)),C868,"")</f>
        <v/>
      </c>
    </row>
    <row r="869">
      <c r="A869" t="n">
        <v>23</v>
      </c>
      <c r="B869" t="n">
        <v>44</v>
      </c>
      <c r="C869">
        <f>SQRT((Scale_PCA_Mechanics!G24-Scale_PCA_Mechanics!G45)^2+(Scale_PCA_Mechanics!H24-Scale_PCA_Mechanics!H45)^2+(Scale_PCA_Mechanics!I24-Scale_PCA_Mechanics!I45)^2+(Scale_PCA_Mechanics!J24-Scale_PCA_Mechanics!J45)^2)</f>
        <v/>
      </c>
      <c r="D869">
        <f>INDEX(KMeans_6_2!AA2:AA51,A869)</f>
        <v/>
      </c>
      <c r="E869">
        <f>INDEX(KMeans_6_2!AA2:AA51,B869)</f>
        <v/>
      </c>
      <c r="O869">
        <f>IF(OR(AND(D869=1,E869=2),AND(D869=2,E869=1)),C869,"")</f>
        <v/>
      </c>
      <c r="P869">
        <f>IF(OR(AND(D869=1,E869=3),AND(D869=3,E869=1)),C869,"")</f>
        <v/>
      </c>
      <c r="Q869">
        <f>IF(OR(AND(D869=2,E869=3),AND(D869=3,E869=2)),C869,"")</f>
        <v/>
      </c>
    </row>
    <row r="870">
      <c r="A870" t="n">
        <v>23</v>
      </c>
      <c r="B870" t="n">
        <v>45</v>
      </c>
      <c r="C870">
        <f>SQRT((Scale_PCA_Mechanics!G24-Scale_PCA_Mechanics!G46)^2+(Scale_PCA_Mechanics!H24-Scale_PCA_Mechanics!H46)^2+(Scale_PCA_Mechanics!I24-Scale_PCA_Mechanics!I46)^2+(Scale_PCA_Mechanics!J24-Scale_PCA_Mechanics!J46)^2)</f>
        <v/>
      </c>
      <c r="D870">
        <f>INDEX(KMeans_6_2!AA2:AA51,A870)</f>
        <v/>
      </c>
      <c r="E870">
        <f>INDEX(KMeans_6_2!AA2:AA51,B870)</f>
        <v/>
      </c>
      <c r="O870">
        <f>IF(OR(AND(D870=1,E870=2),AND(D870=2,E870=1)),C870,"")</f>
        <v/>
      </c>
      <c r="P870">
        <f>IF(OR(AND(D870=1,E870=3),AND(D870=3,E870=1)),C870,"")</f>
        <v/>
      </c>
      <c r="Q870">
        <f>IF(OR(AND(D870=2,E870=3),AND(D870=3,E870=2)),C870,"")</f>
        <v/>
      </c>
    </row>
    <row r="871">
      <c r="A871" t="n">
        <v>23</v>
      </c>
      <c r="B871" t="n">
        <v>46</v>
      </c>
      <c r="C871">
        <f>SQRT((Scale_PCA_Mechanics!G24-Scale_PCA_Mechanics!G47)^2+(Scale_PCA_Mechanics!H24-Scale_PCA_Mechanics!H47)^2+(Scale_PCA_Mechanics!I24-Scale_PCA_Mechanics!I47)^2+(Scale_PCA_Mechanics!J24-Scale_PCA_Mechanics!J47)^2)</f>
        <v/>
      </c>
      <c r="D871">
        <f>INDEX(KMeans_6_2!AA2:AA51,A871)</f>
        <v/>
      </c>
      <c r="E871">
        <f>INDEX(KMeans_6_2!AA2:AA51,B871)</f>
        <v/>
      </c>
      <c r="O871">
        <f>IF(OR(AND(D871=1,E871=2),AND(D871=2,E871=1)),C871,"")</f>
        <v/>
      </c>
      <c r="P871">
        <f>IF(OR(AND(D871=1,E871=3),AND(D871=3,E871=1)),C871,"")</f>
        <v/>
      </c>
      <c r="Q871">
        <f>IF(OR(AND(D871=2,E871=3),AND(D871=3,E871=2)),C871,"")</f>
        <v/>
      </c>
    </row>
    <row r="872">
      <c r="A872" t="n">
        <v>23</v>
      </c>
      <c r="B872" t="n">
        <v>47</v>
      </c>
      <c r="C872">
        <f>SQRT((Scale_PCA_Mechanics!G24-Scale_PCA_Mechanics!G48)^2+(Scale_PCA_Mechanics!H24-Scale_PCA_Mechanics!H48)^2+(Scale_PCA_Mechanics!I24-Scale_PCA_Mechanics!I48)^2+(Scale_PCA_Mechanics!J24-Scale_PCA_Mechanics!J48)^2)</f>
        <v/>
      </c>
      <c r="D872">
        <f>INDEX(KMeans_6_2!AA2:AA51,A872)</f>
        <v/>
      </c>
      <c r="E872">
        <f>INDEX(KMeans_6_2!AA2:AA51,B872)</f>
        <v/>
      </c>
      <c r="O872">
        <f>IF(OR(AND(D872=1,E872=2),AND(D872=2,E872=1)),C872,"")</f>
        <v/>
      </c>
      <c r="P872">
        <f>IF(OR(AND(D872=1,E872=3),AND(D872=3,E872=1)),C872,"")</f>
        <v/>
      </c>
      <c r="Q872">
        <f>IF(OR(AND(D872=2,E872=3),AND(D872=3,E872=2)),C872,"")</f>
        <v/>
      </c>
    </row>
    <row r="873">
      <c r="A873" t="n">
        <v>23</v>
      </c>
      <c r="B873" t="n">
        <v>48</v>
      </c>
      <c r="C873">
        <f>SQRT((Scale_PCA_Mechanics!G24-Scale_PCA_Mechanics!G49)^2+(Scale_PCA_Mechanics!H24-Scale_PCA_Mechanics!H49)^2+(Scale_PCA_Mechanics!I24-Scale_PCA_Mechanics!I49)^2+(Scale_PCA_Mechanics!J24-Scale_PCA_Mechanics!J49)^2)</f>
        <v/>
      </c>
      <c r="D873">
        <f>INDEX(KMeans_6_2!AA2:AA51,A873)</f>
        <v/>
      </c>
      <c r="E873">
        <f>INDEX(KMeans_6_2!AA2:AA51,B873)</f>
        <v/>
      </c>
      <c r="O873">
        <f>IF(OR(AND(D873=1,E873=2),AND(D873=2,E873=1)),C873,"")</f>
        <v/>
      </c>
      <c r="P873">
        <f>IF(OR(AND(D873=1,E873=3),AND(D873=3,E873=1)),C873,"")</f>
        <v/>
      </c>
      <c r="Q873">
        <f>IF(OR(AND(D873=2,E873=3),AND(D873=3,E873=2)),C873,"")</f>
        <v/>
      </c>
    </row>
    <row r="874">
      <c r="A874" t="n">
        <v>23</v>
      </c>
      <c r="B874" t="n">
        <v>49</v>
      </c>
      <c r="C874">
        <f>SQRT((Scale_PCA_Mechanics!G24-Scale_PCA_Mechanics!G50)^2+(Scale_PCA_Mechanics!H24-Scale_PCA_Mechanics!H50)^2+(Scale_PCA_Mechanics!I24-Scale_PCA_Mechanics!I50)^2+(Scale_PCA_Mechanics!J24-Scale_PCA_Mechanics!J50)^2)</f>
        <v/>
      </c>
      <c r="D874">
        <f>INDEX(KMeans_6_2!AA2:AA51,A874)</f>
        <v/>
      </c>
      <c r="E874">
        <f>INDEX(KMeans_6_2!AA2:AA51,B874)</f>
        <v/>
      </c>
      <c r="O874">
        <f>IF(OR(AND(D874=1,E874=2),AND(D874=2,E874=1)),C874,"")</f>
        <v/>
      </c>
      <c r="P874">
        <f>IF(OR(AND(D874=1,E874=3),AND(D874=3,E874=1)),C874,"")</f>
        <v/>
      </c>
      <c r="Q874">
        <f>IF(OR(AND(D874=2,E874=3),AND(D874=3,E874=2)),C874,"")</f>
        <v/>
      </c>
    </row>
    <row r="875">
      <c r="A875" t="n">
        <v>23</v>
      </c>
      <c r="B875" t="n">
        <v>50</v>
      </c>
      <c r="C875">
        <f>SQRT((Scale_PCA_Mechanics!G24-Scale_PCA_Mechanics!G51)^2+(Scale_PCA_Mechanics!H24-Scale_PCA_Mechanics!H51)^2+(Scale_PCA_Mechanics!I24-Scale_PCA_Mechanics!I51)^2+(Scale_PCA_Mechanics!J24-Scale_PCA_Mechanics!J51)^2)</f>
        <v/>
      </c>
      <c r="D875">
        <f>INDEX(KMeans_6_2!AA2:AA51,A875)</f>
        <v/>
      </c>
      <c r="E875">
        <f>INDEX(KMeans_6_2!AA2:AA51,B875)</f>
        <v/>
      </c>
      <c r="O875">
        <f>IF(OR(AND(D875=1,E875=2),AND(D875=2,E875=1)),C875,"")</f>
        <v/>
      </c>
      <c r="P875">
        <f>IF(OR(AND(D875=1,E875=3),AND(D875=3,E875=1)),C875,"")</f>
        <v/>
      </c>
      <c r="Q875">
        <f>IF(OR(AND(D875=2,E875=3),AND(D875=3,E875=2)),C875,"")</f>
        <v/>
      </c>
    </row>
    <row r="876">
      <c r="A876" t="n">
        <v>24</v>
      </c>
      <c r="B876" t="n">
        <v>25</v>
      </c>
      <c r="C876">
        <f>SQRT((Scale_PCA_Mechanics!G25-Scale_PCA_Mechanics!G26)^2+(Scale_PCA_Mechanics!H25-Scale_PCA_Mechanics!H26)^2+(Scale_PCA_Mechanics!I25-Scale_PCA_Mechanics!I26)^2+(Scale_PCA_Mechanics!J25-Scale_PCA_Mechanics!J26)^2)</f>
        <v/>
      </c>
      <c r="D876">
        <f>INDEX(KMeans_6_2!AA2:AA51,A876)</f>
        <v/>
      </c>
      <c r="E876">
        <f>INDEX(KMeans_6_2!AA2:AA51,B876)</f>
        <v/>
      </c>
      <c r="O876">
        <f>IF(OR(AND(D876=1,E876=2),AND(D876=2,E876=1)),C876,"")</f>
        <v/>
      </c>
      <c r="P876">
        <f>IF(OR(AND(D876=1,E876=3),AND(D876=3,E876=1)),C876,"")</f>
        <v/>
      </c>
      <c r="Q876">
        <f>IF(OR(AND(D876=2,E876=3),AND(D876=3,E876=2)),C876,"")</f>
        <v/>
      </c>
    </row>
    <row r="877">
      <c r="A877" t="n">
        <v>24</v>
      </c>
      <c r="B877" t="n">
        <v>26</v>
      </c>
      <c r="C877">
        <f>SQRT((Scale_PCA_Mechanics!G25-Scale_PCA_Mechanics!G27)^2+(Scale_PCA_Mechanics!H25-Scale_PCA_Mechanics!H27)^2+(Scale_PCA_Mechanics!I25-Scale_PCA_Mechanics!I27)^2+(Scale_PCA_Mechanics!J25-Scale_PCA_Mechanics!J27)^2)</f>
        <v/>
      </c>
      <c r="D877">
        <f>INDEX(KMeans_6_2!AA2:AA51,A877)</f>
        <v/>
      </c>
      <c r="E877">
        <f>INDEX(KMeans_6_2!AA2:AA51,B877)</f>
        <v/>
      </c>
      <c r="O877">
        <f>IF(OR(AND(D877=1,E877=2),AND(D877=2,E877=1)),C877,"")</f>
        <v/>
      </c>
      <c r="P877">
        <f>IF(OR(AND(D877=1,E877=3),AND(D877=3,E877=1)),C877,"")</f>
        <v/>
      </c>
      <c r="Q877">
        <f>IF(OR(AND(D877=2,E877=3),AND(D877=3,E877=2)),C877,"")</f>
        <v/>
      </c>
    </row>
    <row r="878">
      <c r="A878" t="n">
        <v>24</v>
      </c>
      <c r="B878" t="n">
        <v>27</v>
      </c>
      <c r="C878">
        <f>SQRT((Scale_PCA_Mechanics!G25-Scale_PCA_Mechanics!G28)^2+(Scale_PCA_Mechanics!H25-Scale_PCA_Mechanics!H28)^2+(Scale_PCA_Mechanics!I25-Scale_PCA_Mechanics!I28)^2+(Scale_PCA_Mechanics!J25-Scale_PCA_Mechanics!J28)^2)</f>
        <v/>
      </c>
      <c r="D878">
        <f>INDEX(KMeans_6_2!AA2:AA51,A878)</f>
        <v/>
      </c>
      <c r="E878">
        <f>INDEX(KMeans_6_2!AA2:AA51,B878)</f>
        <v/>
      </c>
      <c r="O878">
        <f>IF(OR(AND(D878=1,E878=2),AND(D878=2,E878=1)),C878,"")</f>
        <v/>
      </c>
      <c r="P878">
        <f>IF(OR(AND(D878=1,E878=3),AND(D878=3,E878=1)),C878,"")</f>
        <v/>
      </c>
      <c r="Q878">
        <f>IF(OR(AND(D878=2,E878=3),AND(D878=3,E878=2)),C878,"")</f>
        <v/>
      </c>
    </row>
    <row r="879">
      <c r="A879" t="n">
        <v>24</v>
      </c>
      <c r="B879" t="n">
        <v>28</v>
      </c>
      <c r="C879">
        <f>SQRT((Scale_PCA_Mechanics!G25-Scale_PCA_Mechanics!G29)^2+(Scale_PCA_Mechanics!H25-Scale_PCA_Mechanics!H29)^2+(Scale_PCA_Mechanics!I25-Scale_PCA_Mechanics!I29)^2+(Scale_PCA_Mechanics!J25-Scale_PCA_Mechanics!J29)^2)</f>
        <v/>
      </c>
      <c r="D879">
        <f>INDEX(KMeans_6_2!AA2:AA51,A879)</f>
        <v/>
      </c>
      <c r="E879">
        <f>INDEX(KMeans_6_2!AA2:AA51,B879)</f>
        <v/>
      </c>
      <c r="O879">
        <f>IF(OR(AND(D879=1,E879=2),AND(D879=2,E879=1)),C879,"")</f>
        <v/>
      </c>
      <c r="P879">
        <f>IF(OR(AND(D879=1,E879=3),AND(D879=3,E879=1)),C879,"")</f>
        <v/>
      </c>
      <c r="Q879">
        <f>IF(OR(AND(D879=2,E879=3),AND(D879=3,E879=2)),C879,"")</f>
        <v/>
      </c>
    </row>
    <row r="880">
      <c r="A880" t="n">
        <v>24</v>
      </c>
      <c r="B880" t="n">
        <v>29</v>
      </c>
      <c r="C880">
        <f>SQRT((Scale_PCA_Mechanics!G25-Scale_PCA_Mechanics!G30)^2+(Scale_PCA_Mechanics!H25-Scale_PCA_Mechanics!H30)^2+(Scale_PCA_Mechanics!I25-Scale_PCA_Mechanics!I30)^2+(Scale_PCA_Mechanics!J25-Scale_PCA_Mechanics!J30)^2)</f>
        <v/>
      </c>
      <c r="D880">
        <f>INDEX(KMeans_6_2!AA2:AA51,A880)</f>
        <v/>
      </c>
      <c r="E880">
        <f>INDEX(KMeans_6_2!AA2:AA51,B880)</f>
        <v/>
      </c>
      <c r="O880">
        <f>IF(OR(AND(D880=1,E880=2),AND(D880=2,E880=1)),C880,"")</f>
        <v/>
      </c>
      <c r="P880">
        <f>IF(OR(AND(D880=1,E880=3),AND(D880=3,E880=1)),C880,"")</f>
        <v/>
      </c>
      <c r="Q880">
        <f>IF(OR(AND(D880=2,E880=3),AND(D880=3,E880=2)),C880,"")</f>
        <v/>
      </c>
    </row>
    <row r="881">
      <c r="A881" t="n">
        <v>24</v>
      </c>
      <c r="B881" t="n">
        <v>30</v>
      </c>
      <c r="C881">
        <f>SQRT((Scale_PCA_Mechanics!G25-Scale_PCA_Mechanics!G31)^2+(Scale_PCA_Mechanics!H25-Scale_PCA_Mechanics!H31)^2+(Scale_PCA_Mechanics!I25-Scale_PCA_Mechanics!I31)^2+(Scale_PCA_Mechanics!J25-Scale_PCA_Mechanics!J31)^2)</f>
        <v/>
      </c>
      <c r="D881">
        <f>INDEX(KMeans_6_2!AA2:AA51,A881)</f>
        <v/>
      </c>
      <c r="E881">
        <f>INDEX(KMeans_6_2!AA2:AA51,B881)</f>
        <v/>
      </c>
      <c r="O881">
        <f>IF(OR(AND(D881=1,E881=2),AND(D881=2,E881=1)),C881,"")</f>
        <v/>
      </c>
      <c r="P881">
        <f>IF(OR(AND(D881=1,E881=3),AND(D881=3,E881=1)),C881,"")</f>
        <v/>
      </c>
      <c r="Q881">
        <f>IF(OR(AND(D881=2,E881=3),AND(D881=3,E881=2)),C881,"")</f>
        <v/>
      </c>
    </row>
    <row r="882">
      <c r="A882" t="n">
        <v>24</v>
      </c>
      <c r="B882" t="n">
        <v>31</v>
      </c>
      <c r="C882">
        <f>SQRT((Scale_PCA_Mechanics!G25-Scale_PCA_Mechanics!G32)^2+(Scale_PCA_Mechanics!H25-Scale_PCA_Mechanics!H32)^2+(Scale_PCA_Mechanics!I25-Scale_PCA_Mechanics!I32)^2+(Scale_PCA_Mechanics!J25-Scale_PCA_Mechanics!J32)^2)</f>
        <v/>
      </c>
      <c r="D882">
        <f>INDEX(KMeans_6_2!AA2:AA51,A882)</f>
        <v/>
      </c>
      <c r="E882">
        <f>INDEX(KMeans_6_2!AA2:AA51,B882)</f>
        <v/>
      </c>
      <c r="O882">
        <f>IF(OR(AND(D882=1,E882=2),AND(D882=2,E882=1)),C882,"")</f>
        <v/>
      </c>
      <c r="P882">
        <f>IF(OR(AND(D882=1,E882=3),AND(D882=3,E882=1)),C882,"")</f>
        <v/>
      </c>
      <c r="Q882">
        <f>IF(OR(AND(D882=2,E882=3),AND(D882=3,E882=2)),C882,"")</f>
        <v/>
      </c>
    </row>
    <row r="883">
      <c r="A883" t="n">
        <v>24</v>
      </c>
      <c r="B883" t="n">
        <v>32</v>
      </c>
      <c r="C883">
        <f>SQRT((Scale_PCA_Mechanics!G25-Scale_PCA_Mechanics!G33)^2+(Scale_PCA_Mechanics!H25-Scale_PCA_Mechanics!H33)^2+(Scale_PCA_Mechanics!I25-Scale_PCA_Mechanics!I33)^2+(Scale_PCA_Mechanics!J25-Scale_PCA_Mechanics!J33)^2)</f>
        <v/>
      </c>
      <c r="D883">
        <f>INDEX(KMeans_6_2!AA2:AA51,A883)</f>
        <v/>
      </c>
      <c r="E883">
        <f>INDEX(KMeans_6_2!AA2:AA51,B883)</f>
        <v/>
      </c>
      <c r="O883">
        <f>IF(OR(AND(D883=1,E883=2),AND(D883=2,E883=1)),C883,"")</f>
        <v/>
      </c>
      <c r="P883">
        <f>IF(OR(AND(D883=1,E883=3),AND(D883=3,E883=1)),C883,"")</f>
        <v/>
      </c>
      <c r="Q883">
        <f>IF(OR(AND(D883=2,E883=3),AND(D883=3,E883=2)),C883,"")</f>
        <v/>
      </c>
    </row>
    <row r="884">
      <c r="A884" t="n">
        <v>24</v>
      </c>
      <c r="B884" t="n">
        <v>33</v>
      </c>
      <c r="C884">
        <f>SQRT((Scale_PCA_Mechanics!G25-Scale_PCA_Mechanics!G34)^2+(Scale_PCA_Mechanics!H25-Scale_PCA_Mechanics!H34)^2+(Scale_PCA_Mechanics!I25-Scale_PCA_Mechanics!I34)^2+(Scale_PCA_Mechanics!J25-Scale_PCA_Mechanics!J34)^2)</f>
        <v/>
      </c>
      <c r="D884">
        <f>INDEX(KMeans_6_2!AA2:AA51,A884)</f>
        <v/>
      </c>
      <c r="E884">
        <f>INDEX(KMeans_6_2!AA2:AA51,B884)</f>
        <v/>
      </c>
      <c r="O884">
        <f>IF(OR(AND(D884=1,E884=2),AND(D884=2,E884=1)),C884,"")</f>
        <v/>
      </c>
      <c r="P884">
        <f>IF(OR(AND(D884=1,E884=3),AND(D884=3,E884=1)),C884,"")</f>
        <v/>
      </c>
      <c r="Q884">
        <f>IF(OR(AND(D884=2,E884=3),AND(D884=3,E884=2)),C884,"")</f>
        <v/>
      </c>
    </row>
    <row r="885">
      <c r="A885" t="n">
        <v>24</v>
      </c>
      <c r="B885" t="n">
        <v>34</v>
      </c>
      <c r="C885">
        <f>SQRT((Scale_PCA_Mechanics!G25-Scale_PCA_Mechanics!G35)^2+(Scale_PCA_Mechanics!H25-Scale_PCA_Mechanics!H35)^2+(Scale_PCA_Mechanics!I25-Scale_PCA_Mechanics!I35)^2+(Scale_PCA_Mechanics!J25-Scale_PCA_Mechanics!J35)^2)</f>
        <v/>
      </c>
      <c r="D885">
        <f>INDEX(KMeans_6_2!AA2:AA51,A885)</f>
        <v/>
      </c>
      <c r="E885">
        <f>INDEX(KMeans_6_2!AA2:AA51,B885)</f>
        <v/>
      </c>
      <c r="O885">
        <f>IF(OR(AND(D885=1,E885=2),AND(D885=2,E885=1)),C885,"")</f>
        <v/>
      </c>
      <c r="P885">
        <f>IF(OR(AND(D885=1,E885=3),AND(D885=3,E885=1)),C885,"")</f>
        <v/>
      </c>
      <c r="Q885">
        <f>IF(OR(AND(D885=2,E885=3),AND(D885=3,E885=2)),C885,"")</f>
        <v/>
      </c>
    </row>
    <row r="886">
      <c r="A886" t="n">
        <v>24</v>
      </c>
      <c r="B886" t="n">
        <v>35</v>
      </c>
      <c r="C886">
        <f>SQRT((Scale_PCA_Mechanics!G25-Scale_PCA_Mechanics!G36)^2+(Scale_PCA_Mechanics!H25-Scale_PCA_Mechanics!H36)^2+(Scale_PCA_Mechanics!I25-Scale_PCA_Mechanics!I36)^2+(Scale_PCA_Mechanics!J25-Scale_PCA_Mechanics!J36)^2)</f>
        <v/>
      </c>
      <c r="D886">
        <f>INDEX(KMeans_6_2!AA2:AA51,A886)</f>
        <v/>
      </c>
      <c r="E886">
        <f>INDEX(KMeans_6_2!AA2:AA51,B886)</f>
        <v/>
      </c>
      <c r="O886">
        <f>IF(OR(AND(D886=1,E886=2),AND(D886=2,E886=1)),C886,"")</f>
        <v/>
      </c>
      <c r="P886">
        <f>IF(OR(AND(D886=1,E886=3),AND(D886=3,E886=1)),C886,"")</f>
        <v/>
      </c>
      <c r="Q886">
        <f>IF(OR(AND(D886=2,E886=3),AND(D886=3,E886=2)),C886,"")</f>
        <v/>
      </c>
    </row>
    <row r="887">
      <c r="A887" t="n">
        <v>24</v>
      </c>
      <c r="B887" t="n">
        <v>36</v>
      </c>
      <c r="C887">
        <f>SQRT((Scale_PCA_Mechanics!G25-Scale_PCA_Mechanics!G37)^2+(Scale_PCA_Mechanics!H25-Scale_PCA_Mechanics!H37)^2+(Scale_PCA_Mechanics!I25-Scale_PCA_Mechanics!I37)^2+(Scale_PCA_Mechanics!J25-Scale_PCA_Mechanics!J37)^2)</f>
        <v/>
      </c>
      <c r="D887">
        <f>INDEX(KMeans_6_2!AA2:AA51,A887)</f>
        <v/>
      </c>
      <c r="E887">
        <f>INDEX(KMeans_6_2!AA2:AA51,B887)</f>
        <v/>
      </c>
      <c r="O887">
        <f>IF(OR(AND(D887=1,E887=2),AND(D887=2,E887=1)),C887,"")</f>
        <v/>
      </c>
      <c r="P887">
        <f>IF(OR(AND(D887=1,E887=3),AND(D887=3,E887=1)),C887,"")</f>
        <v/>
      </c>
      <c r="Q887">
        <f>IF(OR(AND(D887=2,E887=3),AND(D887=3,E887=2)),C887,"")</f>
        <v/>
      </c>
    </row>
    <row r="888">
      <c r="A888" t="n">
        <v>24</v>
      </c>
      <c r="B888" t="n">
        <v>37</v>
      </c>
      <c r="C888">
        <f>SQRT((Scale_PCA_Mechanics!G25-Scale_PCA_Mechanics!G38)^2+(Scale_PCA_Mechanics!H25-Scale_PCA_Mechanics!H38)^2+(Scale_PCA_Mechanics!I25-Scale_PCA_Mechanics!I38)^2+(Scale_PCA_Mechanics!J25-Scale_PCA_Mechanics!J38)^2)</f>
        <v/>
      </c>
      <c r="D888">
        <f>INDEX(KMeans_6_2!AA2:AA51,A888)</f>
        <v/>
      </c>
      <c r="E888">
        <f>INDEX(KMeans_6_2!AA2:AA51,B888)</f>
        <v/>
      </c>
      <c r="O888">
        <f>IF(OR(AND(D888=1,E888=2),AND(D888=2,E888=1)),C888,"")</f>
        <v/>
      </c>
      <c r="P888">
        <f>IF(OR(AND(D888=1,E888=3),AND(D888=3,E888=1)),C888,"")</f>
        <v/>
      </c>
      <c r="Q888">
        <f>IF(OR(AND(D888=2,E888=3),AND(D888=3,E888=2)),C888,"")</f>
        <v/>
      </c>
    </row>
    <row r="889">
      <c r="A889" t="n">
        <v>24</v>
      </c>
      <c r="B889" t="n">
        <v>38</v>
      </c>
      <c r="C889">
        <f>SQRT((Scale_PCA_Mechanics!G25-Scale_PCA_Mechanics!G39)^2+(Scale_PCA_Mechanics!H25-Scale_PCA_Mechanics!H39)^2+(Scale_PCA_Mechanics!I25-Scale_PCA_Mechanics!I39)^2+(Scale_PCA_Mechanics!J25-Scale_PCA_Mechanics!J39)^2)</f>
        <v/>
      </c>
      <c r="D889">
        <f>INDEX(KMeans_6_2!AA2:AA51,A889)</f>
        <v/>
      </c>
      <c r="E889">
        <f>INDEX(KMeans_6_2!AA2:AA51,B889)</f>
        <v/>
      </c>
      <c r="O889">
        <f>IF(OR(AND(D889=1,E889=2),AND(D889=2,E889=1)),C889,"")</f>
        <v/>
      </c>
      <c r="P889">
        <f>IF(OR(AND(D889=1,E889=3),AND(D889=3,E889=1)),C889,"")</f>
        <v/>
      </c>
      <c r="Q889">
        <f>IF(OR(AND(D889=2,E889=3),AND(D889=3,E889=2)),C889,"")</f>
        <v/>
      </c>
    </row>
    <row r="890">
      <c r="A890" t="n">
        <v>24</v>
      </c>
      <c r="B890" t="n">
        <v>39</v>
      </c>
      <c r="C890">
        <f>SQRT((Scale_PCA_Mechanics!G25-Scale_PCA_Mechanics!G40)^2+(Scale_PCA_Mechanics!H25-Scale_PCA_Mechanics!H40)^2+(Scale_PCA_Mechanics!I25-Scale_PCA_Mechanics!I40)^2+(Scale_PCA_Mechanics!J25-Scale_PCA_Mechanics!J40)^2)</f>
        <v/>
      </c>
      <c r="D890">
        <f>INDEX(KMeans_6_2!AA2:AA51,A890)</f>
        <v/>
      </c>
      <c r="E890">
        <f>INDEX(KMeans_6_2!AA2:AA51,B890)</f>
        <v/>
      </c>
      <c r="O890">
        <f>IF(OR(AND(D890=1,E890=2),AND(D890=2,E890=1)),C890,"")</f>
        <v/>
      </c>
      <c r="P890">
        <f>IF(OR(AND(D890=1,E890=3),AND(D890=3,E890=1)),C890,"")</f>
        <v/>
      </c>
      <c r="Q890">
        <f>IF(OR(AND(D890=2,E890=3),AND(D890=3,E890=2)),C890,"")</f>
        <v/>
      </c>
    </row>
    <row r="891">
      <c r="A891" t="n">
        <v>24</v>
      </c>
      <c r="B891" t="n">
        <v>40</v>
      </c>
      <c r="C891">
        <f>SQRT((Scale_PCA_Mechanics!G25-Scale_PCA_Mechanics!G41)^2+(Scale_PCA_Mechanics!H25-Scale_PCA_Mechanics!H41)^2+(Scale_PCA_Mechanics!I25-Scale_PCA_Mechanics!I41)^2+(Scale_PCA_Mechanics!J25-Scale_PCA_Mechanics!J41)^2)</f>
        <v/>
      </c>
      <c r="D891">
        <f>INDEX(KMeans_6_2!AA2:AA51,A891)</f>
        <v/>
      </c>
      <c r="E891">
        <f>INDEX(KMeans_6_2!AA2:AA51,B891)</f>
        <v/>
      </c>
      <c r="O891">
        <f>IF(OR(AND(D891=1,E891=2),AND(D891=2,E891=1)),C891,"")</f>
        <v/>
      </c>
      <c r="P891">
        <f>IF(OR(AND(D891=1,E891=3),AND(D891=3,E891=1)),C891,"")</f>
        <v/>
      </c>
      <c r="Q891">
        <f>IF(OR(AND(D891=2,E891=3),AND(D891=3,E891=2)),C891,"")</f>
        <v/>
      </c>
    </row>
    <row r="892">
      <c r="A892" t="n">
        <v>24</v>
      </c>
      <c r="B892" t="n">
        <v>41</v>
      </c>
      <c r="C892">
        <f>SQRT((Scale_PCA_Mechanics!G25-Scale_PCA_Mechanics!G42)^2+(Scale_PCA_Mechanics!H25-Scale_PCA_Mechanics!H42)^2+(Scale_PCA_Mechanics!I25-Scale_PCA_Mechanics!I42)^2+(Scale_PCA_Mechanics!J25-Scale_PCA_Mechanics!J42)^2)</f>
        <v/>
      </c>
      <c r="D892">
        <f>INDEX(KMeans_6_2!AA2:AA51,A892)</f>
        <v/>
      </c>
      <c r="E892">
        <f>INDEX(KMeans_6_2!AA2:AA51,B892)</f>
        <v/>
      </c>
      <c r="O892">
        <f>IF(OR(AND(D892=1,E892=2),AND(D892=2,E892=1)),C892,"")</f>
        <v/>
      </c>
      <c r="P892">
        <f>IF(OR(AND(D892=1,E892=3),AND(D892=3,E892=1)),C892,"")</f>
        <v/>
      </c>
      <c r="Q892">
        <f>IF(OR(AND(D892=2,E892=3),AND(D892=3,E892=2)),C892,"")</f>
        <v/>
      </c>
    </row>
    <row r="893">
      <c r="A893" t="n">
        <v>24</v>
      </c>
      <c r="B893" t="n">
        <v>42</v>
      </c>
      <c r="C893">
        <f>SQRT((Scale_PCA_Mechanics!G25-Scale_PCA_Mechanics!G43)^2+(Scale_PCA_Mechanics!H25-Scale_PCA_Mechanics!H43)^2+(Scale_PCA_Mechanics!I25-Scale_PCA_Mechanics!I43)^2+(Scale_PCA_Mechanics!J25-Scale_PCA_Mechanics!J43)^2)</f>
        <v/>
      </c>
      <c r="D893">
        <f>INDEX(KMeans_6_2!AA2:AA51,A893)</f>
        <v/>
      </c>
      <c r="E893">
        <f>INDEX(KMeans_6_2!AA2:AA51,B893)</f>
        <v/>
      </c>
      <c r="O893">
        <f>IF(OR(AND(D893=1,E893=2),AND(D893=2,E893=1)),C893,"")</f>
        <v/>
      </c>
      <c r="P893">
        <f>IF(OR(AND(D893=1,E893=3),AND(D893=3,E893=1)),C893,"")</f>
        <v/>
      </c>
      <c r="Q893">
        <f>IF(OR(AND(D893=2,E893=3),AND(D893=3,E893=2)),C893,"")</f>
        <v/>
      </c>
    </row>
    <row r="894">
      <c r="A894" t="n">
        <v>24</v>
      </c>
      <c r="B894" t="n">
        <v>43</v>
      </c>
      <c r="C894">
        <f>SQRT((Scale_PCA_Mechanics!G25-Scale_PCA_Mechanics!G44)^2+(Scale_PCA_Mechanics!H25-Scale_PCA_Mechanics!H44)^2+(Scale_PCA_Mechanics!I25-Scale_PCA_Mechanics!I44)^2+(Scale_PCA_Mechanics!J25-Scale_PCA_Mechanics!J44)^2)</f>
        <v/>
      </c>
      <c r="D894">
        <f>INDEX(KMeans_6_2!AA2:AA51,A894)</f>
        <v/>
      </c>
      <c r="E894">
        <f>INDEX(KMeans_6_2!AA2:AA51,B894)</f>
        <v/>
      </c>
      <c r="O894">
        <f>IF(OR(AND(D894=1,E894=2),AND(D894=2,E894=1)),C894,"")</f>
        <v/>
      </c>
      <c r="P894">
        <f>IF(OR(AND(D894=1,E894=3),AND(D894=3,E894=1)),C894,"")</f>
        <v/>
      </c>
      <c r="Q894">
        <f>IF(OR(AND(D894=2,E894=3),AND(D894=3,E894=2)),C894,"")</f>
        <v/>
      </c>
    </row>
    <row r="895">
      <c r="A895" t="n">
        <v>24</v>
      </c>
      <c r="B895" t="n">
        <v>44</v>
      </c>
      <c r="C895">
        <f>SQRT((Scale_PCA_Mechanics!G25-Scale_PCA_Mechanics!G45)^2+(Scale_PCA_Mechanics!H25-Scale_PCA_Mechanics!H45)^2+(Scale_PCA_Mechanics!I25-Scale_PCA_Mechanics!I45)^2+(Scale_PCA_Mechanics!J25-Scale_PCA_Mechanics!J45)^2)</f>
        <v/>
      </c>
      <c r="D895">
        <f>INDEX(KMeans_6_2!AA2:AA51,A895)</f>
        <v/>
      </c>
      <c r="E895">
        <f>INDEX(KMeans_6_2!AA2:AA51,B895)</f>
        <v/>
      </c>
      <c r="O895">
        <f>IF(OR(AND(D895=1,E895=2),AND(D895=2,E895=1)),C895,"")</f>
        <v/>
      </c>
      <c r="P895">
        <f>IF(OR(AND(D895=1,E895=3),AND(D895=3,E895=1)),C895,"")</f>
        <v/>
      </c>
      <c r="Q895">
        <f>IF(OR(AND(D895=2,E895=3),AND(D895=3,E895=2)),C895,"")</f>
        <v/>
      </c>
    </row>
    <row r="896">
      <c r="A896" t="n">
        <v>24</v>
      </c>
      <c r="B896" t="n">
        <v>45</v>
      </c>
      <c r="C896">
        <f>SQRT((Scale_PCA_Mechanics!G25-Scale_PCA_Mechanics!G46)^2+(Scale_PCA_Mechanics!H25-Scale_PCA_Mechanics!H46)^2+(Scale_PCA_Mechanics!I25-Scale_PCA_Mechanics!I46)^2+(Scale_PCA_Mechanics!J25-Scale_PCA_Mechanics!J46)^2)</f>
        <v/>
      </c>
      <c r="D896">
        <f>INDEX(KMeans_6_2!AA2:AA51,A896)</f>
        <v/>
      </c>
      <c r="E896">
        <f>INDEX(KMeans_6_2!AA2:AA51,B896)</f>
        <v/>
      </c>
      <c r="O896">
        <f>IF(OR(AND(D896=1,E896=2),AND(D896=2,E896=1)),C896,"")</f>
        <v/>
      </c>
      <c r="P896">
        <f>IF(OR(AND(D896=1,E896=3),AND(D896=3,E896=1)),C896,"")</f>
        <v/>
      </c>
      <c r="Q896">
        <f>IF(OR(AND(D896=2,E896=3),AND(D896=3,E896=2)),C896,"")</f>
        <v/>
      </c>
    </row>
    <row r="897">
      <c r="A897" t="n">
        <v>24</v>
      </c>
      <c r="B897" t="n">
        <v>46</v>
      </c>
      <c r="C897">
        <f>SQRT((Scale_PCA_Mechanics!G25-Scale_PCA_Mechanics!G47)^2+(Scale_PCA_Mechanics!H25-Scale_PCA_Mechanics!H47)^2+(Scale_PCA_Mechanics!I25-Scale_PCA_Mechanics!I47)^2+(Scale_PCA_Mechanics!J25-Scale_PCA_Mechanics!J47)^2)</f>
        <v/>
      </c>
      <c r="D897">
        <f>INDEX(KMeans_6_2!AA2:AA51,A897)</f>
        <v/>
      </c>
      <c r="E897">
        <f>INDEX(KMeans_6_2!AA2:AA51,B897)</f>
        <v/>
      </c>
      <c r="O897">
        <f>IF(OR(AND(D897=1,E897=2),AND(D897=2,E897=1)),C897,"")</f>
        <v/>
      </c>
      <c r="P897">
        <f>IF(OR(AND(D897=1,E897=3),AND(D897=3,E897=1)),C897,"")</f>
        <v/>
      </c>
      <c r="Q897">
        <f>IF(OR(AND(D897=2,E897=3),AND(D897=3,E897=2)),C897,"")</f>
        <v/>
      </c>
    </row>
    <row r="898">
      <c r="A898" t="n">
        <v>24</v>
      </c>
      <c r="B898" t="n">
        <v>47</v>
      </c>
      <c r="C898">
        <f>SQRT((Scale_PCA_Mechanics!G25-Scale_PCA_Mechanics!G48)^2+(Scale_PCA_Mechanics!H25-Scale_PCA_Mechanics!H48)^2+(Scale_PCA_Mechanics!I25-Scale_PCA_Mechanics!I48)^2+(Scale_PCA_Mechanics!J25-Scale_PCA_Mechanics!J48)^2)</f>
        <v/>
      </c>
      <c r="D898">
        <f>INDEX(KMeans_6_2!AA2:AA51,A898)</f>
        <v/>
      </c>
      <c r="E898">
        <f>INDEX(KMeans_6_2!AA2:AA51,B898)</f>
        <v/>
      </c>
      <c r="O898">
        <f>IF(OR(AND(D898=1,E898=2),AND(D898=2,E898=1)),C898,"")</f>
        <v/>
      </c>
      <c r="P898">
        <f>IF(OR(AND(D898=1,E898=3),AND(D898=3,E898=1)),C898,"")</f>
        <v/>
      </c>
      <c r="Q898">
        <f>IF(OR(AND(D898=2,E898=3),AND(D898=3,E898=2)),C898,"")</f>
        <v/>
      </c>
    </row>
    <row r="899">
      <c r="A899" t="n">
        <v>24</v>
      </c>
      <c r="B899" t="n">
        <v>48</v>
      </c>
      <c r="C899">
        <f>SQRT((Scale_PCA_Mechanics!G25-Scale_PCA_Mechanics!G49)^2+(Scale_PCA_Mechanics!H25-Scale_PCA_Mechanics!H49)^2+(Scale_PCA_Mechanics!I25-Scale_PCA_Mechanics!I49)^2+(Scale_PCA_Mechanics!J25-Scale_PCA_Mechanics!J49)^2)</f>
        <v/>
      </c>
      <c r="D899">
        <f>INDEX(KMeans_6_2!AA2:AA51,A899)</f>
        <v/>
      </c>
      <c r="E899">
        <f>INDEX(KMeans_6_2!AA2:AA51,B899)</f>
        <v/>
      </c>
      <c r="O899">
        <f>IF(OR(AND(D899=1,E899=2),AND(D899=2,E899=1)),C899,"")</f>
        <v/>
      </c>
      <c r="P899">
        <f>IF(OR(AND(D899=1,E899=3),AND(D899=3,E899=1)),C899,"")</f>
        <v/>
      </c>
      <c r="Q899">
        <f>IF(OR(AND(D899=2,E899=3),AND(D899=3,E899=2)),C899,"")</f>
        <v/>
      </c>
    </row>
    <row r="900">
      <c r="A900" t="n">
        <v>24</v>
      </c>
      <c r="B900" t="n">
        <v>49</v>
      </c>
      <c r="C900">
        <f>SQRT((Scale_PCA_Mechanics!G25-Scale_PCA_Mechanics!G50)^2+(Scale_PCA_Mechanics!H25-Scale_PCA_Mechanics!H50)^2+(Scale_PCA_Mechanics!I25-Scale_PCA_Mechanics!I50)^2+(Scale_PCA_Mechanics!J25-Scale_PCA_Mechanics!J50)^2)</f>
        <v/>
      </c>
      <c r="D900">
        <f>INDEX(KMeans_6_2!AA2:AA51,A900)</f>
        <v/>
      </c>
      <c r="E900">
        <f>INDEX(KMeans_6_2!AA2:AA51,B900)</f>
        <v/>
      </c>
      <c r="O900">
        <f>IF(OR(AND(D900=1,E900=2),AND(D900=2,E900=1)),C900,"")</f>
        <v/>
      </c>
      <c r="P900">
        <f>IF(OR(AND(D900=1,E900=3),AND(D900=3,E900=1)),C900,"")</f>
        <v/>
      </c>
      <c r="Q900">
        <f>IF(OR(AND(D900=2,E900=3),AND(D900=3,E900=2)),C900,"")</f>
        <v/>
      </c>
    </row>
    <row r="901">
      <c r="A901" t="n">
        <v>24</v>
      </c>
      <c r="B901" t="n">
        <v>50</v>
      </c>
      <c r="C901">
        <f>SQRT((Scale_PCA_Mechanics!G25-Scale_PCA_Mechanics!G51)^2+(Scale_PCA_Mechanics!H25-Scale_PCA_Mechanics!H51)^2+(Scale_PCA_Mechanics!I25-Scale_PCA_Mechanics!I51)^2+(Scale_PCA_Mechanics!J25-Scale_PCA_Mechanics!J51)^2)</f>
        <v/>
      </c>
      <c r="D901">
        <f>INDEX(KMeans_6_2!AA2:AA51,A901)</f>
        <v/>
      </c>
      <c r="E901">
        <f>INDEX(KMeans_6_2!AA2:AA51,B901)</f>
        <v/>
      </c>
      <c r="O901">
        <f>IF(OR(AND(D901=1,E901=2),AND(D901=2,E901=1)),C901,"")</f>
        <v/>
      </c>
      <c r="P901">
        <f>IF(OR(AND(D901=1,E901=3),AND(D901=3,E901=1)),C901,"")</f>
        <v/>
      </c>
      <c r="Q901">
        <f>IF(OR(AND(D901=2,E901=3),AND(D901=3,E901=2)),C901,"")</f>
        <v/>
      </c>
    </row>
    <row r="902">
      <c r="A902" t="n">
        <v>25</v>
      </c>
      <c r="B902" t="n">
        <v>26</v>
      </c>
      <c r="C902">
        <f>SQRT((Scale_PCA_Mechanics!G26-Scale_PCA_Mechanics!G27)^2+(Scale_PCA_Mechanics!H26-Scale_PCA_Mechanics!H27)^2+(Scale_PCA_Mechanics!I26-Scale_PCA_Mechanics!I27)^2+(Scale_PCA_Mechanics!J26-Scale_PCA_Mechanics!J27)^2)</f>
        <v/>
      </c>
      <c r="D902">
        <f>INDEX(KMeans_6_2!AA2:AA51,A902)</f>
        <v/>
      </c>
      <c r="E902">
        <f>INDEX(KMeans_6_2!AA2:AA51,B902)</f>
        <v/>
      </c>
      <c r="O902">
        <f>IF(OR(AND(D902=1,E902=2),AND(D902=2,E902=1)),C902,"")</f>
        <v/>
      </c>
      <c r="P902">
        <f>IF(OR(AND(D902=1,E902=3),AND(D902=3,E902=1)),C902,"")</f>
        <v/>
      </c>
      <c r="Q902">
        <f>IF(OR(AND(D902=2,E902=3),AND(D902=3,E902=2)),C902,"")</f>
        <v/>
      </c>
    </row>
    <row r="903">
      <c r="A903" t="n">
        <v>25</v>
      </c>
      <c r="B903" t="n">
        <v>27</v>
      </c>
      <c r="C903">
        <f>SQRT((Scale_PCA_Mechanics!G26-Scale_PCA_Mechanics!G28)^2+(Scale_PCA_Mechanics!H26-Scale_PCA_Mechanics!H28)^2+(Scale_PCA_Mechanics!I26-Scale_PCA_Mechanics!I28)^2+(Scale_PCA_Mechanics!J26-Scale_PCA_Mechanics!J28)^2)</f>
        <v/>
      </c>
      <c r="D903">
        <f>INDEX(KMeans_6_2!AA2:AA51,A903)</f>
        <v/>
      </c>
      <c r="E903">
        <f>INDEX(KMeans_6_2!AA2:AA51,B903)</f>
        <v/>
      </c>
      <c r="O903">
        <f>IF(OR(AND(D903=1,E903=2),AND(D903=2,E903=1)),C903,"")</f>
        <v/>
      </c>
      <c r="P903">
        <f>IF(OR(AND(D903=1,E903=3),AND(D903=3,E903=1)),C903,"")</f>
        <v/>
      </c>
      <c r="Q903">
        <f>IF(OR(AND(D903=2,E903=3),AND(D903=3,E903=2)),C903,"")</f>
        <v/>
      </c>
    </row>
    <row r="904">
      <c r="A904" t="n">
        <v>25</v>
      </c>
      <c r="B904" t="n">
        <v>28</v>
      </c>
      <c r="C904">
        <f>SQRT((Scale_PCA_Mechanics!G26-Scale_PCA_Mechanics!G29)^2+(Scale_PCA_Mechanics!H26-Scale_PCA_Mechanics!H29)^2+(Scale_PCA_Mechanics!I26-Scale_PCA_Mechanics!I29)^2+(Scale_PCA_Mechanics!J26-Scale_PCA_Mechanics!J29)^2)</f>
        <v/>
      </c>
      <c r="D904">
        <f>INDEX(KMeans_6_2!AA2:AA51,A904)</f>
        <v/>
      </c>
      <c r="E904">
        <f>INDEX(KMeans_6_2!AA2:AA51,B904)</f>
        <v/>
      </c>
      <c r="O904">
        <f>IF(OR(AND(D904=1,E904=2),AND(D904=2,E904=1)),C904,"")</f>
        <v/>
      </c>
      <c r="P904">
        <f>IF(OR(AND(D904=1,E904=3),AND(D904=3,E904=1)),C904,"")</f>
        <v/>
      </c>
      <c r="Q904">
        <f>IF(OR(AND(D904=2,E904=3),AND(D904=3,E904=2)),C904,"")</f>
        <v/>
      </c>
    </row>
    <row r="905">
      <c r="A905" t="n">
        <v>25</v>
      </c>
      <c r="B905" t="n">
        <v>29</v>
      </c>
      <c r="C905">
        <f>SQRT((Scale_PCA_Mechanics!G26-Scale_PCA_Mechanics!G30)^2+(Scale_PCA_Mechanics!H26-Scale_PCA_Mechanics!H30)^2+(Scale_PCA_Mechanics!I26-Scale_PCA_Mechanics!I30)^2+(Scale_PCA_Mechanics!J26-Scale_PCA_Mechanics!J30)^2)</f>
        <v/>
      </c>
      <c r="D905">
        <f>INDEX(KMeans_6_2!AA2:AA51,A905)</f>
        <v/>
      </c>
      <c r="E905">
        <f>INDEX(KMeans_6_2!AA2:AA51,B905)</f>
        <v/>
      </c>
      <c r="O905">
        <f>IF(OR(AND(D905=1,E905=2),AND(D905=2,E905=1)),C905,"")</f>
        <v/>
      </c>
      <c r="P905">
        <f>IF(OR(AND(D905=1,E905=3),AND(D905=3,E905=1)),C905,"")</f>
        <v/>
      </c>
      <c r="Q905">
        <f>IF(OR(AND(D905=2,E905=3),AND(D905=3,E905=2)),C905,"")</f>
        <v/>
      </c>
    </row>
    <row r="906">
      <c r="A906" t="n">
        <v>25</v>
      </c>
      <c r="B906" t="n">
        <v>30</v>
      </c>
      <c r="C906">
        <f>SQRT((Scale_PCA_Mechanics!G26-Scale_PCA_Mechanics!G31)^2+(Scale_PCA_Mechanics!H26-Scale_PCA_Mechanics!H31)^2+(Scale_PCA_Mechanics!I26-Scale_PCA_Mechanics!I31)^2+(Scale_PCA_Mechanics!J26-Scale_PCA_Mechanics!J31)^2)</f>
        <v/>
      </c>
      <c r="D906">
        <f>INDEX(KMeans_6_2!AA2:AA51,A906)</f>
        <v/>
      </c>
      <c r="E906">
        <f>INDEX(KMeans_6_2!AA2:AA51,B906)</f>
        <v/>
      </c>
      <c r="O906">
        <f>IF(OR(AND(D906=1,E906=2),AND(D906=2,E906=1)),C906,"")</f>
        <v/>
      </c>
      <c r="P906">
        <f>IF(OR(AND(D906=1,E906=3),AND(D906=3,E906=1)),C906,"")</f>
        <v/>
      </c>
      <c r="Q906">
        <f>IF(OR(AND(D906=2,E906=3),AND(D906=3,E906=2)),C906,"")</f>
        <v/>
      </c>
    </row>
    <row r="907">
      <c r="A907" t="n">
        <v>25</v>
      </c>
      <c r="B907" t="n">
        <v>31</v>
      </c>
      <c r="C907">
        <f>SQRT((Scale_PCA_Mechanics!G26-Scale_PCA_Mechanics!G32)^2+(Scale_PCA_Mechanics!H26-Scale_PCA_Mechanics!H32)^2+(Scale_PCA_Mechanics!I26-Scale_PCA_Mechanics!I32)^2+(Scale_PCA_Mechanics!J26-Scale_PCA_Mechanics!J32)^2)</f>
        <v/>
      </c>
      <c r="D907">
        <f>INDEX(KMeans_6_2!AA2:AA51,A907)</f>
        <v/>
      </c>
      <c r="E907">
        <f>INDEX(KMeans_6_2!AA2:AA51,B907)</f>
        <v/>
      </c>
      <c r="O907">
        <f>IF(OR(AND(D907=1,E907=2),AND(D907=2,E907=1)),C907,"")</f>
        <v/>
      </c>
      <c r="P907">
        <f>IF(OR(AND(D907=1,E907=3),AND(D907=3,E907=1)),C907,"")</f>
        <v/>
      </c>
      <c r="Q907">
        <f>IF(OR(AND(D907=2,E907=3),AND(D907=3,E907=2)),C907,"")</f>
        <v/>
      </c>
    </row>
    <row r="908">
      <c r="A908" t="n">
        <v>25</v>
      </c>
      <c r="B908" t="n">
        <v>32</v>
      </c>
      <c r="C908">
        <f>SQRT((Scale_PCA_Mechanics!G26-Scale_PCA_Mechanics!G33)^2+(Scale_PCA_Mechanics!H26-Scale_PCA_Mechanics!H33)^2+(Scale_PCA_Mechanics!I26-Scale_PCA_Mechanics!I33)^2+(Scale_PCA_Mechanics!J26-Scale_PCA_Mechanics!J33)^2)</f>
        <v/>
      </c>
      <c r="D908">
        <f>INDEX(KMeans_6_2!AA2:AA51,A908)</f>
        <v/>
      </c>
      <c r="E908">
        <f>INDEX(KMeans_6_2!AA2:AA51,B908)</f>
        <v/>
      </c>
      <c r="O908">
        <f>IF(OR(AND(D908=1,E908=2),AND(D908=2,E908=1)),C908,"")</f>
        <v/>
      </c>
      <c r="P908">
        <f>IF(OR(AND(D908=1,E908=3),AND(D908=3,E908=1)),C908,"")</f>
        <v/>
      </c>
      <c r="Q908">
        <f>IF(OR(AND(D908=2,E908=3),AND(D908=3,E908=2)),C908,"")</f>
        <v/>
      </c>
    </row>
    <row r="909">
      <c r="A909" t="n">
        <v>25</v>
      </c>
      <c r="B909" t="n">
        <v>33</v>
      </c>
      <c r="C909">
        <f>SQRT((Scale_PCA_Mechanics!G26-Scale_PCA_Mechanics!G34)^2+(Scale_PCA_Mechanics!H26-Scale_PCA_Mechanics!H34)^2+(Scale_PCA_Mechanics!I26-Scale_PCA_Mechanics!I34)^2+(Scale_PCA_Mechanics!J26-Scale_PCA_Mechanics!J34)^2)</f>
        <v/>
      </c>
      <c r="D909">
        <f>INDEX(KMeans_6_2!AA2:AA51,A909)</f>
        <v/>
      </c>
      <c r="E909">
        <f>INDEX(KMeans_6_2!AA2:AA51,B909)</f>
        <v/>
      </c>
      <c r="O909">
        <f>IF(OR(AND(D909=1,E909=2),AND(D909=2,E909=1)),C909,"")</f>
        <v/>
      </c>
      <c r="P909">
        <f>IF(OR(AND(D909=1,E909=3),AND(D909=3,E909=1)),C909,"")</f>
        <v/>
      </c>
      <c r="Q909">
        <f>IF(OR(AND(D909=2,E909=3),AND(D909=3,E909=2)),C909,"")</f>
        <v/>
      </c>
    </row>
    <row r="910">
      <c r="A910" t="n">
        <v>25</v>
      </c>
      <c r="B910" t="n">
        <v>34</v>
      </c>
      <c r="C910">
        <f>SQRT((Scale_PCA_Mechanics!G26-Scale_PCA_Mechanics!G35)^2+(Scale_PCA_Mechanics!H26-Scale_PCA_Mechanics!H35)^2+(Scale_PCA_Mechanics!I26-Scale_PCA_Mechanics!I35)^2+(Scale_PCA_Mechanics!J26-Scale_PCA_Mechanics!J35)^2)</f>
        <v/>
      </c>
      <c r="D910">
        <f>INDEX(KMeans_6_2!AA2:AA51,A910)</f>
        <v/>
      </c>
      <c r="E910">
        <f>INDEX(KMeans_6_2!AA2:AA51,B910)</f>
        <v/>
      </c>
      <c r="O910">
        <f>IF(OR(AND(D910=1,E910=2),AND(D910=2,E910=1)),C910,"")</f>
        <v/>
      </c>
      <c r="P910">
        <f>IF(OR(AND(D910=1,E910=3),AND(D910=3,E910=1)),C910,"")</f>
        <v/>
      </c>
      <c r="Q910">
        <f>IF(OR(AND(D910=2,E910=3),AND(D910=3,E910=2)),C910,"")</f>
        <v/>
      </c>
    </row>
    <row r="911">
      <c r="A911" t="n">
        <v>25</v>
      </c>
      <c r="B911" t="n">
        <v>35</v>
      </c>
      <c r="C911">
        <f>SQRT((Scale_PCA_Mechanics!G26-Scale_PCA_Mechanics!G36)^2+(Scale_PCA_Mechanics!H26-Scale_PCA_Mechanics!H36)^2+(Scale_PCA_Mechanics!I26-Scale_PCA_Mechanics!I36)^2+(Scale_PCA_Mechanics!J26-Scale_PCA_Mechanics!J36)^2)</f>
        <v/>
      </c>
      <c r="D911">
        <f>INDEX(KMeans_6_2!AA2:AA51,A911)</f>
        <v/>
      </c>
      <c r="E911">
        <f>INDEX(KMeans_6_2!AA2:AA51,B911)</f>
        <v/>
      </c>
      <c r="O911">
        <f>IF(OR(AND(D911=1,E911=2),AND(D911=2,E911=1)),C911,"")</f>
        <v/>
      </c>
      <c r="P911">
        <f>IF(OR(AND(D911=1,E911=3),AND(D911=3,E911=1)),C911,"")</f>
        <v/>
      </c>
      <c r="Q911">
        <f>IF(OR(AND(D911=2,E911=3),AND(D911=3,E911=2)),C911,"")</f>
        <v/>
      </c>
    </row>
    <row r="912">
      <c r="A912" t="n">
        <v>25</v>
      </c>
      <c r="B912" t="n">
        <v>36</v>
      </c>
      <c r="C912">
        <f>SQRT((Scale_PCA_Mechanics!G26-Scale_PCA_Mechanics!G37)^2+(Scale_PCA_Mechanics!H26-Scale_PCA_Mechanics!H37)^2+(Scale_PCA_Mechanics!I26-Scale_PCA_Mechanics!I37)^2+(Scale_PCA_Mechanics!J26-Scale_PCA_Mechanics!J37)^2)</f>
        <v/>
      </c>
      <c r="D912">
        <f>INDEX(KMeans_6_2!AA2:AA51,A912)</f>
        <v/>
      </c>
      <c r="E912">
        <f>INDEX(KMeans_6_2!AA2:AA51,B912)</f>
        <v/>
      </c>
      <c r="O912">
        <f>IF(OR(AND(D912=1,E912=2),AND(D912=2,E912=1)),C912,"")</f>
        <v/>
      </c>
      <c r="P912">
        <f>IF(OR(AND(D912=1,E912=3),AND(D912=3,E912=1)),C912,"")</f>
        <v/>
      </c>
      <c r="Q912">
        <f>IF(OR(AND(D912=2,E912=3),AND(D912=3,E912=2)),C912,"")</f>
        <v/>
      </c>
    </row>
    <row r="913">
      <c r="A913" t="n">
        <v>25</v>
      </c>
      <c r="B913" t="n">
        <v>37</v>
      </c>
      <c r="C913">
        <f>SQRT((Scale_PCA_Mechanics!G26-Scale_PCA_Mechanics!G38)^2+(Scale_PCA_Mechanics!H26-Scale_PCA_Mechanics!H38)^2+(Scale_PCA_Mechanics!I26-Scale_PCA_Mechanics!I38)^2+(Scale_PCA_Mechanics!J26-Scale_PCA_Mechanics!J38)^2)</f>
        <v/>
      </c>
      <c r="D913">
        <f>INDEX(KMeans_6_2!AA2:AA51,A913)</f>
        <v/>
      </c>
      <c r="E913">
        <f>INDEX(KMeans_6_2!AA2:AA51,B913)</f>
        <v/>
      </c>
      <c r="O913">
        <f>IF(OR(AND(D913=1,E913=2),AND(D913=2,E913=1)),C913,"")</f>
        <v/>
      </c>
      <c r="P913">
        <f>IF(OR(AND(D913=1,E913=3),AND(D913=3,E913=1)),C913,"")</f>
        <v/>
      </c>
      <c r="Q913">
        <f>IF(OR(AND(D913=2,E913=3),AND(D913=3,E913=2)),C913,"")</f>
        <v/>
      </c>
    </row>
    <row r="914">
      <c r="A914" t="n">
        <v>25</v>
      </c>
      <c r="B914" t="n">
        <v>38</v>
      </c>
      <c r="C914">
        <f>SQRT((Scale_PCA_Mechanics!G26-Scale_PCA_Mechanics!G39)^2+(Scale_PCA_Mechanics!H26-Scale_PCA_Mechanics!H39)^2+(Scale_PCA_Mechanics!I26-Scale_PCA_Mechanics!I39)^2+(Scale_PCA_Mechanics!J26-Scale_PCA_Mechanics!J39)^2)</f>
        <v/>
      </c>
      <c r="D914">
        <f>INDEX(KMeans_6_2!AA2:AA51,A914)</f>
        <v/>
      </c>
      <c r="E914">
        <f>INDEX(KMeans_6_2!AA2:AA51,B914)</f>
        <v/>
      </c>
      <c r="O914">
        <f>IF(OR(AND(D914=1,E914=2),AND(D914=2,E914=1)),C914,"")</f>
        <v/>
      </c>
      <c r="P914">
        <f>IF(OR(AND(D914=1,E914=3),AND(D914=3,E914=1)),C914,"")</f>
        <v/>
      </c>
      <c r="Q914">
        <f>IF(OR(AND(D914=2,E914=3),AND(D914=3,E914=2)),C914,"")</f>
        <v/>
      </c>
    </row>
    <row r="915">
      <c r="A915" t="n">
        <v>25</v>
      </c>
      <c r="B915" t="n">
        <v>39</v>
      </c>
      <c r="C915">
        <f>SQRT((Scale_PCA_Mechanics!G26-Scale_PCA_Mechanics!G40)^2+(Scale_PCA_Mechanics!H26-Scale_PCA_Mechanics!H40)^2+(Scale_PCA_Mechanics!I26-Scale_PCA_Mechanics!I40)^2+(Scale_PCA_Mechanics!J26-Scale_PCA_Mechanics!J40)^2)</f>
        <v/>
      </c>
      <c r="D915">
        <f>INDEX(KMeans_6_2!AA2:AA51,A915)</f>
        <v/>
      </c>
      <c r="E915">
        <f>INDEX(KMeans_6_2!AA2:AA51,B915)</f>
        <v/>
      </c>
      <c r="O915">
        <f>IF(OR(AND(D915=1,E915=2),AND(D915=2,E915=1)),C915,"")</f>
        <v/>
      </c>
      <c r="P915">
        <f>IF(OR(AND(D915=1,E915=3),AND(D915=3,E915=1)),C915,"")</f>
        <v/>
      </c>
      <c r="Q915">
        <f>IF(OR(AND(D915=2,E915=3),AND(D915=3,E915=2)),C915,"")</f>
        <v/>
      </c>
    </row>
    <row r="916">
      <c r="A916" t="n">
        <v>25</v>
      </c>
      <c r="B916" t="n">
        <v>40</v>
      </c>
      <c r="C916">
        <f>SQRT((Scale_PCA_Mechanics!G26-Scale_PCA_Mechanics!G41)^2+(Scale_PCA_Mechanics!H26-Scale_PCA_Mechanics!H41)^2+(Scale_PCA_Mechanics!I26-Scale_PCA_Mechanics!I41)^2+(Scale_PCA_Mechanics!J26-Scale_PCA_Mechanics!J41)^2)</f>
        <v/>
      </c>
      <c r="D916">
        <f>INDEX(KMeans_6_2!AA2:AA51,A916)</f>
        <v/>
      </c>
      <c r="E916">
        <f>INDEX(KMeans_6_2!AA2:AA51,B916)</f>
        <v/>
      </c>
      <c r="O916">
        <f>IF(OR(AND(D916=1,E916=2),AND(D916=2,E916=1)),C916,"")</f>
        <v/>
      </c>
      <c r="P916">
        <f>IF(OR(AND(D916=1,E916=3),AND(D916=3,E916=1)),C916,"")</f>
        <v/>
      </c>
      <c r="Q916">
        <f>IF(OR(AND(D916=2,E916=3),AND(D916=3,E916=2)),C916,"")</f>
        <v/>
      </c>
    </row>
    <row r="917">
      <c r="A917" t="n">
        <v>25</v>
      </c>
      <c r="B917" t="n">
        <v>41</v>
      </c>
      <c r="C917">
        <f>SQRT((Scale_PCA_Mechanics!G26-Scale_PCA_Mechanics!G42)^2+(Scale_PCA_Mechanics!H26-Scale_PCA_Mechanics!H42)^2+(Scale_PCA_Mechanics!I26-Scale_PCA_Mechanics!I42)^2+(Scale_PCA_Mechanics!J26-Scale_PCA_Mechanics!J42)^2)</f>
        <v/>
      </c>
      <c r="D917">
        <f>INDEX(KMeans_6_2!AA2:AA51,A917)</f>
        <v/>
      </c>
      <c r="E917">
        <f>INDEX(KMeans_6_2!AA2:AA51,B917)</f>
        <v/>
      </c>
      <c r="O917">
        <f>IF(OR(AND(D917=1,E917=2),AND(D917=2,E917=1)),C917,"")</f>
        <v/>
      </c>
      <c r="P917">
        <f>IF(OR(AND(D917=1,E917=3),AND(D917=3,E917=1)),C917,"")</f>
        <v/>
      </c>
      <c r="Q917">
        <f>IF(OR(AND(D917=2,E917=3),AND(D917=3,E917=2)),C917,"")</f>
        <v/>
      </c>
    </row>
    <row r="918">
      <c r="A918" t="n">
        <v>25</v>
      </c>
      <c r="B918" t="n">
        <v>42</v>
      </c>
      <c r="C918">
        <f>SQRT((Scale_PCA_Mechanics!G26-Scale_PCA_Mechanics!G43)^2+(Scale_PCA_Mechanics!H26-Scale_PCA_Mechanics!H43)^2+(Scale_PCA_Mechanics!I26-Scale_PCA_Mechanics!I43)^2+(Scale_PCA_Mechanics!J26-Scale_PCA_Mechanics!J43)^2)</f>
        <v/>
      </c>
      <c r="D918">
        <f>INDEX(KMeans_6_2!AA2:AA51,A918)</f>
        <v/>
      </c>
      <c r="E918">
        <f>INDEX(KMeans_6_2!AA2:AA51,B918)</f>
        <v/>
      </c>
      <c r="O918">
        <f>IF(OR(AND(D918=1,E918=2),AND(D918=2,E918=1)),C918,"")</f>
        <v/>
      </c>
      <c r="P918">
        <f>IF(OR(AND(D918=1,E918=3),AND(D918=3,E918=1)),C918,"")</f>
        <v/>
      </c>
      <c r="Q918">
        <f>IF(OR(AND(D918=2,E918=3),AND(D918=3,E918=2)),C918,"")</f>
        <v/>
      </c>
    </row>
    <row r="919">
      <c r="A919" t="n">
        <v>25</v>
      </c>
      <c r="B919" t="n">
        <v>43</v>
      </c>
      <c r="C919">
        <f>SQRT((Scale_PCA_Mechanics!G26-Scale_PCA_Mechanics!G44)^2+(Scale_PCA_Mechanics!H26-Scale_PCA_Mechanics!H44)^2+(Scale_PCA_Mechanics!I26-Scale_PCA_Mechanics!I44)^2+(Scale_PCA_Mechanics!J26-Scale_PCA_Mechanics!J44)^2)</f>
        <v/>
      </c>
      <c r="D919">
        <f>INDEX(KMeans_6_2!AA2:AA51,A919)</f>
        <v/>
      </c>
      <c r="E919">
        <f>INDEX(KMeans_6_2!AA2:AA51,B919)</f>
        <v/>
      </c>
      <c r="O919">
        <f>IF(OR(AND(D919=1,E919=2),AND(D919=2,E919=1)),C919,"")</f>
        <v/>
      </c>
      <c r="P919">
        <f>IF(OR(AND(D919=1,E919=3),AND(D919=3,E919=1)),C919,"")</f>
        <v/>
      </c>
      <c r="Q919">
        <f>IF(OR(AND(D919=2,E919=3),AND(D919=3,E919=2)),C919,"")</f>
        <v/>
      </c>
    </row>
    <row r="920">
      <c r="A920" t="n">
        <v>25</v>
      </c>
      <c r="B920" t="n">
        <v>44</v>
      </c>
      <c r="C920">
        <f>SQRT((Scale_PCA_Mechanics!G26-Scale_PCA_Mechanics!G45)^2+(Scale_PCA_Mechanics!H26-Scale_PCA_Mechanics!H45)^2+(Scale_PCA_Mechanics!I26-Scale_PCA_Mechanics!I45)^2+(Scale_PCA_Mechanics!J26-Scale_PCA_Mechanics!J45)^2)</f>
        <v/>
      </c>
      <c r="D920">
        <f>INDEX(KMeans_6_2!AA2:AA51,A920)</f>
        <v/>
      </c>
      <c r="E920">
        <f>INDEX(KMeans_6_2!AA2:AA51,B920)</f>
        <v/>
      </c>
      <c r="O920">
        <f>IF(OR(AND(D920=1,E920=2),AND(D920=2,E920=1)),C920,"")</f>
        <v/>
      </c>
      <c r="P920">
        <f>IF(OR(AND(D920=1,E920=3),AND(D920=3,E920=1)),C920,"")</f>
        <v/>
      </c>
      <c r="Q920">
        <f>IF(OR(AND(D920=2,E920=3),AND(D920=3,E920=2)),C920,"")</f>
        <v/>
      </c>
    </row>
    <row r="921">
      <c r="A921" t="n">
        <v>25</v>
      </c>
      <c r="B921" t="n">
        <v>45</v>
      </c>
      <c r="C921">
        <f>SQRT((Scale_PCA_Mechanics!G26-Scale_PCA_Mechanics!G46)^2+(Scale_PCA_Mechanics!H26-Scale_PCA_Mechanics!H46)^2+(Scale_PCA_Mechanics!I26-Scale_PCA_Mechanics!I46)^2+(Scale_PCA_Mechanics!J26-Scale_PCA_Mechanics!J46)^2)</f>
        <v/>
      </c>
      <c r="D921">
        <f>INDEX(KMeans_6_2!AA2:AA51,A921)</f>
        <v/>
      </c>
      <c r="E921">
        <f>INDEX(KMeans_6_2!AA2:AA51,B921)</f>
        <v/>
      </c>
      <c r="O921">
        <f>IF(OR(AND(D921=1,E921=2),AND(D921=2,E921=1)),C921,"")</f>
        <v/>
      </c>
      <c r="P921">
        <f>IF(OR(AND(D921=1,E921=3),AND(D921=3,E921=1)),C921,"")</f>
        <v/>
      </c>
      <c r="Q921">
        <f>IF(OR(AND(D921=2,E921=3),AND(D921=3,E921=2)),C921,"")</f>
        <v/>
      </c>
    </row>
    <row r="922">
      <c r="A922" t="n">
        <v>25</v>
      </c>
      <c r="B922" t="n">
        <v>46</v>
      </c>
      <c r="C922">
        <f>SQRT((Scale_PCA_Mechanics!G26-Scale_PCA_Mechanics!G47)^2+(Scale_PCA_Mechanics!H26-Scale_PCA_Mechanics!H47)^2+(Scale_PCA_Mechanics!I26-Scale_PCA_Mechanics!I47)^2+(Scale_PCA_Mechanics!J26-Scale_PCA_Mechanics!J47)^2)</f>
        <v/>
      </c>
      <c r="D922">
        <f>INDEX(KMeans_6_2!AA2:AA51,A922)</f>
        <v/>
      </c>
      <c r="E922">
        <f>INDEX(KMeans_6_2!AA2:AA51,B922)</f>
        <v/>
      </c>
      <c r="O922">
        <f>IF(OR(AND(D922=1,E922=2),AND(D922=2,E922=1)),C922,"")</f>
        <v/>
      </c>
      <c r="P922">
        <f>IF(OR(AND(D922=1,E922=3),AND(D922=3,E922=1)),C922,"")</f>
        <v/>
      </c>
      <c r="Q922">
        <f>IF(OR(AND(D922=2,E922=3),AND(D922=3,E922=2)),C922,"")</f>
        <v/>
      </c>
    </row>
    <row r="923">
      <c r="A923" t="n">
        <v>25</v>
      </c>
      <c r="B923" t="n">
        <v>47</v>
      </c>
      <c r="C923">
        <f>SQRT((Scale_PCA_Mechanics!G26-Scale_PCA_Mechanics!G48)^2+(Scale_PCA_Mechanics!H26-Scale_PCA_Mechanics!H48)^2+(Scale_PCA_Mechanics!I26-Scale_PCA_Mechanics!I48)^2+(Scale_PCA_Mechanics!J26-Scale_PCA_Mechanics!J48)^2)</f>
        <v/>
      </c>
      <c r="D923">
        <f>INDEX(KMeans_6_2!AA2:AA51,A923)</f>
        <v/>
      </c>
      <c r="E923">
        <f>INDEX(KMeans_6_2!AA2:AA51,B923)</f>
        <v/>
      </c>
      <c r="O923">
        <f>IF(OR(AND(D923=1,E923=2),AND(D923=2,E923=1)),C923,"")</f>
        <v/>
      </c>
      <c r="P923">
        <f>IF(OR(AND(D923=1,E923=3),AND(D923=3,E923=1)),C923,"")</f>
        <v/>
      </c>
      <c r="Q923">
        <f>IF(OR(AND(D923=2,E923=3),AND(D923=3,E923=2)),C923,"")</f>
        <v/>
      </c>
    </row>
    <row r="924">
      <c r="A924" t="n">
        <v>25</v>
      </c>
      <c r="B924" t="n">
        <v>48</v>
      </c>
      <c r="C924">
        <f>SQRT((Scale_PCA_Mechanics!G26-Scale_PCA_Mechanics!G49)^2+(Scale_PCA_Mechanics!H26-Scale_PCA_Mechanics!H49)^2+(Scale_PCA_Mechanics!I26-Scale_PCA_Mechanics!I49)^2+(Scale_PCA_Mechanics!J26-Scale_PCA_Mechanics!J49)^2)</f>
        <v/>
      </c>
      <c r="D924">
        <f>INDEX(KMeans_6_2!AA2:AA51,A924)</f>
        <v/>
      </c>
      <c r="E924">
        <f>INDEX(KMeans_6_2!AA2:AA51,B924)</f>
        <v/>
      </c>
      <c r="O924">
        <f>IF(OR(AND(D924=1,E924=2),AND(D924=2,E924=1)),C924,"")</f>
        <v/>
      </c>
      <c r="P924">
        <f>IF(OR(AND(D924=1,E924=3),AND(D924=3,E924=1)),C924,"")</f>
        <v/>
      </c>
      <c r="Q924">
        <f>IF(OR(AND(D924=2,E924=3),AND(D924=3,E924=2)),C924,"")</f>
        <v/>
      </c>
    </row>
    <row r="925">
      <c r="A925" t="n">
        <v>25</v>
      </c>
      <c r="B925" t="n">
        <v>49</v>
      </c>
      <c r="C925">
        <f>SQRT((Scale_PCA_Mechanics!G26-Scale_PCA_Mechanics!G50)^2+(Scale_PCA_Mechanics!H26-Scale_PCA_Mechanics!H50)^2+(Scale_PCA_Mechanics!I26-Scale_PCA_Mechanics!I50)^2+(Scale_PCA_Mechanics!J26-Scale_PCA_Mechanics!J50)^2)</f>
        <v/>
      </c>
      <c r="D925">
        <f>INDEX(KMeans_6_2!AA2:AA51,A925)</f>
        <v/>
      </c>
      <c r="E925">
        <f>INDEX(KMeans_6_2!AA2:AA51,B925)</f>
        <v/>
      </c>
      <c r="O925">
        <f>IF(OR(AND(D925=1,E925=2),AND(D925=2,E925=1)),C925,"")</f>
        <v/>
      </c>
      <c r="P925">
        <f>IF(OR(AND(D925=1,E925=3),AND(D925=3,E925=1)),C925,"")</f>
        <v/>
      </c>
      <c r="Q925">
        <f>IF(OR(AND(D925=2,E925=3),AND(D925=3,E925=2)),C925,"")</f>
        <v/>
      </c>
    </row>
    <row r="926">
      <c r="A926" t="n">
        <v>25</v>
      </c>
      <c r="B926" t="n">
        <v>50</v>
      </c>
      <c r="C926">
        <f>SQRT((Scale_PCA_Mechanics!G26-Scale_PCA_Mechanics!G51)^2+(Scale_PCA_Mechanics!H26-Scale_PCA_Mechanics!H51)^2+(Scale_PCA_Mechanics!I26-Scale_PCA_Mechanics!I51)^2+(Scale_PCA_Mechanics!J26-Scale_PCA_Mechanics!J51)^2)</f>
        <v/>
      </c>
      <c r="D926">
        <f>INDEX(KMeans_6_2!AA2:AA51,A926)</f>
        <v/>
      </c>
      <c r="E926">
        <f>INDEX(KMeans_6_2!AA2:AA51,B926)</f>
        <v/>
      </c>
      <c r="O926">
        <f>IF(OR(AND(D926=1,E926=2),AND(D926=2,E926=1)),C926,"")</f>
        <v/>
      </c>
      <c r="P926">
        <f>IF(OR(AND(D926=1,E926=3),AND(D926=3,E926=1)),C926,"")</f>
        <v/>
      </c>
      <c r="Q926">
        <f>IF(OR(AND(D926=2,E926=3),AND(D926=3,E926=2)),C926,"")</f>
        <v/>
      </c>
    </row>
    <row r="927">
      <c r="A927" t="n">
        <v>26</v>
      </c>
      <c r="B927" t="n">
        <v>27</v>
      </c>
      <c r="C927">
        <f>SQRT((Scale_PCA_Mechanics!G27-Scale_PCA_Mechanics!G28)^2+(Scale_PCA_Mechanics!H27-Scale_PCA_Mechanics!H28)^2+(Scale_PCA_Mechanics!I27-Scale_PCA_Mechanics!I28)^2+(Scale_PCA_Mechanics!J27-Scale_PCA_Mechanics!J28)^2)</f>
        <v/>
      </c>
      <c r="D927">
        <f>INDEX(KMeans_6_2!AA2:AA51,A927)</f>
        <v/>
      </c>
      <c r="E927">
        <f>INDEX(KMeans_6_2!AA2:AA51,B927)</f>
        <v/>
      </c>
      <c r="O927">
        <f>IF(OR(AND(D927=1,E927=2),AND(D927=2,E927=1)),C927,"")</f>
        <v/>
      </c>
      <c r="P927">
        <f>IF(OR(AND(D927=1,E927=3),AND(D927=3,E927=1)),C927,"")</f>
        <v/>
      </c>
      <c r="Q927">
        <f>IF(OR(AND(D927=2,E927=3),AND(D927=3,E927=2)),C927,"")</f>
        <v/>
      </c>
    </row>
    <row r="928">
      <c r="A928" t="n">
        <v>26</v>
      </c>
      <c r="B928" t="n">
        <v>28</v>
      </c>
      <c r="C928">
        <f>SQRT((Scale_PCA_Mechanics!G27-Scale_PCA_Mechanics!G29)^2+(Scale_PCA_Mechanics!H27-Scale_PCA_Mechanics!H29)^2+(Scale_PCA_Mechanics!I27-Scale_PCA_Mechanics!I29)^2+(Scale_PCA_Mechanics!J27-Scale_PCA_Mechanics!J29)^2)</f>
        <v/>
      </c>
      <c r="D928">
        <f>INDEX(KMeans_6_2!AA2:AA51,A928)</f>
        <v/>
      </c>
      <c r="E928">
        <f>INDEX(KMeans_6_2!AA2:AA51,B928)</f>
        <v/>
      </c>
      <c r="O928">
        <f>IF(OR(AND(D928=1,E928=2),AND(D928=2,E928=1)),C928,"")</f>
        <v/>
      </c>
      <c r="P928">
        <f>IF(OR(AND(D928=1,E928=3),AND(D928=3,E928=1)),C928,"")</f>
        <v/>
      </c>
      <c r="Q928">
        <f>IF(OR(AND(D928=2,E928=3),AND(D928=3,E928=2)),C928,"")</f>
        <v/>
      </c>
    </row>
    <row r="929">
      <c r="A929" t="n">
        <v>26</v>
      </c>
      <c r="B929" t="n">
        <v>29</v>
      </c>
      <c r="C929">
        <f>SQRT((Scale_PCA_Mechanics!G27-Scale_PCA_Mechanics!G30)^2+(Scale_PCA_Mechanics!H27-Scale_PCA_Mechanics!H30)^2+(Scale_PCA_Mechanics!I27-Scale_PCA_Mechanics!I30)^2+(Scale_PCA_Mechanics!J27-Scale_PCA_Mechanics!J30)^2)</f>
        <v/>
      </c>
      <c r="D929">
        <f>INDEX(KMeans_6_2!AA2:AA51,A929)</f>
        <v/>
      </c>
      <c r="E929">
        <f>INDEX(KMeans_6_2!AA2:AA51,B929)</f>
        <v/>
      </c>
      <c r="O929">
        <f>IF(OR(AND(D929=1,E929=2),AND(D929=2,E929=1)),C929,"")</f>
        <v/>
      </c>
      <c r="P929">
        <f>IF(OR(AND(D929=1,E929=3),AND(D929=3,E929=1)),C929,"")</f>
        <v/>
      </c>
      <c r="Q929">
        <f>IF(OR(AND(D929=2,E929=3),AND(D929=3,E929=2)),C929,"")</f>
        <v/>
      </c>
    </row>
    <row r="930">
      <c r="A930" t="n">
        <v>26</v>
      </c>
      <c r="B930" t="n">
        <v>30</v>
      </c>
      <c r="C930">
        <f>SQRT((Scale_PCA_Mechanics!G27-Scale_PCA_Mechanics!G31)^2+(Scale_PCA_Mechanics!H27-Scale_PCA_Mechanics!H31)^2+(Scale_PCA_Mechanics!I27-Scale_PCA_Mechanics!I31)^2+(Scale_PCA_Mechanics!J27-Scale_PCA_Mechanics!J31)^2)</f>
        <v/>
      </c>
      <c r="D930">
        <f>INDEX(KMeans_6_2!AA2:AA51,A930)</f>
        <v/>
      </c>
      <c r="E930">
        <f>INDEX(KMeans_6_2!AA2:AA51,B930)</f>
        <v/>
      </c>
      <c r="O930">
        <f>IF(OR(AND(D930=1,E930=2),AND(D930=2,E930=1)),C930,"")</f>
        <v/>
      </c>
      <c r="P930">
        <f>IF(OR(AND(D930=1,E930=3),AND(D930=3,E930=1)),C930,"")</f>
        <v/>
      </c>
      <c r="Q930">
        <f>IF(OR(AND(D930=2,E930=3),AND(D930=3,E930=2)),C930,"")</f>
        <v/>
      </c>
    </row>
    <row r="931">
      <c r="A931" t="n">
        <v>26</v>
      </c>
      <c r="B931" t="n">
        <v>31</v>
      </c>
      <c r="C931">
        <f>SQRT((Scale_PCA_Mechanics!G27-Scale_PCA_Mechanics!G32)^2+(Scale_PCA_Mechanics!H27-Scale_PCA_Mechanics!H32)^2+(Scale_PCA_Mechanics!I27-Scale_PCA_Mechanics!I32)^2+(Scale_PCA_Mechanics!J27-Scale_PCA_Mechanics!J32)^2)</f>
        <v/>
      </c>
      <c r="D931">
        <f>INDEX(KMeans_6_2!AA2:AA51,A931)</f>
        <v/>
      </c>
      <c r="E931">
        <f>INDEX(KMeans_6_2!AA2:AA51,B931)</f>
        <v/>
      </c>
      <c r="O931">
        <f>IF(OR(AND(D931=1,E931=2),AND(D931=2,E931=1)),C931,"")</f>
        <v/>
      </c>
      <c r="P931">
        <f>IF(OR(AND(D931=1,E931=3),AND(D931=3,E931=1)),C931,"")</f>
        <v/>
      </c>
      <c r="Q931">
        <f>IF(OR(AND(D931=2,E931=3),AND(D931=3,E931=2)),C931,"")</f>
        <v/>
      </c>
    </row>
    <row r="932">
      <c r="A932" t="n">
        <v>26</v>
      </c>
      <c r="B932" t="n">
        <v>32</v>
      </c>
      <c r="C932">
        <f>SQRT((Scale_PCA_Mechanics!G27-Scale_PCA_Mechanics!G33)^2+(Scale_PCA_Mechanics!H27-Scale_PCA_Mechanics!H33)^2+(Scale_PCA_Mechanics!I27-Scale_PCA_Mechanics!I33)^2+(Scale_PCA_Mechanics!J27-Scale_PCA_Mechanics!J33)^2)</f>
        <v/>
      </c>
      <c r="D932">
        <f>INDEX(KMeans_6_2!AA2:AA51,A932)</f>
        <v/>
      </c>
      <c r="E932">
        <f>INDEX(KMeans_6_2!AA2:AA51,B932)</f>
        <v/>
      </c>
      <c r="O932">
        <f>IF(OR(AND(D932=1,E932=2),AND(D932=2,E932=1)),C932,"")</f>
        <v/>
      </c>
      <c r="P932">
        <f>IF(OR(AND(D932=1,E932=3),AND(D932=3,E932=1)),C932,"")</f>
        <v/>
      </c>
      <c r="Q932">
        <f>IF(OR(AND(D932=2,E932=3),AND(D932=3,E932=2)),C932,"")</f>
        <v/>
      </c>
    </row>
    <row r="933">
      <c r="A933" t="n">
        <v>26</v>
      </c>
      <c r="B933" t="n">
        <v>33</v>
      </c>
      <c r="C933">
        <f>SQRT((Scale_PCA_Mechanics!G27-Scale_PCA_Mechanics!G34)^2+(Scale_PCA_Mechanics!H27-Scale_PCA_Mechanics!H34)^2+(Scale_PCA_Mechanics!I27-Scale_PCA_Mechanics!I34)^2+(Scale_PCA_Mechanics!J27-Scale_PCA_Mechanics!J34)^2)</f>
        <v/>
      </c>
      <c r="D933">
        <f>INDEX(KMeans_6_2!AA2:AA51,A933)</f>
        <v/>
      </c>
      <c r="E933">
        <f>INDEX(KMeans_6_2!AA2:AA51,B933)</f>
        <v/>
      </c>
      <c r="O933">
        <f>IF(OR(AND(D933=1,E933=2),AND(D933=2,E933=1)),C933,"")</f>
        <v/>
      </c>
      <c r="P933">
        <f>IF(OR(AND(D933=1,E933=3),AND(D933=3,E933=1)),C933,"")</f>
        <v/>
      </c>
      <c r="Q933">
        <f>IF(OR(AND(D933=2,E933=3),AND(D933=3,E933=2)),C933,"")</f>
        <v/>
      </c>
    </row>
    <row r="934">
      <c r="A934" t="n">
        <v>26</v>
      </c>
      <c r="B934" t="n">
        <v>34</v>
      </c>
      <c r="C934">
        <f>SQRT((Scale_PCA_Mechanics!G27-Scale_PCA_Mechanics!G35)^2+(Scale_PCA_Mechanics!H27-Scale_PCA_Mechanics!H35)^2+(Scale_PCA_Mechanics!I27-Scale_PCA_Mechanics!I35)^2+(Scale_PCA_Mechanics!J27-Scale_PCA_Mechanics!J35)^2)</f>
        <v/>
      </c>
      <c r="D934">
        <f>INDEX(KMeans_6_2!AA2:AA51,A934)</f>
        <v/>
      </c>
      <c r="E934">
        <f>INDEX(KMeans_6_2!AA2:AA51,B934)</f>
        <v/>
      </c>
      <c r="O934">
        <f>IF(OR(AND(D934=1,E934=2),AND(D934=2,E934=1)),C934,"")</f>
        <v/>
      </c>
      <c r="P934">
        <f>IF(OR(AND(D934=1,E934=3),AND(D934=3,E934=1)),C934,"")</f>
        <v/>
      </c>
      <c r="Q934">
        <f>IF(OR(AND(D934=2,E934=3),AND(D934=3,E934=2)),C934,"")</f>
        <v/>
      </c>
    </row>
    <row r="935">
      <c r="A935" t="n">
        <v>26</v>
      </c>
      <c r="B935" t="n">
        <v>35</v>
      </c>
      <c r="C935">
        <f>SQRT((Scale_PCA_Mechanics!G27-Scale_PCA_Mechanics!G36)^2+(Scale_PCA_Mechanics!H27-Scale_PCA_Mechanics!H36)^2+(Scale_PCA_Mechanics!I27-Scale_PCA_Mechanics!I36)^2+(Scale_PCA_Mechanics!J27-Scale_PCA_Mechanics!J36)^2)</f>
        <v/>
      </c>
      <c r="D935">
        <f>INDEX(KMeans_6_2!AA2:AA51,A935)</f>
        <v/>
      </c>
      <c r="E935">
        <f>INDEX(KMeans_6_2!AA2:AA51,B935)</f>
        <v/>
      </c>
      <c r="O935">
        <f>IF(OR(AND(D935=1,E935=2),AND(D935=2,E935=1)),C935,"")</f>
        <v/>
      </c>
      <c r="P935">
        <f>IF(OR(AND(D935=1,E935=3),AND(D935=3,E935=1)),C935,"")</f>
        <v/>
      </c>
      <c r="Q935">
        <f>IF(OR(AND(D935=2,E935=3),AND(D935=3,E935=2)),C935,"")</f>
        <v/>
      </c>
    </row>
    <row r="936">
      <c r="A936" t="n">
        <v>26</v>
      </c>
      <c r="B936" t="n">
        <v>36</v>
      </c>
      <c r="C936">
        <f>SQRT((Scale_PCA_Mechanics!G27-Scale_PCA_Mechanics!G37)^2+(Scale_PCA_Mechanics!H27-Scale_PCA_Mechanics!H37)^2+(Scale_PCA_Mechanics!I27-Scale_PCA_Mechanics!I37)^2+(Scale_PCA_Mechanics!J27-Scale_PCA_Mechanics!J37)^2)</f>
        <v/>
      </c>
      <c r="D936">
        <f>INDEX(KMeans_6_2!AA2:AA51,A936)</f>
        <v/>
      </c>
      <c r="E936">
        <f>INDEX(KMeans_6_2!AA2:AA51,B936)</f>
        <v/>
      </c>
      <c r="O936">
        <f>IF(OR(AND(D936=1,E936=2),AND(D936=2,E936=1)),C936,"")</f>
        <v/>
      </c>
      <c r="P936">
        <f>IF(OR(AND(D936=1,E936=3),AND(D936=3,E936=1)),C936,"")</f>
        <v/>
      </c>
      <c r="Q936">
        <f>IF(OR(AND(D936=2,E936=3),AND(D936=3,E936=2)),C936,"")</f>
        <v/>
      </c>
    </row>
    <row r="937">
      <c r="A937" t="n">
        <v>26</v>
      </c>
      <c r="B937" t="n">
        <v>37</v>
      </c>
      <c r="C937">
        <f>SQRT((Scale_PCA_Mechanics!G27-Scale_PCA_Mechanics!G38)^2+(Scale_PCA_Mechanics!H27-Scale_PCA_Mechanics!H38)^2+(Scale_PCA_Mechanics!I27-Scale_PCA_Mechanics!I38)^2+(Scale_PCA_Mechanics!J27-Scale_PCA_Mechanics!J38)^2)</f>
        <v/>
      </c>
      <c r="D937">
        <f>INDEX(KMeans_6_2!AA2:AA51,A937)</f>
        <v/>
      </c>
      <c r="E937">
        <f>INDEX(KMeans_6_2!AA2:AA51,B937)</f>
        <v/>
      </c>
      <c r="O937">
        <f>IF(OR(AND(D937=1,E937=2),AND(D937=2,E937=1)),C937,"")</f>
        <v/>
      </c>
      <c r="P937">
        <f>IF(OR(AND(D937=1,E937=3),AND(D937=3,E937=1)),C937,"")</f>
        <v/>
      </c>
      <c r="Q937">
        <f>IF(OR(AND(D937=2,E937=3),AND(D937=3,E937=2)),C937,"")</f>
        <v/>
      </c>
    </row>
    <row r="938">
      <c r="A938" t="n">
        <v>26</v>
      </c>
      <c r="B938" t="n">
        <v>38</v>
      </c>
      <c r="C938">
        <f>SQRT((Scale_PCA_Mechanics!G27-Scale_PCA_Mechanics!G39)^2+(Scale_PCA_Mechanics!H27-Scale_PCA_Mechanics!H39)^2+(Scale_PCA_Mechanics!I27-Scale_PCA_Mechanics!I39)^2+(Scale_PCA_Mechanics!J27-Scale_PCA_Mechanics!J39)^2)</f>
        <v/>
      </c>
      <c r="D938">
        <f>INDEX(KMeans_6_2!AA2:AA51,A938)</f>
        <v/>
      </c>
      <c r="E938">
        <f>INDEX(KMeans_6_2!AA2:AA51,B938)</f>
        <v/>
      </c>
      <c r="O938">
        <f>IF(OR(AND(D938=1,E938=2),AND(D938=2,E938=1)),C938,"")</f>
        <v/>
      </c>
      <c r="P938">
        <f>IF(OR(AND(D938=1,E938=3),AND(D938=3,E938=1)),C938,"")</f>
        <v/>
      </c>
      <c r="Q938">
        <f>IF(OR(AND(D938=2,E938=3),AND(D938=3,E938=2)),C938,"")</f>
        <v/>
      </c>
    </row>
    <row r="939">
      <c r="A939" t="n">
        <v>26</v>
      </c>
      <c r="B939" t="n">
        <v>39</v>
      </c>
      <c r="C939">
        <f>SQRT((Scale_PCA_Mechanics!G27-Scale_PCA_Mechanics!G40)^2+(Scale_PCA_Mechanics!H27-Scale_PCA_Mechanics!H40)^2+(Scale_PCA_Mechanics!I27-Scale_PCA_Mechanics!I40)^2+(Scale_PCA_Mechanics!J27-Scale_PCA_Mechanics!J40)^2)</f>
        <v/>
      </c>
      <c r="D939">
        <f>INDEX(KMeans_6_2!AA2:AA51,A939)</f>
        <v/>
      </c>
      <c r="E939">
        <f>INDEX(KMeans_6_2!AA2:AA51,B939)</f>
        <v/>
      </c>
      <c r="O939">
        <f>IF(OR(AND(D939=1,E939=2),AND(D939=2,E939=1)),C939,"")</f>
        <v/>
      </c>
      <c r="P939">
        <f>IF(OR(AND(D939=1,E939=3),AND(D939=3,E939=1)),C939,"")</f>
        <v/>
      </c>
      <c r="Q939">
        <f>IF(OR(AND(D939=2,E939=3),AND(D939=3,E939=2)),C939,"")</f>
        <v/>
      </c>
    </row>
    <row r="940">
      <c r="A940" t="n">
        <v>26</v>
      </c>
      <c r="B940" t="n">
        <v>40</v>
      </c>
      <c r="C940">
        <f>SQRT((Scale_PCA_Mechanics!G27-Scale_PCA_Mechanics!G41)^2+(Scale_PCA_Mechanics!H27-Scale_PCA_Mechanics!H41)^2+(Scale_PCA_Mechanics!I27-Scale_PCA_Mechanics!I41)^2+(Scale_PCA_Mechanics!J27-Scale_PCA_Mechanics!J41)^2)</f>
        <v/>
      </c>
      <c r="D940">
        <f>INDEX(KMeans_6_2!AA2:AA51,A940)</f>
        <v/>
      </c>
      <c r="E940">
        <f>INDEX(KMeans_6_2!AA2:AA51,B940)</f>
        <v/>
      </c>
      <c r="O940">
        <f>IF(OR(AND(D940=1,E940=2),AND(D940=2,E940=1)),C940,"")</f>
        <v/>
      </c>
      <c r="P940">
        <f>IF(OR(AND(D940=1,E940=3),AND(D940=3,E940=1)),C940,"")</f>
        <v/>
      </c>
      <c r="Q940">
        <f>IF(OR(AND(D940=2,E940=3),AND(D940=3,E940=2)),C940,"")</f>
        <v/>
      </c>
    </row>
    <row r="941">
      <c r="A941" t="n">
        <v>26</v>
      </c>
      <c r="B941" t="n">
        <v>41</v>
      </c>
      <c r="C941">
        <f>SQRT((Scale_PCA_Mechanics!G27-Scale_PCA_Mechanics!G42)^2+(Scale_PCA_Mechanics!H27-Scale_PCA_Mechanics!H42)^2+(Scale_PCA_Mechanics!I27-Scale_PCA_Mechanics!I42)^2+(Scale_PCA_Mechanics!J27-Scale_PCA_Mechanics!J42)^2)</f>
        <v/>
      </c>
      <c r="D941">
        <f>INDEX(KMeans_6_2!AA2:AA51,A941)</f>
        <v/>
      </c>
      <c r="E941">
        <f>INDEX(KMeans_6_2!AA2:AA51,B941)</f>
        <v/>
      </c>
      <c r="O941">
        <f>IF(OR(AND(D941=1,E941=2),AND(D941=2,E941=1)),C941,"")</f>
        <v/>
      </c>
      <c r="P941">
        <f>IF(OR(AND(D941=1,E941=3),AND(D941=3,E941=1)),C941,"")</f>
        <v/>
      </c>
      <c r="Q941">
        <f>IF(OR(AND(D941=2,E941=3),AND(D941=3,E941=2)),C941,"")</f>
        <v/>
      </c>
    </row>
    <row r="942">
      <c r="A942" t="n">
        <v>26</v>
      </c>
      <c r="B942" t="n">
        <v>42</v>
      </c>
      <c r="C942">
        <f>SQRT((Scale_PCA_Mechanics!G27-Scale_PCA_Mechanics!G43)^2+(Scale_PCA_Mechanics!H27-Scale_PCA_Mechanics!H43)^2+(Scale_PCA_Mechanics!I27-Scale_PCA_Mechanics!I43)^2+(Scale_PCA_Mechanics!J27-Scale_PCA_Mechanics!J43)^2)</f>
        <v/>
      </c>
      <c r="D942">
        <f>INDEX(KMeans_6_2!AA2:AA51,A942)</f>
        <v/>
      </c>
      <c r="E942">
        <f>INDEX(KMeans_6_2!AA2:AA51,B942)</f>
        <v/>
      </c>
      <c r="O942">
        <f>IF(OR(AND(D942=1,E942=2),AND(D942=2,E942=1)),C942,"")</f>
        <v/>
      </c>
      <c r="P942">
        <f>IF(OR(AND(D942=1,E942=3),AND(D942=3,E942=1)),C942,"")</f>
        <v/>
      </c>
      <c r="Q942">
        <f>IF(OR(AND(D942=2,E942=3),AND(D942=3,E942=2)),C942,"")</f>
        <v/>
      </c>
    </row>
    <row r="943">
      <c r="A943" t="n">
        <v>26</v>
      </c>
      <c r="B943" t="n">
        <v>43</v>
      </c>
      <c r="C943">
        <f>SQRT((Scale_PCA_Mechanics!G27-Scale_PCA_Mechanics!G44)^2+(Scale_PCA_Mechanics!H27-Scale_PCA_Mechanics!H44)^2+(Scale_PCA_Mechanics!I27-Scale_PCA_Mechanics!I44)^2+(Scale_PCA_Mechanics!J27-Scale_PCA_Mechanics!J44)^2)</f>
        <v/>
      </c>
      <c r="D943">
        <f>INDEX(KMeans_6_2!AA2:AA51,A943)</f>
        <v/>
      </c>
      <c r="E943">
        <f>INDEX(KMeans_6_2!AA2:AA51,B943)</f>
        <v/>
      </c>
      <c r="O943">
        <f>IF(OR(AND(D943=1,E943=2),AND(D943=2,E943=1)),C943,"")</f>
        <v/>
      </c>
      <c r="P943">
        <f>IF(OR(AND(D943=1,E943=3),AND(D943=3,E943=1)),C943,"")</f>
        <v/>
      </c>
      <c r="Q943">
        <f>IF(OR(AND(D943=2,E943=3),AND(D943=3,E943=2)),C943,"")</f>
        <v/>
      </c>
    </row>
    <row r="944">
      <c r="A944" t="n">
        <v>26</v>
      </c>
      <c r="B944" t="n">
        <v>44</v>
      </c>
      <c r="C944">
        <f>SQRT((Scale_PCA_Mechanics!G27-Scale_PCA_Mechanics!G45)^2+(Scale_PCA_Mechanics!H27-Scale_PCA_Mechanics!H45)^2+(Scale_PCA_Mechanics!I27-Scale_PCA_Mechanics!I45)^2+(Scale_PCA_Mechanics!J27-Scale_PCA_Mechanics!J45)^2)</f>
        <v/>
      </c>
      <c r="D944">
        <f>INDEX(KMeans_6_2!AA2:AA51,A944)</f>
        <v/>
      </c>
      <c r="E944">
        <f>INDEX(KMeans_6_2!AA2:AA51,B944)</f>
        <v/>
      </c>
      <c r="O944">
        <f>IF(OR(AND(D944=1,E944=2),AND(D944=2,E944=1)),C944,"")</f>
        <v/>
      </c>
      <c r="P944">
        <f>IF(OR(AND(D944=1,E944=3),AND(D944=3,E944=1)),C944,"")</f>
        <v/>
      </c>
      <c r="Q944">
        <f>IF(OR(AND(D944=2,E944=3),AND(D944=3,E944=2)),C944,"")</f>
        <v/>
      </c>
    </row>
    <row r="945">
      <c r="A945" t="n">
        <v>26</v>
      </c>
      <c r="B945" t="n">
        <v>45</v>
      </c>
      <c r="C945">
        <f>SQRT((Scale_PCA_Mechanics!G27-Scale_PCA_Mechanics!G46)^2+(Scale_PCA_Mechanics!H27-Scale_PCA_Mechanics!H46)^2+(Scale_PCA_Mechanics!I27-Scale_PCA_Mechanics!I46)^2+(Scale_PCA_Mechanics!J27-Scale_PCA_Mechanics!J46)^2)</f>
        <v/>
      </c>
      <c r="D945">
        <f>INDEX(KMeans_6_2!AA2:AA51,A945)</f>
        <v/>
      </c>
      <c r="E945">
        <f>INDEX(KMeans_6_2!AA2:AA51,B945)</f>
        <v/>
      </c>
      <c r="O945">
        <f>IF(OR(AND(D945=1,E945=2),AND(D945=2,E945=1)),C945,"")</f>
        <v/>
      </c>
      <c r="P945">
        <f>IF(OR(AND(D945=1,E945=3),AND(D945=3,E945=1)),C945,"")</f>
        <v/>
      </c>
      <c r="Q945">
        <f>IF(OR(AND(D945=2,E945=3),AND(D945=3,E945=2)),C945,"")</f>
        <v/>
      </c>
    </row>
    <row r="946">
      <c r="A946" t="n">
        <v>26</v>
      </c>
      <c r="B946" t="n">
        <v>46</v>
      </c>
      <c r="C946">
        <f>SQRT((Scale_PCA_Mechanics!G27-Scale_PCA_Mechanics!G47)^2+(Scale_PCA_Mechanics!H27-Scale_PCA_Mechanics!H47)^2+(Scale_PCA_Mechanics!I27-Scale_PCA_Mechanics!I47)^2+(Scale_PCA_Mechanics!J27-Scale_PCA_Mechanics!J47)^2)</f>
        <v/>
      </c>
      <c r="D946">
        <f>INDEX(KMeans_6_2!AA2:AA51,A946)</f>
        <v/>
      </c>
      <c r="E946">
        <f>INDEX(KMeans_6_2!AA2:AA51,B946)</f>
        <v/>
      </c>
      <c r="O946">
        <f>IF(OR(AND(D946=1,E946=2),AND(D946=2,E946=1)),C946,"")</f>
        <v/>
      </c>
      <c r="P946">
        <f>IF(OR(AND(D946=1,E946=3),AND(D946=3,E946=1)),C946,"")</f>
        <v/>
      </c>
      <c r="Q946">
        <f>IF(OR(AND(D946=2,E946=3),AND(D946=3,E946=2)),C946,"")</f>
        <v/>
      </c>
    </row>
    <row r="947">
      <c r="A947" t="n">
        <v>26</v>
      </c>
      <c r="B947" t="n">
        <v>47</v>
      </c>
      <c r="C947">
        <f>SQRT((Scale_PCA_Mechanics!G27-Scale_PCA_Mechanics!G48)^2+(Scale_PCA_Mechanics!H27-Scale_PCA_Mechanics!H48)^2+(Scale_PCA_Mechanics!I27-Scale_PCA_Mechanics!I48)^2+(Scale_PCA_Mechanics!J27-Scale_PCA_Mechanics!J48)^2)</f>
        <v/>
      </c>
      <c r="D947">
        <f>INDEX(KMeans_6_2!AA2:AA51,A947)</f>
        <v/>
      </c>
      <c r="E947">
        <f>INDEX(KMeans_6_2!AA2:AA51,B947)</f>
        <v/>
      </c>
      <c r="O947">
        <f>IF(OR(AND(D947=1,E947=2),AND(D947=2,E947=1)),C947,"")</f>
        <v/>
      </c>
      <c r="P947">
        <f>IF(OR(AND(D947=1,E947=3),AND(D947=3,E947=1)),C947,"")</f>
        <v/>
      </c>
      <c r="Q947">
        <f>IF(OR(AND(D947=2,E947=3),AND(D947=3,E947=2)),C947,"")</f>
        <v/>
      </c>
    </row>
    <row r="948">
      <c r="A948" t="n">
        <v>26</v>
      </c>
      <c r="B948" t="n">
        <v>48</v>
      </c>
      <c r="C948">
        <f>SQRT((Scale_PCA_Mechanics!G27-Scale_PCA_Mechanics!G49)^2+(Scale_PCA_Mechanics!H27-Scale_PCA_Mechanics!H49)^2+(Scale_PCA_Mechanics!I27-Scale_PCA_Mechanics!I49)^2+(Scale_PCA_Mechanics!J27-Scale_PCA_Mechanics!J49)^2)</f>
        <v/>
      </c>
      <c r="D948">
        <f>INDEX(KMeans_6_2!AA2:AA51,A948)</f>
        <v/>
      </c>
      <c r="E948">
        <f>INDEX(KMeans_6_2!AA2:AA51,B948)</f>
        <v/>
      </c>
      <c r="O948">
        <f>IF(OR(AND(D948=1,E948=2),AND(D948=2,E948=1)),C948,"")</f>
        <v/>
      </c>
      <c r="P948">
        <f>IF(OR(AND(D948=1,E948=3),AND(D948=3,E948=1)),C948,"")</f>
        <v/>
      </c>
      <c r="Q948">
        <f>IF(OR(AND(D948=2,E948=3),AND(D948=3,E948=2)),C948,"")</f>
        <v/>
      </c>
    </row>
    <row r="949">
      <c r="A949" t="n">
        <v>26</v>
      </c>
      <c r="B949" t="n">
        <v>49</v>
      </c>
      <c r="C949">
        <f>SQRT((Scale_PCA_Mechanics!G27-Scale_PCA_Mechanics!G50)^2+(Scale_PCA_Mechanics!H27-Scale_PCA_Mechanics!H50)^2+(Scale_PCA_Mechanics!I27-Scale_PCA_Mechanics!I50)^2+(Scale_PCA_Mechanics!J27-Scale_PCA_Mechanics!J50)^2)</f>
        <v/>
      </c>
      <c r="D949">
        <f>INDEX(KMeans_6_2!AA2:AA51,A949)</f>
        <v/>
      </c>
      <c r="E949">
        <f>INDEX(KMeans_6_2!AA2:AA51,B949)</f>
        <v/>
      </c>
      <c r="O949">
        <f>IF(OR(AND(D949=1,E949=2),AND(D949=2,E949=1)),C949,"")</f>
        <v/>
      </c>
      <c r="P949">
        <f>IF(OR(AND(D949=1,E949=3),AND(D949=3,E949=1)),C949,"")</f>
        <v/>
      </c>
      <c r="Q949">
        <f>IF(OR(AND(D949=2,E949=3),AND(D949=3,E949=2)),C949,"")</f>
        <v/>
      </c>
    </row>
    <row r="950">
      <c r="A950" t="n">
        <v>26</v>
      </c>
      <c r="B950" t="n">
        <v>50</v>
      </c>
      <c r="C950">
        <f>SQRT((Scale_PCA_Mechanics!G27-Scale_PCA_Mechanics!G51)^2+(Scale_PCA_Mechanics!H27-Scale_PCA_Mechanics!H51)^2+(Scale_PCA_Mechanics!I27-Scale_PCA_Mechanics!I51)^2+(Scale_PCA_Mechanics!J27-Scale_PCA_Mechanics!J51)^2)</f>
        <v/>
      </c>
      <c r="D950">
        <f>INDEX(KMeans_6_2!AA2:AA51,A950)</f>
        <v/>
      </c>
      <c r="E950">
        <f>INDEX(KMeans_6_2!AA2:AA51,B950)</f>
        <v/>
      </c>
      <c r="O950">
        <f>IF(OR(AND(D950=1,E950=2),AND(D950=2,E950=1)),C950,"")</f>
        <v/>
      </c>
      <c r="P950">
        <f>IF(OR(AND(D950=1,E950=3),AND(D950=3,E950=1)),C950,"")</f>
        <v/>
      </c>
      <c r="Q950">
        <f>IF(OR(AND(D950=2,E950=3),AND(D950=3,E950=2)),C950,"")</f>
        <v/>
      </c>
    </row>
    <row r="951">
      <c r="A951" t="n">
        <v>27</v>
      </c>
      <c r="B951" t="n">
        <v>28</v>
      </c>
      <c r="C951">
        <f>SQRT((Scale_PCA_Mechanics!G28-Scale_PCA_Mechanics!G29)^2+(Scale_PCA_Mechanics!H28-Scale_PCA_Mechanics!H29)^2+(Scale_PCA_Mechanics!I28-Scale_PCA_Mechanics!I29)^2+(Scale_PCA_Mechanics!J28-Scale_PCA_Mechanics!J29)^2)</f>
        <v/>
      </c>
      <c r="D951">
        <f>INDEX(KMeans_6_2!AA2:AA51,A951)</f>
        <v/>
      </c>
      <c r="E951">
        <f>INDEX(KMeans_6_2!AA2:AA51,B951)</f>
        <v/>
      </c>
      <c r="O951">
        <f>IF(OR(AND(D951=1,E951=2),AND(D951=2,E951=1)),C951,"")</f>
        <v/>
      </c>
      <c r="P951">
        <f>IF(OR(AND(D951=1,E951=3),AND(D951=3,E951=1)),C951,"")</f>
        <v/>
      </c>
      <c r="Q951">
        <f>IF(OR(AND(D951=2,E951=3),AND(D951=3,E951=2)),C951,"")</f>
        <v/>
      </c>
    </row>
    <row r="952">
      <c r="A952" t="n">
        <v>27</v>
      </c>
      <c r="B952" t="n">
        <v>29</v>
      </c>
      <c r="C952">
        <f>SQRT((Scale_PCA_Mechanics!G28-Scale_PCA_Mechanics!G30)^2+(Scale_PCA_Mechanics!H28-Scale_PCA_Mechanics!H30)^2+(Scale_PCA_Mechanics!I28-Scale_PCA_Mechanics!I30)^2+(Scale_PCA_Mechanics!J28-Scale_PCA_Mechanics!J30)^2)</f>
        <v/>
      </c>
      <c r="D952">
        <f>INDEX(KMeans_6_2!AA2:AA51,A952)</f>
        <v/>
      </c>
      <c r="E952">
        <f>INDEX(KMeans_6_2!AA2:AA51,B952)</f>
        <v/>
      </c>
      <c r="O952">
        <f>IF(OR(AND(D952=1,E952=2),AND(D952=2,E952=1)),C952,"")</f>
        <v/>
      </c>
      <c r="P952">
        <f>IF(OR(AND(D952=1,E952=3),AND(D952=3,E952=1)),C952,"")</f>
        <v/>
      </c>
      <c r="Q952">
        <f>IF(OR(AND(D952=2,E952=3),AND(D952=3,E952=2)),C952,"")</f>
        <v/>
      </c>
    </row>
    <row r="953">
      <c r="A953" t="n">
        <v>27</v>
      </c>
      <c r="B953" t="n">
        <v>30</v>
      </c>
      <c r="C953">
        <f>SQRT((Scale_PCA_Mechanics!G28-Scale_PCA_Mechanics!G31)^2+(Scale_PCA_Mechanics!H28-Scale_PCA_Mechanics!H31)^2+(Scale_PCA_Mechanics!I28-Scale_PCA_Mechanics!I31)^2+(Scale_PCA_Mechanics!J28-Scale_PCA_Mechanics!J31)^2)</f>
        <v/>
      </c>
      <c r="D953">
        <f>INDEX(KMeans_6_2!AA2:AA51,A953)</f>
        <v/>
      </c>
      <c r="E953">
        <f>INDEX(KMeans_6_2!AA2:AA51,B953)</f>
        <v/>
      </c>
      <c r="O953">
        <f>IF(OR(AND(D953=1,E953=2),AND(D953=2,E953=1)),C953,"")</f>
        <v/>
      </c>
      <c r="P953">
        <f>IF(OR(AND(D953=1,E953=3),AND(D953=3,E953=1)),C953,"")</f>
        <v/>
      </c>
      <c r="Q953">
        <f>IF(OR(AND(D953=2,E953=3),AND(D953=3,E953=2)),C953,"")</f>
        <v/>
      </c>
    </row>
    <row r="954">
      <c r="A954" t="n">
        <v>27</v>
      </c>
      <c r="B954" t="n">
        <v>31</v>
      </c>
      <c r="C954">
        <f>SQRT((Scale_PCA_Mechanics!G28-Scale_PCA_Mechanics!G32)^2+(Scale_PCA_Mechanics!H28-Scale_PCA_Mechanics!H32)^2+(Scale_PCA_Mechanics!I28-Scale_PCA_Mechanics!I32)^2+(Scale_PCA_Mechanics!J28-Scale_PCA_Mechanics!J32)^2)</f>
        <v/>
      </c>
      <c r="D954">
        <f>INDEX(KMeans_6_2!AA2:AA51,A954)</f>
        <v/>
      </c>
      <c r="E954">
        <f>INDEX(KMeans_6_2!AA2:AA51,B954)</f>
        <v/>
      </c>
      <c r="O954">
        <f>IF(OR(AND(D954=1,E954=2),AND(D954=2,E954=1)),C954,"")</f>
        <v/>
      </c>
      <c r="P954">
        <f>IF(OR(AND(D954=1,E954=3),AND(D954=3,E954=1)),C954,"")</f>
        <v/>
      </c>
      <c r="Q954">
        <f>IF(OR(AND(D954=2,E954=3),AND(D954=3,E954=2)),C954,"")</f>
        <v/>
      </c>
    </row>
    <row r="955">
      <c r="A955" t="n">
        <v>27</v>
      </c>
      <c r="B955" t="n">
        <v>32</v>
      </c>
      <c r="C955">
        <f>SQRT((Scale_PCA_Mechanics!G28-Scale_PCA_Mechanics!G33)^2+(Scale_PCA_Mechanics!H28-Scale_PCA_Mechanics!H33)^2+(Scale_PCA_Mechanics!I28-Scale_PCA_Mechanics!I33)^2+(Scale_PCA_Mechanics!J28-Scale_PCA_Mechanics!J33)^2)</f>
        <v/>
      </c>
      <c r="D955">
        <f>INDEX(KMeans_6_2!AA2:AA51,A955)</f>
        <v/>
      </c>
      <c r="E955">
        <f>INDEX(KMeans_6_2!AA2:AA51,B955)</f>
        <v/>
      </c>
      <c r="O955">
        <f>IF(OR(AND(D955=1,E955=2),AND(D955=2,E955=1)),C955,"")</f>
        <v/>
      </c>
      <c r="P955">
        <f>IF(OR(AND(D955=1,E955=3),AND(D955=3,E955=1)),C955,"")</f>
        <v/>
      </c>
      <c r="Q955">
        <f>IF(OR(AND(D955=2,E955=3),AND(D955=3,E955=2)),C955,"")</f>
        <v/>
      </c>
    </row>
    <row r="956">
      <c r="A956" t="n">
        <v>27</v>
      </c>
      <c r="B956" t="n">
        <v>33</v>
      </c>
      <c r="C956">
        <f>SQRT((Scale_PCA_Mechanics!G28-Scale_PCA_Mechanics!G34)^2+(Scale_PCA_Mechanics!H28-Scale_PCA_Mechanics!H34)^2+(Scale_PCA_Mechanics!I28-Scale_PCA_Mechanics!I34)^2+(Scale_PCA_Mechanics!J28-Scale_PCA_Mechanics!J34)^2)</f>
        <v/>
      </c>
      <c r="D956">
        <f>INDEX(KMeans_6_2!AA2:AA51,A956)</f>
        <v/>
      </c>
      <c r="E956">
        <f>INDEX(KMeans_6_2!AA2:AA51,B956)</f>
        <v/>
      </c>
      <c r="O956">
        <f>IF(OR(AND(D956=1,E956=2),AND(D956=2,E956=1)),C956,"")</f>
        <v/>
      </c>
      <c r="P956">
        <f>IF(OR(AND(D956=1,E956=3),AND(D956=3,E956=1)),C956,"")</f>
        <v/>
      </c>
      <c r="Q956">
        <f>IF(OR(AND(D956=2,E956=3),AND(D956=3,E956=2)),C956,"")</f>
        <v/>
      </c>
    </row>
    <row r="957">
      <c r="A957" t="n">
        <v>27</v>
      </c>
      <c r="B957" t="n">
        <v>34</v>
      </c>
      <c r="C957">
        <f>SQRT((Scale_PCA_Mechanics!G28-Scale_PCA_Mechanics!G35)^2+(Scale_PCA_Mechanics!H28-Scale_PCA_Mechanics!H35)^2+(Scale_PCA_Mechanics!I28-Scale_PCA_Mechanics!I35)^2+(Scale_PCA_Mechanics!J28-Scale_PCA_Mechanics!J35)^2)</f>
        <v/>
      </c>
      <c r="D957">
        <f>INDEX(KMeans_6_2!AA2:AA51,A957)</f>
        <v/>
      </c>
      <c r="E957">
        <f>INDEX(KMeans_6_2!AA2:AA51,B957)</f>
        <v/>
      </c>
      <c r="O957">
        <f>IF(OR(AND(D957=1,E957=2),AND(D957=2,E957=1)),C957,"")</f>
        <v/>
      </c>
      <c r="P957">
        <f>IF(OR(AND(D957=1,E957=3),AND(D957=3,E957=1)),C957,"")</f>
        <v/>
      </c>
      <c r="Q957">
        <f>IF(OR(AND(D957=2,E957=3),AND(D957=3,E957=2)),C957,"")</f>
        <v/>
      </c>
    </row>
    <row r="958">
      <c r="A958" t="n">
        <v>27</v>
      </c>
      <c r="B958" t="n">
        <v>35</v>
      </c>
      <c r="C958">
        <f>SQRT((Scale_PCA_Mechanics!G28-Scale_PCA_Mechanics!G36)^2+(Scale_PCA_Mechanics!H28-Scale_PCA_Mechanics!H36)^2+(Scale_PCA_Mechanics!I28-Scale_PCA_Mechanics!I36)^2+(Scale_PCA_Mechanics!J28-Scale_PCA_Mechanics!J36)^2)</f>
        <v/>
      </c>
      <c r="D958">
        <f>INDEX(KMeans_6_2!AA2:AA51,A958)</f>
        <v/>
      </c>
      <c r="E958">
        <f>INDEX(KMeans_6_2!AA2:AA51,B958)</f>
        <v/>
      </c>
      <c r="O958">
        <f>IF(OR(AND(D958=1,E958=2),AND(D958=2,E958=1)),C958,"")</f>
        <v/>
      </c>
      <c r="P958">
        <f>IF(OR(AND(D958=1,E958=3),AND(D958=3,E958=1)),C958,"")</f>
        <v/>
      </c>
      <c r="Q958">
        <f>IF(OR(AND(D958=2,E958=3),AND(D958=3,E958=2)),C958,"")</f>
        <v/>
      </c>
    </row>
    <row r="959">
      <c r="A959" t="n">
        <v>27</v>
      </c>
      <c r="B959" t="n">
        <v>36</v>
      </c>
      <c r="C959">
        <f>SQRT((Scale_PCA_Mechanics!G28-Scale_PCA_Mechanics!G37)^2+(Scale_PCA_Mechanics!H28-Scale_PCA_Mechanics!H37)^2+(Scale_PCA_Mechanics!I28-Scale_PCA_Mechanics!I37)^2+(Scale_PCA_Mechanics!J28-Scale_PCA_Mechanics!J37)^2)</f>
        <v/>
      </c>
      <c r="D959">
        <f>INDEX(KMeans_6_2!AA2:AA51,A959)</f>
        <v/>
      </c>
      <c r="E959">
        <f>INDEX(KMeans_6_2!AA2:AA51,B959)</f>
        <v/>
      </c>
      <c r="O959">
        <f>IF(OR(AND(D959=1,E959=2),AND(D959=2,E959=1)),C959,"")</f>
        <v/>
      </c>
      <c r="P959">
        <f>IF(OR(AND(D959=1,E959=3),AND(D959=3,E959=1)),C959,"")</f>
        <v/>
      </c>
      <c r="Q959">
        <f>IF(OR(AND(D959=2,E959=3),AND(D959=3,E959=2)),C959,"")</f>
        <v/>
      </c>
    </row>
    <row r="960">
      <c r="A960" t="n">
        <v>27</v>
      </c>
      <c r="B960" t="n">
        <v>37</v>
      </c>
      <c r="C960">
        <f>SQRT((Scale_PCA_Mechanics!G28-Scale_PCA_Mechanics!G38)^2+(Scale_PCA_Mechanics!H28-Scale_PCA_Mechanics!H38)^2+(Scale_PCA_Mechanics!I28-Scale_PCA_Mechanics!I38)^2+(Scale_PCA_Mechanics!J28-Scale_PCA_Mechanics!J38)^2)</f>
        <v/>
      </c>
      <c r="D960">
        <f>INDEX(KMeans_6_2!AA2:AA51,A960)</f>
        <v/>
      </c>
      <c r="E960">
        <f>INDEX(KMeans_6_2!AA2:AA51,B960)</f>
        <v/>
      </c>
      <c r="O960">
        <f>IF(OR(AND(D960=1,E960=2),AND(D960=2,E960=1)),C960,"")</f>
        <v/>
      </c>
      <c r="P960">
        <f>IF(OR(AND(D960=1,E960=3),AND(D960=3,E960=1)),C960,"")</f>
        <v/>
      </c>
      <c r="Q960">
        <f>IF(OR(AND(D960=2,E960=3),AND(D960=3,E960=2)),C960,"")</f>
        <v/>
      </c>
    </row>
    <row r="961">
      <c r="A961" t="n">
        <v>27</v>
      </c>
      <c r="B961" t="n">
        <v>38</v>
      </c>
      <c r="C961">
        <f>SQRT((Scale_PCA_Mechanics!G28-Scale_PCA_Mechanics!G39)^2+(Scale_PCA_Mechanics!H28-Scale_PCA_Mechanics!H39)^2+(Scale_PCA_Mechanics!I28-Scale_PCA_Mechanics!I39)^2+(Scale_PCA_Mechanics!J28-Scale_PCA_Mechanics!J39)^2)</f>
        <v/>
      </c>
      <c r="D961">
        <f>INDEX(KMeans_6_2!AA2:AA51,A961)</f>
        <v/>
      </c>
      <c r="E961">
        <f>INDEX(KMeans_6_2!AA2:AA51,B961)</f>
        <v/>
      </c>
      <c r="O961">
        <f>IF(OR(AND(D961=1,E961=2),AND(D961=2,E961=1)),C961,"")</f>
        <v/>
      </c>
      <c r="P961">
        <f>IF(OR(AND(D961=1,E961=3),AND(D961=3,E961=1)),C961,"")</f>
        <v/>
      </c>
      <c r="Q961">
        <f>IF(OR(AND(D961=2,E961=3),AND(D961=3,E961=2)),C961,"")</f>
        <v/>
      </c>
    </row>
    <row r="962">
      <c r="A962" t="n">
        <v>27</v>
      </c>
      <c r="B962" t="n">
        <v>39</v>
      </c>
      <c r="C962">
        <f>SQRT((Scale_PCA_Mechanics!G28-Scale_PCA_Mechanics!G40)^2+(Scale_PCA_Mechanics!H28-Scale_PCA_Mechanics!H40)^2+(Scale_PCA_Mechanics!I28-Scale_PCA_Mechanics!I40)^2+(Scale_PCA_Mechanics!J28-Scale_PCA_Mechanics!J40)^2)</f>
        <v/>
      </c>
      <c r="D962">
        <f>INDEX(KMeans_6_2!AA2:AA51,A962)</f>
        <v/>
      </c>
      <c r="E962">
        <f>INDEX(KMeans_6_2!AA2:AA51,B962)</f>
        <v/>
      </c>
      <c r="O962">
        <f>IF(OR(AND(D962=1,E962=2),AND(D962=2,E962=1)),C962,"")</f>
        <v/>
      </c>
      <c r="P962">
        <f>IF(OR(AND(D962=1,E962=3),AND(D962=3,E962=1)),C962,"")</f>
        <v/>
      </c>
      <c r="Q962">
        <f>IF(OR(AND(D962=2,E962=3),AND(D962=3,E962=2)),C962,"")</f>
        <v/>
      </c>
    </row>
    <row r="963">
      <c r="A963" t="n">
        <v>27</v>
      </c>
      <c r="B963" t="n">
        <v>40</v>
      </c>
      <c r="C963">
        <f>SQRT((Scale_PCA_Mechanics!G28-Scale_PCA_Mechanics!G41)^2+(Scale_PCA_Mechanics!H28-Scale_PCA_Mechanics!H41)^2+(Scale_PCA_Mechanics!I28-Scale_PCA_Mechanics!I41)^2+(Scale_PCA_Mechanics!J28-Scale_PCA_Mechanics!J41)^2)</f>
        <v/>
      </c>
      <c r="D963">
        <f>INDEX(KMeans_6_2!AA2:AA51,A963)</f>
        <v/>
      </c>
      <c r="E963">
        <f>INDEX(KMeans_6_2!AA2:AA51,B963)</f>
        <v/>
      </c>
      <c r="O963">
        <f>IF(OR(AND(D963=1,E963=2),AND(D963=2,E963=1)),C963,"")</f>
        <v/>
      </c>
      <c r="P963">
        <f>IF(OR(AND(D963=1,E963=3),AND(D963=3,E963=1)),C963,"")</f>
        <v/>
      </c>
      <c r="Q963">
        <f>IF(OR(AND(D963=2,E963=3),AND(D963=3,E963=2)),C963,"")</f>
        <v/>
      </c>
    </row>
    <row r="964">
      <c r="A964" t="n">
        <v>27</v>
      </c>
      <c r="B964" t="n">
        <v>41</v>
      </c>
      <c r="C964">
        <f>SQRT((Scale_PCA_Mechanics!G28-Scale_PCA_Mechanics!G42)^2+(Scale_PCA_Mechanics!H28-Scale_PCA_Mechanics!H42)^2+(Scale_PCA_Mechanics!I28-Scale_PCA_Mechanics!I42)^2+(Scale_PCA_Mechanics!J28-Scale_PCA_Mechanics!J42)^2)</f>
        <v/>
      </c>
      <c r="D964">
        <f>INDEX(KMeans_6_2!AA2:AA51,A964)</f>
        <v/>
      </c>
      <c r="E964">
        <f>INDEX(KMeans_6_2!AA2:AA51,B964)</f>
        <v/>
      </c>
      <c r="O964">
        <f>IF(OR(AND(D964=1,E964=2),AND(D964=2,E964=1)),C964,"")</f>
        <v/>
      </c>
      <c r="P964">
        <f>IF(OR(AND(D964=1,E964=3),AND(D964=3,E964=1)),C964,"")</f>
        <v/>
      </c>
      <c r="Q964">
        <f>IF(OR(AND(D964=2,E964=3),AND(D964=3,E964=2)),C964,"")</f>
        <v/>
      </c>
    </row>
    <row r="965">
      <c r="A965" t="n">
        <v>27</v>
      </c>
      <c r="B965" t="n">
        <v>42</v>
      </c>
      <c r="C965">
        <f>SQRT((Scale_PCA_Mechanics!G28-Scale_PCA_Mechanics!G43)^2+(Scale_PCA_Mechanics!H28-Scale_PCA_Mechanics!H43)^2+(Scale_PCA_Mechanics!I28-Scale_PCA_Mechanics!I43)^2+(Scale_PCA_Mechanics!J28-Scale_PCA_Mechanics!J43)^2)</f>
        <v/>
      </c>
      <c r="D965">
        <f>INDEX(KMeans_6_2!AA2:AA51,A965)</f>
        <v/>
      </c>
      <c r="E965">
        <f>INDEX(KMeans_6_2!AA2:AA51,B965)</f>
        <v/>
      </c>
      <c r="O965">
        <f>IF(OR(AND(D965=1,E965=2),AND(D965=2,E965=1)),C965,"")</f>
        <v/>
      </c>
      <c r="P965">
        <f>IF(OR(AND(D965=1,E965=3),AND(D965=3,E965=1)),C965,"")</f>
        <v/>
      </c>
      <c r="Q965">
        <f>IF(OR(AND(D965=2,E965=3),AND(D965=3,E965=2)),C965,"")</f>
        <v/>
      </c>
    </row>
    <row r="966">
      <c r="A966" t="n">
        <v>27</v>
      </c>
      <c r="B966" t="n">
        <v>43</v>
      </c>
      <c r="C966">
        <f>SQRT((Scale_PCA_Mechanics!G28-Scale_PCA_Mechanics!G44)^2+(Scale_PCA_Mechanics!H28-Scale_PCA_Mechanics!H44)^2+(Scale_PCA_Mechanics!I28-Scale_PCA_Mechanics!I44)^2+(Scale_PCA_Mechanics!J28-Scale_PCA_Mechanics!J44)^2)</f>
        <v/>
      </c>
      <c r="D966">
        <f>INDEX(KMeans_6_2!AA2:AA51,A966)</f>
        <v/>
      </c>
      <c r="E966">
        <f>INDEX(KMeans_6_2!AA2:AA51,B966)</f>
        <v/>
      </c>
      <c r="O966">
        <f>IF(OR(AND(D966=1,E966=2),AND(D966=2,E966=1)),C966,"")</f>
        <v/>
      </c>
      <c r="P966">
        <f>IF(OR(AND(D966=1,E966=3),AND(D966=3,E966=1)),C966,"")</f>
        <v/>
      </c>
      <c r="Q966">
        <f>IF(OR(AND(D966=2,E966=3),AND(D966=3,E966=2)),C966,"")</f>
        <v/>
      </c>
    </row>
    <row r="967">
      <c r="A967" t="n">
        <v>27</v>
      </c>
      <c r="B967" t="n">
        <v>44</v>
      </c>
      <c r="C967">
        <f>SQRT((Scale_PCA_Mechanics!G28-Scale_PCA_Mechanics!G45)^2+(Scale_PCA_Mechanics!H28-Scale_PCA_Mechanics!H45)^2+(Scale_PCA_Mechanics!I28-Scale_PCA_Mechanics!I45)^2+(Scale_PCA_Mechanics!J28-Scale_PCA_Mechanics!J45)^2)</f>
        <v/>
      </c>
      <c r="D967">
        <f>INDEX(KMeans_6_2!AA2:AA51,A967)</f>
        <v/>
      </c>
      <c r="E967">
        <f>INDEX(KMeans_6_2!AA2:AA51,B967)</f>
        <v/>
      </c>
      <c r="O967">
        <f>IF(OR(AND(D967=1,E967=2),AND(D967=2,E967=1)),C967,"")</f>
        <v/>
      </c>
      <c r="P967">
        <f>IF(OR(AND(D967=1,E967=3),AND(D967=3,E967=1)),C967,"")</f>
        <v/>
      </c>
      <c r="Q967">
        <f>IF(OR(AND(D967=2,E967=3),AND(D967=3,E967=2)),C967,"")</f>
        <v/>
      </c>
    </row>
    <row r="968">
      <c r="A968" t="n">
        <v>27</v>
      </c>
      <c r="B968" t="n">
        <v>45</v>
      </c>
      <c r="C968">
        <f>SQRT((Scale_PCA_Mechanics!G28-Scale_PCA_Mechanics!G46)^2+(Scale_PCA_Mechanics!H28-Scale_PCA_Mechanics!H46)^2+(Scale_PCA_Mechanics!I28-Scale_PCA_Mechanics!I46)^2+(Scale_PCA_Mechanics!J28-Scale_PCA_Mechanics!J46)^2)</f>
        <v/>
      </c>
      <c r="D968">
        <f>INDEX(KMeans_6_2!AA2:AA51,A968)</f>
        <v/>
      </c>
      <c r="E968">
        <f>INDEX(KMeans_6_2!AA2:AA51,B968)</f>
        <v/>
      </c>
      <c r="O968">
        <f>IF(OR(AND(D968=1,E968=2),AND(D968=2,E968=1)),C968,"")</f>
        <v/>
      </c>
      <c r="P968">
        <f>IF(OR(AND(D968=1,E968=3),AND(D968=3,E968=1)),C968,"")</f>
        <v/>
      </c>
      <c r="Q968">
        <f>IF(OR(AND(D968=2,E968=3),AND(D968=3,E968=2)),C968,"")</f>
        <v/>
      </c>
    </row>
    <row r="969">
      <c r="A969" t="n">
        <v>27</v>
      </c>
      <c r="B969" t="n">
        <v>46</v>
      </c>
      <c r="C969">
        <f>SQRT((Scale_PCA_Mechanics!G28-Scale_PCA_Mechanics!G47)^2+(Scale_PCA_Mechanics!H28-Scale_PCA_Mechanics!H47)^2+(Scale_PCA_Mechanics!I28-Scale_PCA_Mechanics!I47)^2+(Scale_PCA_Mechanics!J28-Scale_PCA_Mechanics!J47)^2)</f>
        <v/>
      </c>
      <c r="D969">
        <f>INDEX(KMeans_6_2!AA2:AA51,A969)</f>
        <v/>
      </c>
      <c r="E969">
        <f>INDEX(KMeans_6_2!AA2:AA51,B969)</f>
        <v/>
      </c>
      <c r="O969">
        <f>IF(OR(AND(D969=1,E969=2),AND(D969=2,E969=1)),C969,"")</f>
        <v/>
      </c>
      <c r="P969">
        <f>IF(OR(AND(D969=1,E969=3),AND(D969=3,E969=1)),C969,"")</f>
        <v/>
      </c>
      <c r="Q969">
        <f>IF(OR(AND(D969=2,E969=3),AND(D969=3,E969=2)),C969,"")</f>
        <v/>
      </c>
    </row>
    <row r="970">
      <c r="A970" t="n">
        <v>27</v>
      </c>
      <c r="B970" t="n">
        <v>47</v>
      </c>
      <c r="C970">
        <f>SQRT((Scale_PCA_Mechanics!G28-Scale_PCA_Mechanics!G48)^2+(Scale_PCA_Mechanics!H28-Scale_PCA_Mechanics!H48)^2+(Scale_PCA_Mechanics!I28-Scale_PCA_Mechanics!I48)^2+(Scale_PCA_Mechanics!J28-Scale_PCA_Mechanics!J48)^2)</f>
        <v/>
      </c>
      <c r="D970">
        <f>INDEX(KMeans_6_2!AA2:AA51,A970)</f>
        <v/>
      </c>
      <c r="E970">
        <f>INDEX(KMeans_6_2!AA2:AA51,B970)</f>
        <v/>
      </c>
      <c r="O970">
        <f>IF(OR(AND(D970=1,E970=2),AND(D970=2,E970=1)),C970,"")</f>
        <v/>
      </c>
      <c r="P970">
        <f>IF(OR(AND(D970=1,E970=3),AND(D970=3,E970=1)),C970,"")</f>
        <v/>
      </c>
      <c r="Q970">
        <f>IF(OR(AND(D970=2,E970=3),AND(D970=3,E970=2)),C970,"")</f>
        <v/>
      </c>
    </row>
    <row r="971">
      <c r="A971" t="n">
        <v>27</v>
      </c>
      <c r="B971" t="n">
        <v>48</v>
      </c>
      <c r="C971">
        <f>SQRT((Scale_PCA_Mechanics!G28-Scale_PCA_Mechanics!G49)^2+(Scale_PCA_Mechanics!H28-Scale_PCA_Mechanics!H49)^2+(Scale_PCA_Mechanics!I28-Scale_PCA_Mechanics!I49)^2+(Scale_PCA_Mechanics!J28-Scale_PCA_Mechanics!J49)^2)</f>
        <v/>
      </c>
      <c r="D971">
        <f>INDEX(KMeans_6_2!AA2:AA51,A971)</f>
        <v/>
      </c>
      <c r="E971">
        <f>INDEX(KMeans_6_2!AA2:AA51,B971)</f>
        <v/>
      </c>
      <c r="O971">
        <f>IF(OR(AND(D971=1,E971=2),AND(D971=2,E971=1)),C971,"")</f>
        <v/>
      </c>
      <c r="P971">
        <f>IF(OR(AND(D971=1,E971=3),AND(D971=3,E971=1)),C971,"")</f>
        <v/>
      </c>
      <c r="Q971">
        <f>IF(OR(AND(D971=2,E971=3),AND(D971=3,E971=2)),C971,"")</f>
        <v/>
      </c>
    </row>
    <row r="972">
      <c r="A972" t="n">
        <v>27</v>
      </c>
      <c r="B972" t="n">
        <v>49</v>
      </c>
      <c r="C972">
        <f>SQRT((Scale_PCA_Mechanics!G28-Scale_PCA_Mechanics!G50)^2+(Scale_PCA_Mechanics!H28-Scale_PCA_Mechanics!H50)^2+(Scale_PCA_Mechanics!I28-Scale_PCA_Mechanics!I50)^2+(Scale_PCA_Mechanics!J28-Scale_PCA_Mechanics!J50)^2)</f>
        <v/>
      </c>
      <c r="D972">
        <f>INDEX(KMeans_6_2!AA2:AA51,A972)</f>
        <v/>
      </c>
      <c r="E972">
        <f>INDEX(KMeans_6_2!AA2:AA51,B972)</f>
        <v/>
      </c>
      <c r="O972">
        <f>IF(OR(AND(D972=1,E972=2),AND(D972=2,E972=1)),C972,"")</f>
        <v/>
      </c>
      <c r="P972">
        <f>IF(OR(AND(D972=1,E972=3),AND(D972=3,E972=1)),C972,"")</f>
        <v/>
      </c>
      <c r="Q972">
        <f>IF(OR(AND(D972=2,E972=3),AND(D972=3,E972=2)),C972,"")</f>
        <v/>
      </c>
    </row>
    <row r="973">
      <c r="A973" t="n">
        <v>27</v>
      </c>
      <c r="B973" t="n">
        <v>50</v>
      </c>
      <c r="C973">
        <f>SQRT((Scale_PCA_Mechanics!G28-Scale_PCA_Mechanics!G51)^2+(Scale_PCA_Mechanics!H28-Scale_PCA_Mechanics!H51)^2+(Scale_PCA_Mechanics!I28-Scale_PCA_Mechanics!I51)^2+(Scale_PCA_Mechanics!J28-Scale_PCA_Mechanics!J51)^2)</f>
        <v/>
      </c>
      <c r="D973">
        <f>INDEX(KMeans_6_2!AA2:AA51,A973)</f>
        <v/>
      </c>
      <c r="E973">
        <f>INDEX(KMeans_6_2!AA2:AA51,B973)</f>
        <v/>
      </c>
      <c r="O973">
        <f>IF(OR(AND(D973=1,E973=2),AND(D973=2,E973=1)),C973,"")</f>
        <v/>
      </c>
      <c r="P973">
        <f>IF(OR(AND(D973=1,E973=3),AND(D973=3,E973=1)),C973,"")</f>
        <v/>
      </c>
      <c r="Q973">
        <f>IF(OR(AND(D973=2,E973=3),AND(D973=3,E973=2)),C973,"")</f>
        <v/>
      </c>
    </row>
    <row r="974">
      <c r="A974" t="n">
        <v>28</v>
      </c>
      <c r="B974" t="n">
        <v>29</v>
      </c>
      <c r="C974">
        <f>SQRT((Scale_PCA_Mechanics!G29-Scale_PCA_Mechanics!G30)^2+(Scale_PCA_Mechanics!H29-Scale_PCA_Mechanics!H30)^2+(Scale_PCA_Mechanics!I29-Scale_PCA_Mechanics!I30)^2+(Scale_PCA_Mechanics!J29-Scale_PCA_Mechanics!J30)^2)</f>
        <v/>
      </c>
      <c r="D974">
        <f>INDEX(KMeans_6_2!AA2:AA51,A974)</f>
        <v/>
      </c>
      <c r="E974">
        <f>INDEX(KMeans_6_2!AA2:AA51,B974)</f>
        <v/>
      </c>
      <c r="O974">
        <f>IF(OR(AND(D974=1,E974=2),AND(D974=2,E974=1)),C974,"")</f>
        <v/>
      </c>
      <c r="P974">
        <f>IF(OR(AND(D974=1,E974=3),AND(D974=3,E974=1)),C974,"")</f>
        <v/>
      </c>
      <c r="Q974">
        <f>IF(OR(AND(D974=2,E974=3),AND(D974=3,E974=2)),C974,"")</f>
        <v/>
      </c>
    </row>
    <row r="975">
      <c r="A975" t="n">
        <v>28</v>
      </c>
      <c r="B975" t="n">
        <v>30</v>
      </c>
      <c r="C975">
        <f>SQRT((Scale_PCA_Mechanics!G29-Scale_PCA_Mechanics!G31)^2+(Scale_PCA_Mechanics!H29-Scale_PCA_Mechanics!H31)^2+(Scale_PCA_Mechanics!I29-Scale_PCA_Mechanics!I31)^2+(Scale_PCA_Mechanics!J29-Scale_PCA_Mechanics!J31)^2)</f>
        <v/>
      </c>
      <c r="D975">
        <f>INDEX(KMeans_6_2!AA2:AA51,A975)</f>
        <v/>
      </c>
      <c r="E975">
        <f>INDEX(KMeans_6_2!AA2:AA51,B975)</f>
        <v/>
      </c>
      <c r="O975">
        <f>IF(OR(AND(D975=1,E975=2),AND(D975=2,E975=1)),C975,"")</f>
        <v/>
      </c>
      <c r="P975">
        <f>IF(OR(AND(D975=1,E975=3),AND(D975=3,E975=1)),C975,"")</f>
        <v/>
      </c>
      <c r="Q975">
        <f>IF(OR(AND(D975=2,E975=3),AND(D975=3,E975=2)),C975,"")</f>
        <v/>
      </c>
    </row>
    <row r="976">
      <c r="A976" t="n">
        <v>28</v>
      </c>
      <c r="B976" t="n">
        <v>31</v>
      </c>
      <c r="C976">
        <f>SQRT((Scale_PCA_Mechanics!G29-Scale_PCA_Mechanics!G32)^2+(Scale_PCA_Mechanics!H29-Scale_PCA_Mechanics!H32)^2+(Scale_PCA_Mechanics!I29-Scale_PCA_Mechanics!I32)^2+(Scale_PCA_Mechanics!J29-Scale_PCA_Mechanics!J32)^2)</f>
        <v/>
      </c>
      <c r="D976">
        <f>INDEX(KMeans_6_2!AA2:AA51,A976)</f>
        <v/>
      </c>
      <c r="E976">
        <f>INDEX(KMeans_6_2!AA2:AA51,B976)</f>
        <v/>
      </c>
      <c r="O976">
        <f>IF(OR(AND(D976=1,E976=2),AND(D976=2,E976=1)),C976,"")</f>
        <v/>
      </c>
      <c r="P976">
        <f>IF(OR(AND(D976=1,E976=3),AND(D976=3,E976=1)),C976,"")</f>
        <v/>
      </c>
      <c r="Q976">
        <f>IF(OR(AND(D976=2,E976=3),AND(D976=3,E976=2)),C976,"")</f>
        <v/>
      </c>
    </row>
    <row r="977">
      <c r="A977" t="n">
        <v>28</v>
      </c>
      <c r="B977" t="n">
        <v>32</v>
      </c>
      <c r="C977">
        <f>SQRT((Scale_PCA_Mechanics!G29-Scale_PCA_Mechanics!G33)^2+(Scale_PCA_Mechanics!H29-Scale_PCA_Mechanics!H33)^2+(Scale_PCA_Mechanics!I29-Scale_PCA_Mechanics!I33)^2+(Scale_PCA_Mechanics!J29-Scale_PCA_Mechanics!J33)^2)</f>
        <v/>
      </c>
      <c r="D977">
        <f>INDEX(KMeans_6_2!AA2:AA51,A977)</f>
        <v/>
      </c>
      <c r="E977">
        <f>INDEX(KMeans_6_2!AA2:AA51,B977)</f>
        <v/>
      </c>
      <c r="O977">
        <f>IF(OR(AND(D977=1,E977=2),AND(D977=2,E977=1)),C977,"")</f>
        <v/>
      </c>
      <c r="P977">
        <f>IF(OR(AND(D977=1,E977=3),AND(D977=3,E977=1)),C977,"")</f>
        <v/>
      </c>
      <c r="Q977">
        <f>IF(OR(AND(D977=2,E977=3),AND(D977=3,E977=2)),C977,"")</f>
        <v/>
      </c>
    </row>
    <row r="978">
      <c r="A978" t="n">
        <v>28</v>
      </c>
      <c r="B978" t="n">
        <v>33</v>
      </c>
      <c r="C978">
        <f>SQRT((Scale_PCA_Mechanics!G29-Scale_PCA_Mechanics!G34)^2+(Scale_PCA_Mechanics!H29-Scale_PCA_Mechanics!H34)^2+(Scale_PCA_Mechanics!I29-Scale_PCA_Mechanics!I34)^2+(Scale_PCA_Mechanics!J29-Scale_PCA_Mechanics!J34)^2)</f>
        <v/>
      </c>
      <c r="D978">
        <f>INDEX(KMeans_6_2!AA2:AA51,A978)</f>
        <v/>
      </c>
      <c r="E978">
        <f>INDEX(KMeans_6_2!AA2:AA51,B978)</f>
        <v/>
      </c>
      <c r="O978">
        <f>IF(OR(AND(D978=1,E978=2),AND(D978=2,E978=1)),C978,"")</f>
        <v/>
      </c>
      <c r="P978">
        <f>IF(OR(AND(D978=1,E978=3),AND(D978=3,E978=1)),C978,"")</f>
        <v/>
      </c>
      <c r="Q978">
        <f>IF(OR(AND(D978=2,E978=3),AND(D978=3,E978=2)),C978,"")</f>
        <v/>
      </c>
    </row>
    <row r="979">
      <c r="A979" t="n">
        <v>28</v>
      </c>
      <c r="B979" t="n">
        <v>34</v>
      </c>
      <c r="C979">
        <f>SQRT((Scale_PCA_Mechanics!G29-Scale_PCA_Mechanics!G35)^2+(Scale_PCA_Mechanics!H29-Scale_PCA_Mechanics!H35)^2+(Scale_PCA_Mechanics!I29-Scale_PCA_Mechanics!I35)^2+(Scale_PCA_Mechanics!J29-Scale_PCA_Mechanics!J35)^2)</f>
        <v/>
      </c>
      <c r="D979">
        <f>INDEX(KMeans_6_2!AA2:AA51,A979)</f>
        <v/>
      </c>
      <c r="E979">
        <f>INDEX(KMeans_6_2!AA2:AA51,B979)</f>
        <v/>
      </c>
      <c r="O979">
        <f>IF(OR(AND(D979=1,E979=2),AND(D979=2,E979=1)),C979,"")</f>
        <v/>
      </c>
      <c r="P979">
        <f>IF(OR(AND(D979=1,E979=3),AND(D979=3,E979=1)),C979,"")</f>
        <v/>
      </c>
      <c r="Q979">
        <f>IF(OR(AND(D979=2,E979=3),AND(D979=3,E979=2)),C979,"")</f>
        <v/>
      </c>
    </row>
    <row r="980">
      <c r="A980" t="n">
        <v>28</v>
      </c>
      <c r="B980" t="n">
        <v>35</v>
      </c>
      <c r="C980">
        <f>SQRT((Scale_PCA_Mechanics!G29-Scale_PCA_Mechanics!G36)^2+(Scale_PCA_Mechanics!H29-Scale_PCA_Mechanics!H36)^2+(Scale_PCA_Mechanics!I29-Scale_PCA_Mechanics!I36)^2+(Scale_PCA_Mechanics!J29-Scale_PCA_Mechanics!J36)^2)</f>
        <v/>
      </c>
      <c r="D980">
        <f>INDEX(KMeans_6_2!AA2:AA51,A980)</f>
        <v/>
      </c>
      <c r="E980">
        <f>INDEX(KMeans_6_2!AA2:AA51,B980)</f>
        <v/>
      </c>
      <c r="O980">
        <f>IF(OR(AND(D980=1,E980=2),AND(D980=2,E980=1)),C980,"")</f>
        <v/>
      </c>
      <c r="P980">
        <f>IF(OR(AND(D980=1,E980=3),AND(D980=3,E980=1)),C980,"")</f>
        <v/>
      </c>
      <c r="Q980">
        <f>IF(OR(AND(D980=2,E980=3),AND(D980=3,E980=2)),C980,"")</f>
        <v/>
      </c>
    </row>
    <row r="981">
      <c r="A981" t="n">
        <v>28</v>
      </c>
      <c r="B981" t="n">
        <v>36</v>
      </c>
      <c r="C981">
        <f>SQRT((Scale_PCA_Mechanics!G29-Scale_PCA_Mechanics!G37)^2+(Scale_PCA_Mechanics!H29-Scale_PCA_Mechanics!H37)^2+(Scale_PCA_Mechanics!I29-Scale_PCA_Mechanics!I37)^2+(Scale_PCA_Mechanics!J29-Scale_PCA_Mechanics!J37)^2)</f>
        <v/>
      </c>
      <c r="D981">
        <f>INDEX(KMeans_6_2!AA2:AA51,A981)</f>
        <v/>
      </c>
      <c r="E981">
        <f>INDEX(KMeans_6_2!AA2:AA51,B981)</f>
        <v/>
      </c>
      <c r="O981">
        <f>IF(OR(AND(D981=1,E981=2),AND(D981=2,E981=1)),C981,"")</f>
        <v/>
      </c>
      <c r="P981">
        <f>IF(OR(AND(D981=1,E981=3),AND(D981=3,E981=1)),C981,"")</f>
        <v/>
      </c>
      <c r="Q981">
        <f>IF(OR(AND(D981=2,E981=3),AND(D981=3,E981=2)),C981,"")</f>
        <v/>
      </c>
    </row>
    <row r="982">
      <c r="A982" t="n">
        <v>28</v>
      </c>
      <c r="B982" t="n">
        <v>37</v>
      </c>
      <c r="C982">
        <f>SQRT((Scale_PCA_Mechanics!G29-Scale_PCA_Mechanics!G38)^2+(Scale_PCA_Mechanics!H29-Scale_PCA_Mechanics!H38)^2+(Scale_PCA_Mechanics!I29-Scale_PCA_Mechanics!I38)^2+(Scale_PCA_Mechanics!J29-Scale_PCA_Mechanics!J38)^2)</f>
        <v/>
      </c>
      <c r="D982">
        <f>INDEX(KMeans_6_2!AA2:AA51,A982)</f>
        <v/>
      </c>
      <c r="E982">
        <f>INDEX(KMeans_6_2!AA2:AA51,B982)</f>
        <v/>
      </c>
      <c r="O982">
        <f>IF(OR(AND(D982=1,E982=2),AND(D982=2,E982=1)),C982,"")</f>
        <v/>
      </c>
      <c r="P982">
        <f>IF(OR(AND(D982=1,E982=3),AND(D982=3,E982=1)),C982,"")</f>
        <v/>
      </c>
      <c r="Q982">
        <f>IF(OR(AND(D982=2,E982=3),AND(D982=3,E982=2)),C982,"")</f>
        <v/>
      </c>
    </row>
    <row r="983">
      <c r="A983" t="n">
        <v>28</v>
      </c>
      <c r="B983" t="n">
        <v>38</v>
      </c>
      <c r="C983">
        <f>SQRT((Scale_PCA_Mechanics!G29-Scale_PCA_Mechanics!G39)^2+(Scale_PCA_Mechanics!H29-Scale_PCA_Mechanics!H39)^2+(Scale_PCA_Mechanics!I29-Scale_PCA_Mechanics!I39)^2+(Scale_PCA_Mechanics!J29-Scale_PCA_Mechanics!J39)^2)</f>
        <v/>
      </c>
      <c r="D983">
        <f>INDEX(KMeans_6_2!AA2:AA51,A983)</f>
        <v/>
      </c>
      <c r="E983">
        <f>INDEX(KMeans_6_2!AA2:AA51,B983)</f>
        <v/>
      </c>
      <c r="O983">
        <f>IF(OR(AND(D983=1,E983=2),AND(D983=2,E983=1)),C983,"")</f>
        <v/>
      </c>
      <c r="P983">
        <f>IF(OR(AND(D983=1,E983=3),AND(D983=3,E983=1)),C983,"")</f>
        <v/>
      </c>
      <c r="Q983">
        <f>IF(OR(AND(D983=2,E983=3),AND(D983=3,E983=2)),C983,"")</f>
        <v/>
      </c>
    </row>
    <row r="984">
      <c r="A984" t="n">
        <v>28</v>
      </c>
      <c r="B984" t="n">
        <v>39</v>
      </c>
      <c r="C984">
        <f>SQRT((Scale_PCA_Mechanics!G29-Scale_PCA_Mechanics!G40)^2+(Scale_PCA_Mechanics!H29-Scale_PCA_Mechanics!H40)^2+(Scale_PCA_Mechanics!I29-Scale_PCA_Mechanics!I40)^2+(Scale_PCA_Mechanics!J29-Scale_PCA_Mechanics!J40)^2)</f>
        <v/>
      </c>
      <c r="D984">
        <f>INDEX(KMeans_6_2!AA2:AA51,A984)</f>
        <v/>
      </c>
      <c r="E984">
        <f>INDEX(KMeans_6_2!AA2:AA51,B984)</f>
        <v/>
      </c>
      <c r="O984">
        <f>IF(OR(AND(D984=1,E984=2),AND(D984=2,E984=1)),C984,"")</f>
        <v/>
      </c>
      <c r="P984">
        <f>IF(OR(AND(D984=1,E984=3),AND(D984=3,E984=1)),C984,"")</f>
        <v/>
      </c>
      <c r="Q984">
        <f>IF(OR(AND(D984=2,E984=3),AND(D984=3,E984=2)),C984,"")</f>
        <v/>
      </c>
    </row>
    <row r="985">
      <c r="A985" t="n">
        <v>28</v>
      </c>
      <c r="B985" t="n">
        <v>40</v>
      </c>
      <c r="C985">
        <f>SQRT((Scale_PCA_Mechanics!G29-Scale_PCA_Mechanics!G41)^2+(Scale_PCA_Mechanics!H29-Scale_PCA_Mechanics!H41)^2+(Scale_PCA_Mechanics!I29-Scale_PCA_Mechanics!I41)^2+(Scale_PCA_Mechanics!J29-Scale_PCA_Mechanics!J41)^2)</f>
        <v/>
      </c>
      <c r="D985">
        <f>INDEX(KMeans_6_2!AA2:AA51,A985)</f>
        <v/>
      </c>
      <c r="E985">
        <f>INDEX(KMeans_6_2!AA2:AA51,B985)</f>
        <v/>
      </c>
      <c r="O985">
        <f>IF(OR(AND(D985=1,E985=2),AND(D985=2,E985=1)),C985,"")</f>
        <v/>
      </c>
      <c r="P985">
        <f>IF(OR(AND(D985=1,E985=3),AND(D985=3,E985=1)),C985,"")</f>
        <v/>
      </c>
      <c r="Q985">
        <f>IF(OR(AND(D985=2,E985=3),AND(D985=3,E985=2)),C985,"")</f>
        <v/>
      </c>
    </row>
    <row r="986">
      <c r="A986" t="n">
        <v>28</v>
      </c>
      <c r="B986" t="n">
        <v>41</v>
      </c>
      <c r="C986">
        <f>SQRT((Scale_PCA_Mechanics!G29-Scale_PCA_Mechanics!G42)^2+(Scale_PCA_Mechanics!H29-Scale_PCA_Mechanics!H42)^2+(Scale_PCA_Mechanics!I29-Scale_PCA_Mechanics!I42)^2+(Scale_PCA_Mechanics!J29-Scale_PCA_Mechanics!J42)^2)</f>
        <v/>
      </c>
      <c r="D986">
        <f>INDEX(KMeans_6_2!AA2:AA51,A986)</f>
        <v/>
      </c>
      <c r="E986">
        <f>INDEX(KMeans_6_2!AA2:AA51,B986)</f>
        <v/>
      </c>
      <c r="O986">
        <f>IF(OR(AND(D986=1,E986=2),AND(D986=2,E986=1)),C986,"")</f>
        <v/>
      </c>
      <c r="P986">
        <f>IF(OR(AND(D986=1,E986=3),AND(D986=3,E986=1)),C986,"")</f>
        <v/>
      </c>
      <c r="Q986">
        <f>IF(OR(AND(D986=2,E986=3),AND(D986=3,E986=2)),C986,"")</f>
        <v/>
      </c>
    </row>
    <row r="987">
      <c r="A987" t="n">
        <v>28</v>
      </c>
      <c r="B987" t="n">
        <v>42</v>
      </c>
      <c r="C987">
        <f>SQRT((Scale_PCA_Mechanics!G29-Scale_PCA_Mechanics!G43)^2+(Scale_PCA_Mechanics!H29-Scale_PCA_Mechanics!H43)^2+(Scale_PCA_Mechanics!I29-Scale_PCA_Mechanics!I43)^2+(Scale_PCA_Mechanics!J29-Scale_PCA_Mechanics!J43)^2)</f>
        <v/>
      </c>
      <c r="D987">
        <f>INDEX(KMeans_6_2!AA2:AA51,A987)</f>
        <v/>
      </c>
      <c r="E987">
        <f>INDEX(KMeans_6_2!AA2:AA51,B987)</f>
        <v/>
      </c>
      <c r="O987">
        <f>IF(OR(AND(D987=1,E987=2),AND(D987=2,E987=1)),C987,"")</f>
        <v/>
      </c>
      <c r="P987">
        <f>IF(OR(AND(D987=1,E987=3),AND(D987=3,E987=1)),C987,"")</f>
        <v/>
      </c>
      <c r="Q987">
        <f>IF(OR(AND(D987=2,E987=3),AND(D987=3,E987=2)),C987,"")</f>
        <v/>
      </c>
    </row>
    <row r="988">
      <c r="A988" t="n">
        <v>28</v>
      </c>
      <c r="B988" t="n">
        <v>43</v>
      </c>
      <c r="C988">
        <f>SQRT((Scale_PCA_Mechanics!G29-Scale_PCA_Mechanics!G44)^2+(Scale_PCA_Mechanics!H29-Scale_PCA_Mechanics!H44)^2+(Scale_PCA_Mechanics!I29-Scale_PCA_Mechanics!I44)^2+(Scale_PCA_Mechanics!J29-Scale_PCA_Mechanics!J44)^2)</f>
        <v/>
      </c>
      <c r="D988">
        <f>INDEX(KMeans_6_2!AA2:AA51,A988)</f>
        <v/>
      </c>
      <c r="E988">
        <f>INDEX(KMeans_6_2!AA2:AA51,B988)</f>
        <v/>
      </c>
      <c r="O988">
        <f>IF(OR(AND(D988=1,E988=2),AND(D988=2,E988=1)),C988,"")</f>
        <v/>
      </c>
      <c r="P988">
        <f>IF(OR(AND(D988=1,E988=3),AND(D988=3,E988=1)),C988,"")</f>
        <v/>
      </c>
      <c r="Q988">
        <f>IF(OR(AND(D988=2,E988=3),AND(D988=3,E988=2)),C988,"")</f>
        <v/>
      </c>
    </row>
    <row r="989">
      <c r="A989" t="n">
        <v>28</v>
      </c>
      <c r="B989" t="n">
        <v>44</v>
      </c>
      <c r="C989">
        <f>SQRT((Scale_PCA_Mechanics!G29-Scale_PCA_Mechanics!G45)^2+(Scale_PCA_Mechanics!H29-Scale_PCA_Mechanics!H45)^2+(Scale_PCA_Mechanics!I29-Scale_PCA_Mechanics!I45)^2+(Scale_PCA_Mechanics!J29-Scale_PCA_Mechanics!J45)^2)</f>
        <v/>
      </c>
      <c r="D989">
        <f>INDEX(KMeans_6_2!AA2:AA51,A989)</f>
        <v/>
      </c>
      <c r="E989">
        <f>INDEX(KMeans_6_2!AA2:AA51,B989)</f>
        <v/>
      </c>
      <c r="O989">
        <f>IF(OR(AND(D989=1,E989=2),AND(D989=2,E989=1)),C989,"")</f>
        <v/>
      </c>
      <c r="P989">
        <f>IF(OR(AND(D989=1,E989=3),AND(D989=3,E989=1)),C989,"")</f>
        <v/>
      </c>
      <c r="Q989">
        <f>IF(OR(AND(D989=2,E989=3),AND(D989=3,E989=2)),C989,"")</f>
        <v/>
      </c>
    </row>
    <row r="990">
      <c r="A990" t="n">
        <v>28</v>
      </c>
      <c r="B990" t="n">
        <v>45</v>
      </c>
      <c r="C990">
        <f>SQRT((Scale_PCA_Mechanics!G29-Scale_PCA_Mechanics!G46)^2+(Scale_PCA_Mechanics!H29-Scale_PCA_Mechanics!H46)^2+(Scale_PCA_Mechanics!I29-Scale_PCA_Mechanics!I46)^2+(Scale_PCA_Mechanics!J29-Scale_PCA_Mechanics!J46)^2)</f>
        <v/>
      </c>
      <c r="D990">
        <f>INDEX(KMeans_6_2!AA2:AA51,A990)</f>
        <v/>
      </c>
      <c r="E990">
        <f>INDEX(KMeans_6_2!AA2:AA51,B990)</f>
        <v/>
      </c>
      <c r="O990">
        <f>IF(OR(AND(D990=1,E990=2),AND(D990=2,E990=1)),C990,"")</f>
        <v/>
      </c>
      <c r="P990">
        <f>IF(OR(AND(D990=1,E990=3),AND(D990=3,E990=1)),C990,"")</f>
        <v/>
      </c>
      <c r="Q990">
        <f>IF(OR(AND(D990=2,E990=3),AND(D990=3,E990=2)),C990,"")</f>
        <v/>
      </c>
    </row>
    <row r="991">
      <c r="A991" t="n">
        <v>28</v>
      </c>
      <c r="B991" t="n">
        <v>46</v>
      </c>
      <c r="C991">
        <f>SQRT((Scale_PCA_Mechanics!G29-Scale_PCA_Mechanics!G47)^2+(Scale_PCA_Mechanics!H29-Scale_PCA_Mechanics!H47)^2+(Scale_PCA_Mechanics!I29-Scale_PCA_Mechanics!I47)^2+(Scale_PCA_Mechanics!J29-Scale_PCA_Mechanics!J47)^2)</f>
        <v/>
      </c>
      <c r="D991">
        <f>INDEX(KMeans_6_2!AA2:AA51,A991)</f>
        <v/>
      </c>
      <c r="E991">
        <f>INDEX(KMeans_6_2!AA2:AA51,B991)</f>
        <v/>
      </c>
      <c r="O991">
        <f>IF(OR(AND(D991=1,E991=2),AND(D991=2,E991=1)),C991,"")</f>
        <v/>
      </c>
      <c r="P991">
        <f>IF(OR(AND(D991=1,E991=3),AND(D991=3,E991=1)),C991,"")</f>
        <v/>
      </c>
      <c r="Q991">
        <f>IF(OR(AND(D991=2,E991=3),AND(D991=3,E991=2)),C991,"")</f>
        <v/>
      </c>
    </row>
    <row r="992">
      <c r="A992" t="n">
        <v>28</v>
      </c>
      <c r="B992" t="n">
        <v>47</v>
      </c>
      <c r="C992">
        <f>SQRT((Scale_PCA_Mechanics!G29-Scale_PCA_Mechanics!G48)^2+(Scale_PCA_Mechanics!H29-Scale_PCA_Mechanics!H48)^2+(Scale_PCA_Mechanics!I29-Scale_PCA_Mechanics!I48)^2+(Scale_PCA_Mechanics!J29-Scale_PCA_Mechanics!J48)^2)</f>
        <v/>
      </c>
      <c r="D992">
        <f>INDEX(KMeans_6_2!AA2:AA51,A992)</f>
        <v/>
      </c>
      <c r="E992">
        <f>INDEX(KMeans_6_2!AA2:AA51,B992)</f>
        <v/>
      </c>
      <c r="O992">
        <f>IF(OR(AND(D992=1,E992=2),AND(D992=2,E992=1)),C992,"")</f>
        <v/>
      </c>
      <c r="P992">
        <f>IF(OR(AND(D992=1,E992=3),AND(D992=3,E992=1)),C992,"")</f>
        <v/>
      </c>
      <c r="Q992">
        <f>IF(OR(AND(D992=2,E992=3),AND(D992=3,E992=2)),C992,"")</f>
        <v/>
      </c>
    </row>
    <row r="993">
      <c r="A993" t="n">
        <v>28</v>
      </c>
      <c r="B993" t="n">
        <v>48</v>
      </c>
      <c r="C993">
        <f>SQRT((Scale_PCA_Mechanics!G29-Scale_PCA_Mechanics!G49)^2+(Scale_PCA_Mechanics!H29-Scale_PCA_Mechanics!H49)^2+(Scale_PCA_Mechanics!I29-Scale_PCA_Mechanics!I49)^2+(Scale_PCA_Mechanics!J29-Scale_PCA_Mechanics!J49)^2)</f>
        <v/>
      </c>
      <c r="D993">
        <f>INDEX(KMeans_6_2!AA2:AA51,A993)</f>
        <v/>
      </c>
      <c r="E993">
        <f>INDEX(KMeans_6_2!AA2:AA51,B993)</f>
        <v/>
      </c>
      <c r="O993">
        <f>IF(OR(AND(D993=1,E993=2),AND(D993=2,E993=1)),C993,"")</f>
        <v/>
      </c>
      <c r="P993">
        <f>IF(OR(AND(D993=1,E993=3),AND(D993=3,E993=1)),C993,"")</f>
        <v/>
      </c>
      <c r="Q993">
        <f>IF(OR(AND(D993=2,E993=3),AND(D993=3,E993=2)),C993,"")</f>
        <v/>
      </c>
    </row>
    <row r="994">
      <c r="A994" t="n">
        <v>28</v>
      </c>
      <c r="B994" t="n">
        <v>49</v>
      </c>
      <c r="C994">
        <f>SQRT((Scale_PCA_Mechanics!G29-Scale_PCA_Mechanics!G50)^2+(Scale_PCA_Mechanics!H29-Scale_PCA_Mechanics!H50)^2+(Scale_PCA_Mechanics!I29-Scale_PCA_Mechanics!I50)^2+(Scale_PCA_Mechanics!J29-Scale_PCA_Mechanics!J50)^2)</f>
        <v/>
      </c>
      <c r="D994">
        <f>INDEX(KMeans_6_2!AA2:AA51,A994)</f>
        <v/>
      </c>
      <c r="E994">
        <f>INDEX(KMeans_6_2!AA2:AA51,B994)</f>
        <v/>
      </c>
      <c r="O994">
        <f>IF(OR(AND(D994=1,E994=2),AND(D994=2,E994=1)),C994,"")</f>
        <v/>
      </c>
      <c r="P994">
        <f>IF(OR(AND(D994=1,E994=3),AND(D994=3,E994=1)),C994,"")</f>
        <v/>
      </c>
      <c r="Q994">
        <f>IF(OR(AND(D994=2,E994=3),AND(D994=3,E994=2)),C994,"")</f>
        <v/>
      </c>
    </row>
    <row r="995">
      <c r="A995" t="n">
        <v>28</v>
      </c>
      <c r="B995" t="n">
        <v>50</v>
      </c>
      <c r="C995">
        <f>SQRT((Scale_PCA_Mechanics!G29-Scale_PCA_Mechanics!G51)^2+(Scale_PCA_Mechanics!H29-Scale_PCA_Mechanics!H51)^2+(Scale_PCA_Mechanics!I29-Scale_PCA_Mechanics!I51)^2+(Scale_PCA_Mechanics!J29-Scale_PCA_Mechanics!J51)^2)</f>
        <v/>
      </c>
      <c r="D995">
        <f>INDEX(KMeans_6_2!AA2:AA51,A995)</f>
        <v/>
      </c>
      <c r="E995">
        <f>INDEX(KMeans_6_2!AA2:AA51,B995)</f>
        <v/>
      </c>
      <c r="O995">
        <f>IF(OR(AND(D995=1,E995=2),AND(D995=2,E995=1)),C995,"")</f>
        <v/>
      </c>
      <c r="P995">
        <f>IF(OR(AND(D995=1,E995=3),AND(D995=3,E995=1)),C995,"")</f>
        <v/>
      </c>
      <c r="Q995">
        <f>IF(OR(AND(D995=2,E995=3),AND(D995=3,E995=2)),C995,"")</f>
        <v/>
      </c>
    </row>
    <row r="996">
      <c r="A996" t="n">
        <v>29</v>
      </c>
      <c r="B996" t="n">
        <v>30</v>
      </c>
      <c r="C996">
        <f>SQRT((Scale_PCA_Mechanics!G30-Scale_PCA_Mechanics!G31)^2+(Scale_PCA_Mechanics!H30-Scale_PCA_Mechanics!H31)^2+(Scale_PCA_Mechanics!I30-Scale_PCA_Mechanics!I31)^2+(Scale_PCA_Mechanics!J30-Scale_PCA_Mechanics!J31)^2)</f>
        <v/>
      </c>
      <c r="D996">
        <f>INDEX(KMeans_6_2!AA2:AA51,A996)</f>
        <v/>
      </c>
      <c r="E996">
        <f>INDEX(KMeans_6_2!AA2:AA51,B996)</f>
        <v/>
      </c>
      <c r="O996">
        <f>IF(OR(AND(D996=1,E996=2),AND(D996=2,E996=1)),C996,"")</f>
        <v/>
      </c>
      <c r="P996">
        <f>IF(OR(AND(D996=1,E996=3),AND(D996=3,E996=1)),C996,"")</f>
        <v/>
      </c>
      <c r="Q996">
        <f>IF(OR(AND(D996=2,E996=3),AND(D996=3,E996=2)),C996,"")</f>
        <v/>
      </c>
    </row>
    <row r="997">
      <c r="A997" t="n">
        <v>29</v>
      </c>
      <c r="B997" t="n">
        <v>31</v>
      </c>
      <c r="C997">
        <f>SQRT((Scale_PCA_Mechanics!G30-Scale_PCA_Mechanics!G32)^2+(Scale_PCA_Mechanics!H30-Scale_PCA_Mechanics!H32)^2+(Scale_PCA_Mechanics!I30-Scale_PCA_Mechanics!I32)^2+(Scale_PCA_Mechanics!J30-Scale_PCA_Mechanics!J32)^2)</f>
        <v/>
      </c>
      <c r="D997">
        <f>INDEX(KMeans_6_2!AA2:AA51,A997)</f>
        <v/>
      </c>
      <c r="E997">
        <f>INDEX(KMeans_6_2!AA2:AA51,B997)</f>
        <v/>
      </c>
      <c r="O997">
        <f>IF(OR(AND(D997=1,E997=2),AND(D997=2,E997=1)),C997,"")</f>
        <v/>
      </c>
      <c r="P997">
        <f>IF(OR(AND(D997=1,E997=3),AND(D997=3,E997=1)),C997,"")</f>
        <v/>
      </c>
      <c r="Q997">
        <f>IF(OR(AND(D997=2,E997=3),AND(D997=3,E997=2)),C997,"")</f>
        <v/>
      </c>
    </row>
    <row r="998">
      <c r="A998" t="n">
        <v>29</v>
      </c>
      <c r="B998" t="n">
        <v>32</v>
      </c>
      <c r="C998">
        <f>SQRT((Scale_PCA_Mechanics!G30-Scale_PCA_Mechanics!G33)^2+(Scale_PCA_Mechanics!H30-Scale_PCA_Mechanics!H33)^2+(Scale_PCA_Mechanics!I30-Scale_PCA_Mechanics!I33)^2+(Scale_PCA_Mechanics!J30-Scale_PCA_Mechanics!J33)^2)</f>
        <v/>
      </c>
      <c r="D998">
        <f>INDEX(KMeans_6_2!AA2:AA51,A998)</f>
        <v/>
      </c>
      <c r="E998">
        <f>INDEX(KMeans_6_2!AA2:AA51,B998)</f>
        <v/>
      </c>
      <c r="O998">
        <f>IF(OR(AND(D998=1,E998=2),AND(D998=2,E998=1)),C998,"")</f>
        <v/>
      </c>
      <c r="P998">
        <f>IF(OR(AND(D998=1,E998=3),AND(D998=3,E998=1)),C998,"")</f>
        <v/>
      </c>
      <c r="Q998">
        <f>IF(OR(AND(D998=2,E998=3),AND(D998=3,E998=2)),C998,"")</f>
        <v/>
      </c>
    </row>
    <row r="999">
      <c r="A999" t="n">
        <v>29</v>
      </c>
      <c r="B999" t="n">
        <v>33</v>
      </c>
      <c r="C999">
        <f>SQRT((Scale_PCA_Mechanics!G30-Scale_PCA_Mechanics!G34)^2+(Scale_PCA_Mechanics!H30-Scale_PCA_Mechanics!H34)^2+(Scale_PCA_Mechanics!I30-Scale_PCA_Mechanics!I34)^2+(Scale_PCA_Mechanics!J30-Scale_PCA_Mechanics!J34)^2)</f>
        <v/>
      </c>
      <c r="D999">
        <f>INDEX(KMeans_6_2!AA2:AA51,A999)</f>
        <v/>
      </c>
      <c r="E999">
        <f>INDEX(KMeans_6_2!AA2:AA51,B999)</f>
        <v/>
      </c>
      <c r="O999">
        <f>IF(OR(AND(D999=1,E999=2),AND(D999=2,E999=1)),C999,"")</f>
        <v/>
      </c>
      <c r="P999">
        <f>IF(OR(AND(D999=1,E999=3),AND(D999=3,E999=1)),C999,"")</f>
        <v/>
      </c>
      <c r="Q999">
        <f>IF(OR(AND(D999=2,E999=3),AND(D999=3,E999=2)),C999,"")</f>
        <v/>
      </c>
    </row>
    <row r="1000">
      <c r="A1000" t="n">
        <v>29</v>
      </c>
      <c r="B1000" t="n">
        <v>34</v>
      </c>
      <c r="C1000">
        <f>SQRT((Scale_PCA_Mechanics!G30-Scale_PCA_Mechanics!G35)^2+(Scale_PCA_Mechanics!H30-Scale_PCA_Mechanics!H35)^2+(Scale_PCA_Mechanics!I30-Scale_PCA_Mechanics!I35)^2+(Scale_PCA_Mechanics!J30-Scale_PCA_Mechanics!J35)^2)</f>
        <v/>
      </c>
      <c r="D1000">
        <f>INDEX(KMeans_6_2!AA2:AA51,A1000)</f>
        <v/>
      </c>
      <c r="E1000">
        <f>INDEX(KMeans_6_2!AA2:AA51,B1000)</f>
        <v/>
      </c>
      <c r="O1000">
        <f>IF(OR(AND(D1000=1,E1000=2),AND(D1000=2,E1000=1)),C1000,"")</f>
        <v/>
      </c>
      <c r="P1000">
        <f>IF(OR(AND(D1000=1,E1000=3),AND(D1000=3,E1000=1)),C1000,"")</f>
        <v/>
      </c>
      <c r="Q1000">
        <f>IF(OR(AND(D1000=2,E1000=3),AND(D1000=3,E1000=2)),C1000,"")</f>
        <v/>
      </c>
    </row>
    <row r="1001">
      <c r="A1001" t="n">
        <v>29</v>
      </c>
      <c r="B1001" t="n">
        <v>35</v>
      </c>
      <c r="C1001">
        <f>SQRT((Scale_PCA_Mechanics!G30-Scale_PCA_Mechanics!G36)^2+(Scale_PCA_Mechanics!H30-Scale_PCA_Mechanics!H36)^2+(Scale_PCA_Mechanics!I30-Scale_PCA_Mechanics!I36)^2+(Scale_PCA_Mechanics!J30-Scale_PCA_Mechanics!J36)^2)</f>
        <v/>
      </c>
      <c r="D1001">
        <f>INDEX(KMeans_6_2!AA2:AA51,A1001)</f>
        <v/>
      </c>
      <c r="E1001">
        <f>INDEX(KMeans_6_2!AA2:AA51,B1001)</f>
        <v/>
      </c>
      <c r="O1001">
        <f>IF(OR(AND(D1001=1,E1001=2),AND(D1001=2,E1001=1)),C1001,"")</f>
        <v/>
      </c>
      <c r="P1001">
        <f>IF(OR(AND(D1001=1,E1001=3),AND(D1001=3,E1001=1)),C1001,"")</f>
        <v/>
      </c>
      <c r="Q1001">
        <f>IF(OR(AND(D1001=2,E1001=3),AND(D1001=3,E1001=2)),C1001,"")</f>
        <v/>
      </c>
    </row>
    <row r="1002">
      <c r="A1002" t="n">
        <v>29</v>
      </c>
      <c r="B1002" t="n">
        <v>36</v>
      </c>
      <c r="C1002">
        <f>SQRT((Scale_PCA_Mechanics!G30-Scale_PCA_Mechanics!G37)^2+(Scale_PCA_Mechanics!H30-Scale_PCA_Mechanics!H37)^2+(Scale_PCA_Mechanics!I30-Scale_PCA_Mechanics!I37)^2+(Scale_PCA_Mechanics!J30-Scale_PCA_Mechanics!J37)^2)</f>
        <v/>
      </c>
      <c r="D1002">
        <f>INDEX(KMeans_6_2!AA2:AA51,A1002)</f>
        <v/>
      </c>
      <c r="E1002">
        <f>INDEX(KMeans_6_2!AA2:AA51,B1002)</f>
        <v/>
      </c>
      <c r="O1002">
        <f>IF(OR(AND(D1002=1,E1002=2),AND(D1002=2,E1002=1)),C1002,"")</f>
        <v/>
      </c>
      <c r="P1002">
        <f>IF(OR(AND(D1002=1,E1002=3),AND(D1002=3,E1002=1)),C1002,"")</f>
        <v/>
      </c>
      <c r="Q1002">
        <f>IF(OR(AND(D1002=2,E1002=3),AND(D1002=3,E1002=2)),C1002,"")</f>
        <v/>
      </c>
    </row>
    <row r="1003">
      <c r="A1003" t="n">
        <v>29</v>
      </c>
      <c r="B1003" t="n">
        <v>37</v>
      </c>
      <c r="C1003">
        <f>SQRT((Scale_PCA_Mechanics!G30-Scale_PCA_Mechanics!G38)^2+(Scale_PCA_Mechanics!H30-Scale_PCA_Mechanics!H38)^2+(Scale_PCA_Mechanics!I30-Scale_PCA_Mechanics!I38)^2+(Scale_PCA_Mechanics!J30-Scale_PCA_Mechanics!J38)^2)</f>
        <v/>
      </c>
      <c r="D1003">
        <f>INDEX(KMeans_6_2!AA2:AA51,A1003)</f>
        <v/>
      </c>
      <c r="E1003">
        <f>INDEX(KMeans_6_2!AA2:AA51,B1003)</f>
        <v/>
      </c>
      <c r="O1003">
        <f>IF(OR(AND(D1003=1,E1003=2),AND(D1003=2,E1003=1)),C1003,"")</f>
        <v/>
      </c>
      <c r="P1003">
        <f>IF(OR(AND(D1003=1,E1003=3),AND(D1003=3,E1003=1)),C1003,"")</f>
        <v/>
      </c>
      <c r="Q1003">
        <f>IF(OR(AND(D1003=2,E1003=3),AND(D1003=3,E1003=2)),C1003,"")</f>
        <v/>
      </c>
    </row>
    <row r="1004">
      <c r="A1004" t="n">
        <v>29</v>
      </c>
      <c r="B1004" t="n">
        <v>38</v>
      </c>
      <c r="C1004">
        <f>SQRT((Scale_PCA_Mechanics!G30-Scale_PCA_Mechanics!G39)^2+(Scale_PCA_Mechanics!H30-Scale_PCA_Mechanics!H39)^2+(Scale_PCA_Mechanics!I30-Scale_PCA_Mechanics!I39)^2+(Scale_PCA_Mechanics!J30-Scale_PCA_Mechanics!J39)^2)</f>
        <v/>
      </c>
      <c r="D1004">
        <f>INDEX(KMeans_6_2!AA2:AA51,A1004)</f>
        <v/>
      </c>
      <c r="E1004">
        <f>INDEX(KMeans_6_2!AA2:AA51,B1004)</f>
        <v/>
      </c>
      <c r="O1004">
        <f>IF(OR(AND(D1004=1,E1004=2),AND(D1004=2,E1004=1)),C1004,"")</f>
        <v/>
      </c>
      <c r="P1004">
        <f>IF(OR(AND(D1004=1,E1004=3),AND(D1004=3,E1004=1)),C1004,"")</f>
        <v/>
      </c>
      <c r="Q1004">
        <f>IF(OR(AND(D1004=2,E1004=3),AND(D1004=3,E1004=2)),C1004,"")</f>
        <v/>
      </c>
    </row>
    <row r="1005">
      <c r="A1005" t="n">
        <v>29</v>
      </c>
      <c r="B1005" t="n">
        <v>39</v>
      </c>
      <c r="C1005">
        <f>SQRT((Scale_PCA_Mechanics!G30-Scale_PCA_Mechanics!G40)^2+(Scale_PCA_Mechanics!H30-Scale_PCA_Mechanics!H40)^2+(Scale_PCA_Mechanics!I30-Scale_PCA_Mechanics!I40)^2+(Scale_PCA_Mechanics!J30-Scale_PCA_Mechanics!J40)^2)</f>
        <v/>
      </c>
      <c r="D1005">
        <f>INDEX(KMeans_6_2!AA2:AA51,A1005)</f>
        <v/>
      </c>
      <c r="E1005">
        <f>INDEX(KMeans_6_2!AA2:AA51,B1005)</f>
        <v/>
      </c>
      <c r="O1005">
        <f>IF(OR(AND(D1005=1,E1005=2),AND(D1005=2,E1005=1)),C1005,"")</f>
        <v/>
      </c>
      <c r="P1005">
        <f>IF(OR(AND(D1005=1,E1005=3),AND(D1005=3,E1005=1)),C1005,"")</f>
        <v/>
      </c>
      <c r="Q1005">
        <f>IF(OR(AND(D1005=2,E1005=3),AND(D1005=3,E1005=2)),C1005,"")</f>
        <v/>
      </c>
    </row>
    <row r="1006">
      <c r="A1006" t="n">
        <v>29</v>
      </c>
      <c r="B1006" t="n">
        <v>40</v>
      </c>
      <c r="C1006">
        <f>SQRT((Scale_PCA_Mechanics!G30-Scale_PCA_Mechanics!G41)^2+(Scale_PCA_Mechanics!H30-Scale_PCA_Mechanics!H41)^2+(Scale_PCA_Mechanics!I30-Scale_PCA_Mechanics!I41)^2+(Scale_PCA_Mechanics!J30-Scale_PCA_Mechanics!J41)^2)</f>
        <v/>
      </c>
      <c r="D1006">
        <f>INDEX(KMeans_6_2!AA2:AA51,A1006)</f>
        <v/>
      </c>
      <c r="E1006">
        <f>INDEX(KMeans_6_2!AA2:AA51,B1006)</f>
        <v/>
      </c>
      <c r="O1006">
        <f>IF(OR(AND(D1006=1,E1006=2),AND(D1006=2,E1006=1)),C1006,"")</f>
        <v/>
      </c>
      <c r="P1006">
        <f>IF(OR(AND(D1006=1,E1006=3),AND(D1006=3,E1006=1)),C1006,"")</f>
        <v/>
      </c>
      <c r="Q1006">
        <f>IF(OR(AND(D1006=2,E1006=3),AND(D1006=3,E1006=2)),C1006,"")</f>
        <v/>
      </c>
    </row>
    <row r="1007">
      <c r="A1007" t="n">
        <v>29</v>
      </c>
      <c r="B1007" t="n">
        <v>41</v>
      </c>
      <c r="C1007">
        <f>SQRT((Scale_PCA_Mechanics!G30-Scale_PCA_Mechanics!G42)^2+(Scale_PCA_Mechanics!H30-Scale_PCA_Mechanics!H42)^2+(Scale_PCA_Mechanics!I30-Scale_PCA_Mechanics!I42)^2+(Scale_PCA_Mechanics!J30-Scale_PCA_Mechanics!J42)^2)</f>
        <v/>
      </c>
      <c r="D1007">
        <f>INDEX(KMeans_6_2!AA2:AA51,A1007)</f>
        <v/>
      </c>
      <c r="E1007">
        <f>INDEX(KMeans_6_2!AA2:AA51,B1007)</f>
        <v/>
      </c>
      <c r="O1007">
        <f>IF(OR(AND(D1007=1,E1007=2),AND(D1007=2,E1007=1)),C1007,"")</f>
        <v/>
      </c>
      <c r="P1007">
        <f>IF(OR(AND(D1007=1,E1007=3),AND(D1007=3,E1007=1)),C1007,"")</f>
        <v/>
      </c>
      <c r="Q1007">
        <f>IF(OR(AND(D1007=2,E1007=3),AND(D1007=3,E1007=2)),C1007,"")</f>
        <v/>
      </c>
    </row>
    <row r="1008">
      <c r="A1008" t="n">
        <v>29</v>
      </c>
      <c r="B1008" t="n">
        <v>42</v>
      </c>
      <c r="C1008">
        <f>SQRT((Scale_PCA_Mechanics!G30-Scale_PCA_Mechanics!G43)^2+(Scale_PCA_Mechanics!H30-Scale_PCA_Mechanics!H43)^2+(Scale_PCA_Mechanics!I30-Scale_PCA_Mechanics!I43)^2+(Scale_PCA_Mechanics!J30-Scale_PCA_Mechanics!J43)^2)</f>
        <v/>
      </c>
      <c r="D1008">
        <f>INDEX(KMeans_6_2!AA2:AA51,A1008)</f>
        <v/>
      </c>
      <c r="E1008">
        <f>INDEX(KMeans_6_2!AA2:AA51,B1008)</f>
        <v/>
      </c>
      <c r="O1008">
        <f>IF(OR(AND(D1008=1,E1008=2),AND(D1008=2,E1008=1)),C1008,"")</f>
        <v/>
      </c>
      <c r="P1008">
        <f>IF(OR(AND(D1008=1,E1008=3),AND(D1008=3,E1008=1)),C1008,"")</f>
        <v/>
      </c>
      <c r="Q1008">
        <f>IF(OR(AND(D1008=2,E1008=3),AND(D1008=3,E1008=2)),C1008,"")</f>
        <v/>
      </c>
    </row>
    <row r="1009">
      <c r="A1009" t="n">
        <v>29</v>
      </c>
      <c r="B1009" t="n">
        <v>43</v>
      </c>
      <c r="C1009">
        <f>SQRT((Scale_PCA_Mechanics!G30-Scale_PCA_Mechanics!G44)^2+(Scale_PCA_Mechanics!H30-Scale_PCA_Mechanics!H44)^2+(Scale_PCA_Mechanics!I30-Scale_PCA_Mechanics!I44)^2+(Scale_PCA_Mechanics!J30-Scale_PCA_Mechanics!J44)^2)</f>
        <v/>
      </c>
      <c r="D1009">
        <f>INDEX(KMeans_6_2!AA2:AA51,A1009)</f>
        <v/>
      </c>
      <c r="E1009">
        <f>INDEX(KMeans_6_2!AA2:AA51,B1009)</f>
        <v/>
      </c>
      <c r="O1009">
        <f>IF(OR(AND(D1009=1,E1009=2),AND(D1009=2,E1009=1)),C1009,"")</f>
        <v/>
      </c>
      <c r="P1009">
        <f>IF(OR(AND(D1009=1,E1009=3),AND(D1009=3,E1009=1)),C1009,"")</f>
        <v/>
      </c>
      <c r="Q1009">
        <f>IF(OR(AND(D1009=2,E1009=3),AND(D1009=3,E1009=2)),C1009,"")</f>
        <v/>
      </c>
    </row>
    <row r="1010">
      <c r="A1010" t="n">
        <v>29</v>
      </c>
      <c r="B1010" t="n">
        <v>44</v>
      </c>
      <c r="C1010">
        <f>SQRT((Scale_PCA_Mechanics!G30-Scale_PCA_Mechanics!G45)^2+(Scale_PCA_Mechanics!H30-Scale_PCA_Mechanics!H45)^2+(Scale_PCA_Mechanics!I30-Scale_PCA_Mechanics!I45)^2+(Scale_PCA_Mechanics!J30-Scale_PCA_Mechanics!J45)^2)</f>
        <v/>
      </c>
      <c r="D1010">
        <f>INDEX(KMeans_6_2!AA2:AA51,A1010)</f>
        <v/>
      </c>
      <c r="E1010">
        <f>INDEX(KMeans_6_2!AA2:AA51,B1010)</f>
        <v/>
      </c>
      <c r="O1010">
        <f>IF(OR(AND(D1010=1,E1010=2),AND(D1010=2,E1010=1)),C1010,"")</f>
        <v/>
      </c>
      <c r="P1010">
        <f>IF(OR(AND(D1010=1,E1010=3),AND(D1010=3,E1010=1)),C1010,"")</f>
        <v/>
      </c>
      <c r="Q1010">
        <f>IF(OR(AND(D1010=2,E1010=3),AND(D1010=3,E1010=2)),C1010,"")</f>
        <v/>
      </c>
    </row>
    <row r="1011">
      <c r="A1011" t="n">
        <v>29</v>
      </c>
      <c r="B1011" t="n">
        <v>45</v>
      </c>
      <c r="C1011">
        <f>SQRT((Scale_PCA_Mechanics!G30-Scale_PCA_Mechanics!G46)^2+(Scale_PCA_Mechanics!H30-Scale_PCA_Mechanics!H46)^2+(Scale_PCA_Mechanics!I30-Scale_PCA_Mechanics!I46)^2+(Scale_PCA_Mechanics!J30-Scale_PCA_Mechanics!J46)^2)</f>
        <v/>
      </c>
      <c r="D1011">
        <f>INDEX(KMeans_6_2!AA2:AA51,A1011)</f>
        <v/>
      </c>
      <c r="E1011">
        <f>INDEX(KMeans_6_2!AA2:AA51,B1011)</f>
        <v/>
      </c>
      <c r="O1011">
        <f>IF(OR(AND(D1011=1,E1011=2),AND(D1011=2,E1011=1)),C1011,"")</f>
        <v/>
      </c>
      <c r="P1011">
        <f>IF(OR(AND(D1011=1,E1011=3),AND(D1011=3,E1011=1)),C1011,"")</f>
        <v/>
      </c>
      <c r="Q1011">
        <f>IF(OR(AND(D1011=2,E1011=3),AND(D1011=3,E1011=2)),C1011,"")</f>
        <v/>
      </c>
    </row>
    <row r="1012">
      <c r="A1012" t="n">
        <v>29</v>
      </c>
      <c r="B1012" t="n">
        <v>46</v>
      </c>
      <c r="C1012">
        <f>SQRT((Scale_PCA_Mechanics!G30-Scale_PCA_Mechanics!G47)^2+(Scale_PCA_Mechanics!H30-Scale_PCA_Mechanics!H47)^2+(Scale_PCA_Mechanics!I30-Scale_PCA_Mechanics!I47)^2+(Scale_PCA_Mechanics!J30-Scale_PCA_Mechanics!J47)^2)</f>
        <v/>
      </c>
      <c r="D1012">
        <f>INDEX(KMeans_6_2!AA2:AA51,A1012)</f>
        <v/>
      </c>
      <c r="E1012">
        <f>INDEX(KMeans_6_2!AA2:AA51,B1012)</f>
        <v/>
      </c>
      <c r="O1012">
        <f>IF(OR(AND(D1012=1,E1012=2),AND(D1012=2,E1012=1)),C1012,"")</f>
        <v/>
      </c>
      <c r="P1012">
        <f>IF(OR(AND(D1012=1,E1012=3),AND(D1012=3,E1012=1)),C1012,"")</f>
        <v/>
      </c>
      <c r="Q1012">
        <f>IF(OR(AND(D1012=2,E1012=3),AND(D1012=3,E1012=2)),C1012,"")</f>
        <v/>
      </c>
    </row>
    <row r="1013">
      <c r="A1013" t="n">
        <v>29</v>
      </c>
      <c r="B1013" t="n">
        <v>47</v>
      </c>
      <c r="C1013">
        <f>SQRT((Scale_PCA_Mechanics!G30-Scale_PCA_Mechanics!G48)^2+(Scale_PCA_Mechanics!H30-Scale_PCA_Mechanics!H48)^2+(Scale_PCA_Mechanics!I30-Scale_PCA_Mechanics!I48)^2+(Scale_PCA_Mechanics!J30-Scale_PCA_Mechanics!J48)^2)</f>
        <v/>
      </c>
      <c r="D1013">
        <f>INDEX(KMeans_6_2!AA2:AA51,A1013)</f>
        <v/>
      </c>
      <c r="E1013">
        <f>INDEX(KMeans_6_2!AA2:AA51,B1013)</f>
        <v/>
      </c>
      <c r="O1013">
        <f>IF(OR(AND(D1013=1,E1013=2),AND(D1013=2,E1013=1)),C1013,"")</f>
        <v/>
      </c>
      <c r="P1013">
        <f>IF(OR(AND(D1013=1,E1013=3),AND(D1013=3,E1013=1)),C1013,"")</f>
        <v/>
      </c>
      <c r="Q1013">
        <f>IF(OR(AND(D1013=2,E1013=3),AND(D1013=3,E1013=2)),C1013,"")</f>
        <v/>
      </c>
    </row>
    <row r="1014">
      <c r="A1014" t="n">
        <v>29</v>
      </c>
      <c r="B1014" t="n">
        <v>48</v>
      </c>
      <c r="C1014">
        <f>SQRT((Scale_PCA_Mechanics!G30-Scale_PCA_Mechanics!G49)^2+(Scale_PCA_Mechanics!H30-Scale_PCA_Mechanics!H49)^2+(Scale_PCA_Mechanics!I30-Scale_PCA_Mechanics!I49)^2+(Scale_PCA_Mechanics!J30-Scale_PCA_Mechanics!J49)^2)</f>
        <v/>
      </c>
      <c r="D1014">
        <f>INDEX(KMeans_6_2!AA2:AA51,A1014)</f>
        <v/>
      </c>
      <c r="E1014">
        <f>INDEX(KMeans_6_2!AA2:AA51,B1014)</f>
        <v/>
      </c>
      <c r="O1014">
        <f>IF(OR(AND(D1014=1,E1014=2),AND(D1014=2,E1014=1)),C1014,"")</f>
        <v/>
      </c>
      <c r="P1014">
        <f>IF(OR(AND(D1014=1,E1014=3),AND(D1014=3,E1014=1)),C1014,"")</f>
        <v/>
      </c>
      <c r="Q1014">
        <f>IF(OR(AND(D1014=2,E1014=3),AND(D1014=3,E1014=2)),C1014,"")</f>
        <v/>
      </c>
    </row>
    <row r="1015">
      <c r="A1015" t="n">
        <v>29</v>
      </c>
      <c r="B1015" t="n">
        <v>49</v>
      </c>
      <c r="C1015">
        <f>SQRT((Scale_PCA_Mechanics!G30-Scale_PCA_Mechanics!G50)^2+(Scale_PCA_Mechanics!H30-Scale_PCA_Mechanics!H50)^2+(Scale_PCA_Mechanics!I30-Scale_PCA_Mechanics!I50)^2+(Scale_PCA_Mechanics!J30-Scale_PCA_Mechanics!J50)^2)</f>
        <v/>
      </c>
      <c r="D1015">
        <f>INDEX(KMeans_6_2!AA2:AA51,A1015)</f>
        <v/>
      </c>
      <c r="E1015">
        <f>INDEX(KMeans_6_2!AA2:AA51,B1015)</f>
        <v/>
      </c>
      <c r="O1015">
        <f>IF(OR(AND(D1015=1,E1015=2),AND(D1015=2,E1015=1)),C1015,"")</f>
        <v/>
      </c>
      <c r="P1015">
        <f>IF(OR(AND(D1015=1,E1015=3),AND(D1015=3,E1015=1)),C1015,"")</f>
        <v/>
      </c>
      <c r="Q1015">
        <f>IF(OR(AND(D1015=2,E1015=3),AND(D1015=3,E1015=2)),C1015,"")</f>
        <v/>
      </c>
    </row>
    <row r="1016">
      <c r="A1016" t="n">
        <v>29</v>
      </c>
      <c r="B1016" t="n">
        <v>50</v>
      </c>
      <c r="C1016">
        <f>SQRT((Scale_PCA_Mechanics!G30-Scale_PCA_Mechanics!G51)^2+(Scale_PCA_Mechanics!H30-Scale_PCA_Mechanics!H51)^2+(Scale_PCA_Mechanics!I30-Scale_PCA_Mechanics!I51)^2+(Scale_PCA_Mechanics!J30-Scale_PCA_Mechanics!J51)^2)</f>
        <v/>
      </c>
      <c r="D1016">
        <f>INDEX(KMeans_6_2!AA2:AA51,A1016)</f>
        <v/>
      </c>
      <c r="E1016">
        <f>INDEX(KMeans_6_2!AA2:AA51,B1016)</f>
        <v/>
      </c>
      <c r="O1016">
        <f>IF(OR(AND(D1016=1,E1016=2),AND(D1016=2,E1016=1)),C1016,"")</f>
        <v/>
      </c>
      <c r="P1016">
        <f>IF(OR(AND(D1016=1,E1016=3),AND(D1016=3,E1016=1)),C1016,"")</f>
        <v/>
      </c>
      <c r="Q1016">
        <f>IF(OR(AND(D1016=2,E1016=3),AND(D1016=3,E1016=2)),C1016,"")</f>
        <v/>
      </c>
    </row>
    <row r="1017">
      <c r="A1017" t="n">
        <v>30</v>
      </c>
      <c r="B1017" t="n">
        <v>31</v>
      </c>
      <c r="C1017">
        <f>SQRT((Scale_PCA_Mechanics!G31-Scale_PCA_Mechanics!G32)^2+(Scale_PCA_Mechanics!H31-Scale_PCA_Mechanics!H32)^2+(Scale_PCA_Mechanics!I31-Scale_PCA_Mechanics!I32)^2+(Scale_PCA_Mechanics!J31-Scale_PCA_Mechanics!J32)^2)</f>
        <v/>
      </c>
      <c r="D1017">
        <f>INDEX(KMeans_6_2!AA2:AA51,A1017)</f>
        <v/>
      </c>
      <c r="E1017">
        <f>INDEX(KMeans_6_2!AA2:AA51,B1017)</f>
        <v/>
      </c>
      <c r="O1017">
        <f>IF(OR(AND(D1017=1,E1017=2),AND(D1017=2,E1017=1)),C1017,"")</f>
        <v/>
      </c>
      <c r="P1017">
        <f>IF(OR(AND(D1017=1,E1017=3),AND(D1017=3,E1017=1)),C1017,"")</f>
        <v/>
      </c>
      <c r="Q1017">
        <f>IF(OR(AND(D1017=2,E1017=3),AND(D1017=3,E1017=2)),C1017,"")</f>
        <v/>
      </c>
    </row>
    <row r="1018">
      <c r="A1018" t="n">
        <v>30</v>
      </c>
      <c r="B1018" t="n">
        <v>32</v>
      </c>
      <c r="C1018">
        <f>SQRT((Scale_PCA_Mechanics!G31-Scale_PCA_Mechanics!G33)^2+(Scale_PCA_Mechanics!H31-Scale_PCA_Mechanics!H33)^2+(Scale_PCA_Mechanics!I31-Scale_PCA_Mechanics!I33)^2+(Scale_PCA_Mechanics!J31-Scale_PCA_Mechanics!J33)^2)</f>
        <v/>
      </c>
      <c r="D1018">
        <f>INDEX(KMeans_6_2!AA2:AA51,A1018)</f>
        <v/>
      </c>
      <c r="E1018">
        <f>INDEX(KMeans_6_2!AA2:AA51,B1018)</f>
        <v/>
      </c>
      <c r="O1018">
        <f>IF(OR(AND(D1018=1,E1018=2),AND(D1018=2,E1018=1)),C1018,"")</f>
        <v/>
      </c>
      <c r="P1018">
        <f>IF(OR(AND(D1018=1,E1018=3),AND(D1018=3,E1018=1)),C1018,"")</f>
        <v/>
      </c>
      <c r="Q1018">
        <f>IF(OR(AND(D1018=2,E1018=3),AND(D1018=3,E1018=2)),C1018,"")</f>
        <v/>
      </c>
    </row>
    <row r="1019">
      <c r="A1019" t="n">
        <v>30</v>
      </c>
      <c r="B1019" t="n">
        <v>33</v>
      </c>
      <c r="C1019">
        <f>SQRT((Scale_PCA_Mechanics!G31-Scale_PCA_Mechanics!G34)^2+(Scale_PCA_Mechanics!H31-Scale_PCA_Mechanics!H34)^2+(Scale_PCA_Mechanics!I31-Scale_PCA_Mechanics!I34)^2+(Scale_PCA_Mechanics!J31-Scale_PCA_Mechanics!J34)^2)</f>
        <v/>
      </c>
      <c r="D1019">
        <f>INDEX(KMeans_6_2!AA2:AA51,A1019)</f>
        <v/>
      </c>
      <c r="E1019">
        <f>INDEX(KMeans_6_2!AA2:AA51,B1019)</f>
        <v/>
      </c>
      <c r="O1019">
        <f>IF(OR(AND(D1019=1,E1019=2),AND(D1019=2,E1019=1)),C1019,"")</f>
        <v/>
      </c>
      <c r="P1019">
        <f>IF(OR(AND(D1019=1,E1019=3),AND(D1019=3,E1019=1)),C1019,"")</f>
        <v/>
      </c>
      <c r="Q1019">
        <f>IF(OR(AND(D1019=2,E1019=3),AND(D1019=3,E1019=2)),C1019,"")</f>
        <v/>
      </c>
    </row>
    <row r="1020">
      <c r="A1020" t="n">
        <v>30</v>
      </c>
      <c r="B1020" t="n">
        <v>34</v>
      </c>
      <c r="C1020">
        <f>SQRT((Scale_PCA_Mechanics!G31-Scale_PCA_Mechanics!G35)^2+(Scale_PCA_Mechanics!H31-Scale_PCA_Mechanics!H35)^2+(Scale_PCA_Mechanics!I31-Scale_PCA_Mechanics!I35)^2+(Scale_PCA_Mechanics!J31-Scale_PCA_Mechanics!J35)^2)</f>
        <v/>
      </c>
      <c r="D1020">
        <f>INDEX(KMeans_6_2!AA2:AA51,A1020)</f>
        <v/>
      </c>
      <c r="E1020">
        <f>INDEX(KMeans_6_2!AA2:AA51,B1020)</f>
        <v/>
      </c>
      <c r="O1020">
        <f>IF(OR(AND(D1020=1,E1020=2),AND(D1020=2,E1020=1)),C1020,"")</f>
        <v/>
      </c>
      <c r="P1020">
        <f>IF(OR(AND(D1020=1,E1020=3),AND(D1020=3,E1020=1)),C1020,"")</f>
        <v/>
      </c>
      <c r="Q1020">
        <f>IF(OR(AND(D1020=2,E1020=3),AND(D1020=3,E1020=2)),C1020,"")</f>
        <v/>
      </c>
    </row>
    <row r="1021">
      <c r="A1021" t="n">
        <v>30</v>
      </c>
      <c r="B1021" t="n">
        <v>35</v>
      </c>
      <c r="C1021">
        <f>SQRT((Scale_PCA_Mechanics!G31-Scale_PCA_Mechanics!G36)^2+(Scale_PCA_Mechanics!H31-Scale_PCA_Mechanics!H36)^2+(Scale_PCA_Mechanics!I31-Scale_PCA_Mechanics!I36)^2+(Scale_PCA_Mechanics!J31-Scale_PCA_Mechanics!J36)^2)</f>
        <v/>
      </c>
      <c r="D1021">
        <f>INDEX(KMeans_6_2!AA2:AA51,A1021)</f>
        <v/>
      </c>
      <c r="E1021">
        <f>INDEX(KMeans_6_2!AA2:AA51,B1021)</f>
        <v/>
      </c>
      <c r="O1021">
        <f>IF(OR(AND(D1021=1,E1021=2),AND(D1021=2,E1021=1)),C1021,"")</f>
        <v/>
      </c>
      <c r="P1021">
        <f>IF(OR(AND(D1021=1,E1021=3),AND(D1021=3,E1021=1)),C1021,"")</f>
        <v/>
      </c>
      <c r="Q1021">
        <f>IF(OR(AND(D1021=2,E1021=3),AND(D1021=3,E1021=2)),C1021,"")</f>
        <v/>
      </c>
    </row>
    <row r="1022">
      <c r="A1022" t="n">
        <v>30</v>
      </c>
      <c r="B1022" t="n">
        <v>36</v>
      </c>
      <c r="C1022">
        <f>SQRT((Scale_PCA_Mechanics!G31-Scale_PCA_Mechanics!G37)^2+(Scale_PCA_Mechanics!H31-Scale_PCA_Mechanics!H37)^2+(Scale_PCA_Mechanics!I31-Scale_PCA_Mechanics!I37)^2+(Scale_PCA_Mechanics!J31-Scale_PCA_Mechanics!J37)^2)</f>
        <v/>
      </c>
      <c r="D1022">
        <f>INDEX(KMeans_6_2!AA2:AA51,A1022)</f>
        <v/>
      </c>
      <c r="E1022">
        <f>INDEX(KMeans_6_2!AA2:AA51,B1022)</f>
        <v/>
      </c>
      <c r="O1022">
        <f>IF(OR(AND(D1022=1,E1022=2),AND(D1022=2,E1022=1)),C1022,"")</f>
        <v/>
      </c>
      <c r="P1022">
        <f>IF(OR(AND(D1022=1,E1022=3),AND(D1022=3,E1022=1)),C1022,"")</f>
        <v/>
      </c>
      <c r="Q1022">
        <f>IF(OR(AND(D1022=2,E1022=3),AND(D1022=3,E1022=2)),C1022,"")</f>
        <v/>
      </c>
    </row>
    <row r="1023">
      <c r="A1023" t="n">
        <v>30</v>
      </c>
      <c r="B1023" t="n">
        <v>37</v>
      </c>
      <c r="C1023">
        <f>SQRT((Scale_PCA_Mechanics!G31-Scale_PCA_Mechanics!G38)^2+(Scale_PCA_Mechanics!H31-Scale_PCA_Mechanics!H38)^2+(Scale_PCA_Mechanics!I31-Scale_PCA_Mechanics!I38)^2+(Scale_PCA_Mechanics!J31-Scale_PCA_Mechanics!J38)^2)</f>
        <v/>
      </c>
      <c r="D1023">
        <f>INDEX(KMeans_6_2!AA2:AA51,A1023)</f>
        <v/>
      </c>
      <c r="E1023">
        <f>INDEX(KMeans_6_2!AA2:AA51,B1023)</f>
        <v/>
      </c>
      <c r="O1023">
        <f>IF(OR(AND(D1023=1,E1023=2),AND(D1023=2,E1023=1)),C1023,"")</f>
        <v/>
      </c>
      <c r="P1023">
        <f>IF(OR(AND(D1023=1,E1023=3),AND(D1023=3,E1023=1)),C1023,"")</f>
        <v/>
      </c>
      <c r="Q1023">
        <f>IF(OR(AND(D1023=2,E1023=3),AND(D1023=3,E1023=2)),C1023,"")</f>
        <v/>
      </c>
    </row>
    <row r="1024">
      <c r="A1024" t="n">
        <v>30</v>
      </c>
      <c r="B1024" t="n">
        <v>38</v>
      </c>
      <c r="C1024">
        <f>SQRT((Scale_PCA_Mechanics!G31-Scale_PCA_Mechanics!G39)^2+(Scale_PCA_Mechanics!H31-Scale_PCA_Mechanics!H39)^2+(Scale_PCA_Mechanics!I31-Scale_PCA_Mechanics!I39)^2+(Scale_PCA_Mechanics!J31-Scale_PCA_Mechanics!J39)^2)</f>
        <v/>
      </c>
      <c r="D1024">
        <f>INDEX(KMeans_6_2!AA2:AA51,A1024)</f>
        <v/>
      </c>
      <c r="E1024">
        <f>INDEX(KMeans_6_2!AA2:AA51,B1024)</f>
        <v/>
      </c>
      <c r="O1024">
        <f>IF(OR(AND(D1024=1,E1024=2),AND(D1024=2,E1024=1)),C1024,"")</f>
        <v/>
      </c>
      <c r="P1024">
        <f>IF(OR(AND(D1024=1,E1024=3),AND(D1024=3,E1024=1)),C1024,"")</f>
        <v/>
      </c>
      <c r="Q1024">
        <f>IF(OR(AND(D1024=2,E1024=3),AND(D1024=3,E1024=2)),C1024,"")</f>
        <v/>
      </c>
    </row>
    <row r="1025">
      <c r="A1025" t="n">
        <v>30</v>
      </c>
      <c r="B1025" t="n">
        <v>39</v>
      </c>
      <c r="C1025">
        <f>SQRT((Scale_PCA_Mechanics!G31-Scale_PCA_Mechanics!G40)^2+(Scale_PCA_Mechanics!H31-Scale_PCA_Mechanics!H40)^2+(Scale_PCA_Mechanics!I31-Scale_PCA_Mechanics!I40)^2+(Scale_PCA_Mechanics!J31-Scale_PCA_Mechanics!J40)^2)</f>
        <v/>
      </c>
      <c r="D1025">
        <f>INDEX(KMeans_6_2!AA2:AA51,A1025)</f>
        <v/>
      </c>
      <c r="E1025">
        <f>INDEX(KMeans_6_2!AA2:AA51,B1025)</f>
        <v/>
      </c>
      <c r="O1025">
        <f>IF(OR(AND(D1025=1,E1025=2),AND(D1025=2,E1025=1)),C1025,"")</f>
        <v/>
      </c>
      <c r="P1025">
        <f>IF(OR(AND(D1025=1,E1025=3),AND(D1025=3,E1025=1)),C1025,"")</f>
        <v/>
      </c>
      <c r="Q1025">
        <f>IF(OR(AND(D1025=2,E1025=3),AND(D1025=3,E1025=2)),C1025,"")</f>
        <v/>
      </c>
    </row>
    <row r="1026">
      <c r="A1026" t="n">
        <v>30</v>
      </c>
      <c r="B1026" t="n">
        <v>40</v>
      </c>
      <c r="C1026">
        <f>SQRT((Scale_PCA_Mechanics!G31-Scale_PCA_Mechanics!G41)^2+(Scale_PCA_Mechanics!H31-Scale_PCA_Mechanics!H41)^2+(Scale_PCA_Mechanics!I31-Scale_PCA_Mechanics!I41)^2+(Scale_PCA_Mechanics!J31-Scale_PCA_Mechanics!J41)^2)</f>
        <v/>
      </c>
      <c r="D1026">
        <f>INDEX(KMeans_6_2!AA2:AA51,A1026)</f>
        <v/>
      </c>
      <c r="E1026">
        <f>INDEX(KMeans_6_2!AA2:AA51,B1026)</f>
        <v/>
      </c>
      <c r="O1026">
        <f>IF(OR(AND(D1026=1,E1026=2),AND(D1026=2,E1026=1)),C1026,"")</f>
        <v/>
      </c>
      <c r="P1026">
        <f>IF(OR(AND(D1026=1,E1026=3),AND(D1026=3,E1026=1)),C1026,"")</f>
        <v/>
      </c>
      <c r="Q1026">
        <f>IF(OR(AND(D1026=2,E1026=3),AND(D1026=3,E1026=2)),C1026,"")</f>
        <v/>
      </c>
    </row>
    <row r="1027">
      <c r="A1027" t="n">
        <v>30</v>
      </c>
      <c r="B1027" t="n">
        <v>41</v>
      </c>
      <c r="C1027">
        <f>SQRT((Scale_PCA_Mechanics!G31-Scale_PCA_Mechanics!G42)^2+(Scale_PCA_Mechanics!H31-Scale_PCA_Mechanics!H42)^2+(Scale_PCA_Mechanics!I31-Scale_PCA_Mechanics!I42)^2+(Scale_PCA_Mechanics!J31-Scale_PCA_Mechanics!J42)^2)</f>
        <v/>
      </c>
      <c r="D1027">
        <f>INDEX(KMeans_6_2!AA2:AA51,A1027)</f>
        <v/>
      </c>
      <c r="E1027">
        <f>INDEX(KMeans_6_2!AA2:AA51,B1027)</f>
        <v/>
      </c>
      <c r="O1027">
        <f>IF(OR(AND(D1027=1,E1027=2),AND(D1027=2,E1027=1)),C1027,"")</f>
        <v/>
      </c>
      <c r="P1027">
        <f>IF(OR(AND(D1027=1,E1027=3),AND(D1027=3,E1027=1)),C1027,"")</f>
        <v/>
      </c>
      <c r="Q1027">
        <f>IF(OR(AND(D1027=2,E1027=3),AND(D1027=3,E1027=2)),C1027,"")</f>
        <v/>
      </c>
    </row>
    <row r="1028">
      <c r="A1028" t="n">
        <v>30</v>
      </c>
      <c r="B1028" t="n">
        <v>42</v>
      </c>
      <c r="C1028">
        <f>SQRT((Scale_PCA_Mechanics!G31-Scale_PCA_Mechanics!G43)^2+(Scale_PCA_Mechanics!H31-Scale_PCA_Mechanics!H43)^2+(Scale_PCA_Mechanics!I31-Scale_PCA_Mechanics!I43)^2+(Scale_PCA_Mechanics!J31-Scale_PCA_Mechanics!J43)^2)</f>
        <v/>
      </c>
      <c r="D1028">
        <f>INDEX(KMeans_6_2!AA2:AA51,A1028)</f>
        <v/>
      </c>
      <c r="E1028">
        <f>INDEX(KMeans_6_2!AA2:AA51,B1028)</f>
        <v/>
      </c>
      <c r="O1028">
        <f>IF(OR(AND(D1028=1,E1028=2),AND(D1028=2,E1028=1)),C1028,"")</f>
        <v/>
      </c>
      <c r="P1028">
        <f>IF(OR(AND(D1028=1,E1028=3),AND(D1028=3,E1028=1)),C1028,"")</f>
        <v/>
      </c>
      <c r="Q1028">
        <f>IF(OR(AND(D1028=2,E1028=3),AND(D1028=3,E1028=2)),C1028,"")</f>
        <v/>
      </c>
    </row>
    <row r="1029">
      <c r="A1029" t="n">
        <v>30</v>
      </c>
      <c r="B1029" t="n">
        <v>43</v>
      </c>
      <c r="C1029">
        <f>SQRT((Scale_PCA_Mechanics!G31-Scale_PCA_Mechanics!G44)^2+(Scale_PCA_Mechanics!H31-Scale_PCA_Mechanics!H44)^2+(Scale_PCA_Mechanics!I31-Scale_PCA_Mechanics!I44)^2+(Scale_PCA_Mechanics!J31-Scale_PCA_Mechanics!J44)^2)</f>
        <v/>
      </c>
      <c r="D1029">
        <f>INDEX(KMeans_6_2!AA2:AA51,A1029)</f>
        <v/>
      </c>
      <c r="E1029">
        <f>INDEX(KMeans_6_2!AA2:AA51,B1029)</f>
        <v/>
      </c>
      <c r="O1029">
        <f>IF(OR(AND(D1029=1,E1029=2),AND(D1029=2,E1029=1)),C1029,"")</f>
        <v/>
      </c>
      <c r="P1029">
        <f>IF(OR(AND(D1029=1,E1029=3),AND(D1029=3,E1029=1)),C1029,"")</f>
        <v/>
      </c>
      <c r="Q1029">
        <f>IF(OR(AND(D1029=2,E1029=3),AND(D1029=3,E1029=2)),C1029,"")</f>
        <v/>
      </c>
    </row>
    <row r="1030">
      <c r="A1030" t="n">
        <v>30</v>
      </c>
      <c r="B1030" t="n">
        <v>44</v>
      </c>
      <c r="C1030">
        <f>SQRT((Scale_PCA_Mechanics!G31-Scale_PCA_Mechanics!G45)^2+(Scale_PCA_Mechanics!H31-Scale_PCA_Mechanics!H45)^2+(Scale_PCA_Mechanics!I31-Scale_PCA_Mechanics!I45)^2+(Scale_PCA_Mechanics!J31-Scale_PCA_Mechanics!J45)^2)</f>
        <v/>
      </c>
      <c r="D1030">
        <f>INDEX(KMeans_6_2!AA2:AA51,A1030)</f>
        <v/>
      </c>
      <c r="E1030">
        <f>INDEX(KMeans_6_2!AA2:AA51,B1030)</f>
        <v/>
      </c>
      <c r="O1030">
        <f>IF(OR(AND(D1030=1,E1030=2),AND(D1030=2,E1030=1)),C1030,"")</f>
        <v/>
      </c>
      <c r="P1030">
        <f>IF(OR(AND(D1030=1,E1030=3),AND(D1030=3,E1030=1)),C1030,"")</f>
        <v/>
      </c>
      <c r="Q1030">
        <f>IF(OR(AND(D1030=2,E1030=3),AND(D1030=3,E1030=2)),C1030,"")</f>
        <v/>
      </c>
    </row>
    <row r="1031">
      <c r="A1031" t="n">
        <v>30</v>
      </c>
      <c r="B1031" t="n">
        <v>45</v>
      </c>
      <c r="C1031">
        <f>SQRT((Scale_PCA_Mechanics!G31-Scale_PCA_Mechanics!G46)^2+(Scale_PCA_Mechanics!H31-Scale_PCA_Mechanics!H46)^2+(Scale_PCA_Mechanics!I31-Scale_PCA_Mechanics!I46)^2+(Scale_PCA_Mechanics!J31-Scale_PCA_Mechanics!J46)^2)</f>
        <v/>
      </c>
      <c r="D1031">
        <f>INDEX(KMeans_6_2!AA2:AA51,A1031)</f>
        <v/>
      </c>
      <c r="E1031">
        <f>INDEX(KMeans_6_2!AA2:AA51,B1031)</f>
        <v/>
      </c>
      <c r="O1031">
        <f>IF(OR(AND(D1031=1,E1031=2),AND(D1031=2,E1031=1)),C1031,"")</f>
        <v/>
      </c>
      <c r="P1031">
        <f>IF(OR(AND(D1031=1,E1031=3),AND(D1031=3,E1031=1)),C1031,"")</f>
        <v/>
      </c>
      <c r="Q1031">
        <f>IF(OR(AND(D1031=2,E1031=3),AND(D1031=3,E1031=2)),C1031,"")</f>
        <v/>
      </c>
    </row>
    <row r="1032">
      <c r="A1032" t="n">
        <v>30</v>
      </c>
      <c r="B1032" t="n">
        <v>46</v>
      </c>
      <c r="C1032">
        <f>SQRT((Scale_PCA_Mechanics!G31-Scale_PCA_Mechanics!G47)^2+(Scale_PCA_Mechanics!H31-Scale_PCA_Mechanics!H47)^2+(Scale_PCA_Mechanics!I31-Scale_PCA_Mechanics!I47)^2+(Scale_PCA_Mechanics!J31-Scale_PCA_Mechanics!J47)^2)</f>
        <v/>
      </c>
      <c r="D1032">
        <f>INDEX(KMeans_6_2!AA2:AA51,A1032)</f>
        <v/>
      </c>
      <c r="E1032">
        <f>INDEX(KMeans_6_2!AA2:AA51,B1032)</f>
        <v/>
      </c>
      <c r="O1032">
        <f>IF(OR(AND(D1032=1,E1032=2),AND(D1032=2,E1032=1)),C1032,"")</f>
        <v/>
      </c>
      <c r="P1032">
        <f>IF(OR(AND(D1032=1,E1032=3),AND(D1032=3,E1032=1)),C1032,"")</f>
        <v/>
      </c>
      <c r="Q1032">
        <f>IF(OR(AND(D1032=2,E1032=3),AND(D1032=3,E1032=2)),C1032,"")</f>
        <v/>
      </c>
    </row>
    <row r="1033">
      <c r="A1033" t="n">
        <v>30</v>
      </c>
      <c r="B1033" t="n">
        <v>47</v>
      </c>
      <c r="C1033">
        <f>SQRT((Scale_PCA_Mechanics!G31-Scale_PCA_Mechanics!G48)^2+(Scale_PCA_Mechanics!H31-Scale_PCA_Mechanics!H48)^2+(Scale_PCA_Mechanics!I31-Scale_PCA_Mechanics!I48)^2+(Scale_PCA_Mechanics!J31-Scale_PCA_Mechanics!J48)^2)</f>
        <v/>
      </c>
      <c r="D1033">
        <f>INDEX(KMeans_6_2!AA2:AA51,A1033)</f>
        <v/>
      </c>
      <c r="E1033">
        <f>INDEX(KMeans_6_2!AA2:AA51,B1033)</f>
        <v/>
      </c>
      <c r="O1033">
        <f>IF(OR(AND(D1033=1,E1033=2),AND(D1033=2,E1033=1)),C1033,"")</f>
        <v/>
      </c>
      <c r="P1033">
        <f>IF(OR(AND(D1033=1,E1033=3),AND(D1033=3,E1033=1)),C1033,"")</f>
        <v/>
      </c>
      <c r="Q1033">
        <f>IF(OR(AND(D1033=2,E1033=3),AND(D1033=3,E1033=2)),C1033,"")</f>
        <v/>
      </c>
    </row>
    <row r="1034">
      <c r="A1034" t="n">
        <v>30</v>
      </c>
      <c r="B1034" t="n">
        <v>48</v>
      </c>
      <c r="C1034">
        <f>SQRT((Scale_PCA_Mechanics!G31-Scale_PCA_Mechanics!G49)^2+(Scale_PCA_Mechanics!H31-Scale_PCA_Mechanics!H49)^2+(Scale_PCA_Mechanics!I31-Scale_PCA_Mechanics!I49)^2+(Scale_PCA_Mechanics!J31-Scale_PCA_Mechanics!J49)^2)</f>
        <v/>
      </c>
      <c r="D1034">
        <f>INDEX(KMeans_6_2!AA2:AA51,A1034)</f>
        <v/>
      </c>
      <c r="E1034">
        <f>INDEX(KMeans_6_2!AA2:AA51,B1034)</f>
        <v/>
      </c>
      <c r="O1034">
        <f>IF(OR(AND(D1034=1,E1034=2),AND(D1034=2,E1034=1)),C1034,"")</f>
        <v/>
      </c>
      <c r="P1034">
        <f>IF(OR(AND(D1034=1,E1034=3),AND(D1034=3,E1034=1)),C1034,"")</f>
        <v/>
      </c>
      <c r="Q1034">
        <f>IF(OR(AND(D1034=2,E1034=3),AND(D1034=3,E1034=2)),C1034,"")</f>
        <v/>
      </c>
    </row>
    <row r="1035">
      <c r="A1035" t="n">
        <v>30</v>
      </c>
      <c r="B1035" t="n">
        <v>49</v>
      </c>
      <c r="C1035">
        <f>SQRT((Scale_PCA_Mechanics!G31-Scale_PCA_Mechanics!G50)^2+(Scale_PCA_Mechanics!H31-Scale_PCA_Mechanics!H50)^2+(Scale_PCA_Mechanics!I31-Scale_PCA_Mechanics!I50)^2+(Scale_PCA_Mechanics!J31-Scale_PCA_Mechanics!J50)^2)</f>
        <v/>
      </c>
      <c r="D1035">
        <f>INDEX(KMeans_6_2!AA2:AA51,A1035)</f>
        <v/>
      </c>
      <c r="E1035">
        <f>INDEX(KMeans_6_2!AA2:AA51,B1035)</f>
        <v/>
      </c>
      <c r="O1035">
        <f>IF(OR(AND(D1035=1,E1035=2),AND(D1035=2,E1035=1)),C1035,"")</f>
        <v/>
      </c>
      <c r="P1035">
        <f>IF(OR(AND(D1035=1,E1035=3),AND(D1035=3,E1035=1)),C1035,"")</f>
        <v/>
      </c>
      <c r="Q1035">
        <f>IF(OR(AND(D1035=2,E1035=3),AND(D1035=3,E1035=2)),C1035,"")</f>
        <v/>
      </c>
    </row>
    <row r="1036">
      <c r="A1036" t="n">
        <v>30</v>
      </c>
      <c r="B1036" t="n">
        <v>50</v>
      </c>
      <c r="C1036">
        <f>SQRT((Scale_PCA_Mechanics!G31-Scale_PCA_Mechanics!G51)^2+(Scale_PCA_Mechanics!H31-Scale_PCA_Mechanics!H51)^2+(Scale_PCA_Mechanics!I31-Scale_PCA_Mechanics!I51)^2+(Scale_PCA_Mechanics!J31-Scale_PCA_Mechanics!J51)^2)</f>
        <v/>
      </c>
      <c r="D1036">
        <f>INDEX(KMeans_6_2!AA2:AA51,A1036)</f>
        <v/>
      </c>
      <c r="E1036">
        <f>INDEX(KMeans_6_2!AA2:AA51,B1036)</f>
        <v/>
      </c>
      <c r="O1036">
        <f>IF(OR(AND(D1036=1,E1036=2),AND(D1036=2,E1036=1)),C1036,"")</f>
        <v/>
      </c>
      <c r="P1036">
        <f>IF(OR(AND(D1036=1,E1036=3),AND(D1036=3,E1036=1)),C1036,"")</f>
        <v/>
      </c>
      <c r="Q1036">
        <f>IF(OR(AND(D1036=2,E1036=3),AND(D1036=3,E1036=2)),C1036,"")</f>
        <v/>
      </c>
    </row>
    <row r="1037">
      <c r="A1037" t="n">
        <v>31</v>
      </c>
      <c r="B1037" t="n">
        <v>32</v>
      </c>
      <c r="C1037">
        <f>SQRT((Scale_PCA_Mechanics!G32-Scale_PCA_Mechanics!G33)^2+(Scale_PCA_Mechanics!H32-Scale_PCA_Mechanics!H33)^2+(Scale_PCA_Mechanics!I32-Scale_PCA_Mechanics!I33)^2+(Scale_PCA_Mechanics!J32-Scale_PCA_Mechanics!J33)^2)</f>
        <v/>
      </c>
      <c r="D1037">
        <f>INDEX(KMeans_6_2!AA2:AA51,A1037)</f>
        <v/>
      </c>
      <c r="E1037">
        <f>INDEX(KMeans_6_2!AA2:AA51,B1037)</f>
        <v/>
      </c>
      <c r="O1037">
        <f>IF(OR(AND(D1037=1,E1037=2),AND(D1037=2,E1037=1)),C1037,"")</f>
        <v/>
      </c>
      <c r="P1037">
        <f>IF(OR(AND(D1037=1,E1037=3),AND(D1037=3,E1037=1)),C1037,"")</f>
        <v/>
      </c>
      <c r="Q1037">
        <f>IF(OR(AND(D1037=2,E1037=3),AND(D1037=3,E1037=2)),C1037,"")</f>
        <v/>
      </c>
    </row>
    <row r="1038">
      <c r="A1038" t="n">
        <v>31</v>
      </c>
      <c r="B1038" t="n">
        <v>33</v>
      </c>
      <c r="C1038">
        <f>SQRT((Scale_PCA_Mechanics!G32-Scale_PCA_Mechanics!G34)^2+(Scale_PCA_Mechanics!H32-Scale_PCA_Mechanics!H34)^2+(Scale_PCA_Mechanics!I32-Scale_PCA_Mechanics!I34)^2+(Scale_PCA_Mechanics!J32-Scale_PCA_Mechanics!J34)^2)</f>
        <v/>
      </c>
      <c r="D1038">
        <f>INDEX(KMeans_6_2!AA2:AA51,A1038)</f>
        <v/>
      </c>
      <c r="E1038">
        <f>INDEX(KMeans_6_2!AA2:AA51,B1038)</f>
        <v/>
      </c>
      <c r="O1038">
        <f>IF(OR(AND(D1038=1,E1038=2),AND(D1038=2,E1038=1)),C1038,"")</f>
        <v/>
      </c>
      <c r="P1038">
        <f>IF(OR(AND(D1038=1,E1038=3),AND(D1038=3,E1038=1)),C1038,"")</f>
        <v/>
      </c>
      <c r="Q1038">
        <f>IF(OR(AND(D1038=2,E1038=3),AND(D1038=3,E1038=2)),C1038,"")</f>
        <v/>
      </c>
    </row>
    <row r="1039">
      <c r="A1039" t="n">
        <v>31</v>
      </c>
      <c r="B1039" t="n">
        <v>34</v>
      </c>
      <c r="C1039">
        <f>SQRT((Scale_PCA_Mechanics!G32-Scale_PCA_Mechanics!G35)^2+(Scale_PCA_Mechanics!H32-Scale_PCA_Mechanics!H35)^2+(Scale_PCA_Mechanics!I32-Scale_PCA_Mechanics!I35)^2+(Scale_PCA_Mechanics!J32-Scale_PCA_Mechanics!J35)^2)</f>
        <v/>
      </c>
      <c r="D1039">
        <f>INDEX(KMeans_6_2!AA2:AA51,A1039)</f>
        <v/>
      </c>
      <c r="E1039">
        <f>INDEX(KMeans_6_2!AA2:AA51,B1039)</f>
        <v/>
      </c>
      <c r="O1039">
        <f>IF(OR(AND(D1039=1,E1039=2),AND(D1039=2,E1039=1)),C1039,"")</f>
        <v/>
      </c>
      <c r="P1039">
        <f>IF(OR(AND(D1039=1,E1039=3),AND(D1039=3,E1039=1)),C1039,"")</f>
        <v/>
      </c>
      <c r="Q1039">
        <f>IF(OR(AND(D1039=2,E1039=3),AND(D1039=3,E1039=2)),C1039,"")</f>
        <v/>
      </c>
    </row>
    <row r="1040">
      <c r="A1040" t="n">
        <v>31</v>
      </c>
      <c r="B1040" t="n">
        <v>35</v>
      </c>
      <c r="C1040">
        <f>SQRT((Scale_PCA_Mechanics!G32-Scale_PCA_Mechanics!G36)^2+(Scale_PCA_Mechanics!H32-Scale_PCA_Mechanics!H36)^2+(Scale_PCA_Mechanics!I32-Scale_PCA_Mechanics!I36)^2+(Scale_PCA_Mechanics!J32-Scale_PCA_Mechanics!J36)^2)</f>
        <v/>
      </c>
      <c r="D1040">
        <f>INDEX(KMeans_6_2!AA2:AA51,A1040)</f>
        <v/>
      </c>
      <c r="E1040">
        <f>INDEX(KMeans_6_2!AA2:AA51,B1040)</f>
        <v/>
      </c>
      <c r="O1040">
        <f>IF(OR(AND(D1040=1,E1040=2),AND(D1040=2,E1040=1)),C1040,"")</f>
        <v/>
      </c>
      <c r="P1040">
        <f>IF(OR(AND(D1040=1,E1040=3),AND(D1040=3,E1040=1)),C1040,"")</f>
        <v/>
      </c>
      <c r="Q1040">
        <f>IF(OR(AND(D1040=2,E1040=3),AND(D1040=3,E1040=2)),C1040,"")</f>
        <v/>
      </c>
    </row>
    <row r="1041">
      <c r="A1041" t="n">
        <v>31</v>
      </c>
      <c r="B1041" t="n">
        <v>36</v>
      </c>
      <c r="C1041">
        <f>SQRT((Scale_PCA_Mechanics!G32-Scale_PCA_Mechanics!G37)^2+(Scale_PCA_Mechanics!H32-Scale_PCA_Mechanics!H37)^2+(Scale_PCA_Mechanics!I32-Scale_PCA_Mechanics!I37)^2+(Scale_PCA_Mechanics!J32-Scale_PCA_Mechanics!J37)^2)</f>
        <v/>
      </c>
      <c r="D1041">
        <f>INDEX(KMeans_6_2!AA2:AA51,A1041)</f>
        <v/>
      </c>
      <c r="E1041">
        <f>INDEX(KMeans_6_2!AA2:AA51,B1041)</f>
        <v/>
      </c>
      <c r="O1041">
        <f>IF(OR(AND(D1041=1,E1041=2),AND(D1041=2,E1041=1)),C1041,"")</f>
        <v/>
      </c>
      <c r="P1041">
        <f>IF(OR(AND(D1041=1,E1041=3),AND(D1041=3,E1041=1)),C1041,"")</f>
        <v/>
      </c>
      <c r="Q1041">
        <f>IF(OR(AND(D1041=2,E1041=3),AND(D1041=3,E1041=2)),C1041,"")</f>
        <v/>
      </c>
    </row>
    <row r="1042">
      <c r="A1042" t="n">
        <v>31</v>
      </c>
      <c r="B1042" t="n">
        <v>37</v>
      </c>
      <c r="C1042">
        <f>SQRT((Scale_PCA_Mechanics!G32-Scale_PCA_Mechanics!G38)^2+(Scale_PCA_Mechanics!H32-Scale_PCA_Mechanics!H38)^2+(Scale_PCA_Mechanics!I32-Scale_PCA_Mechanics!I38)^2+(Scale_PCA_Mechanics!J32-Scale_PCA_Mechanics!J38)^2)</f>
        <v/>
      </c>
      <c r="D1042">
        <f>INDEX(KMeans_6_2!AA2:AA51,A1042)</f>
        <v/>
      </c>
      <c r="E1042">
        <f>INDEX(KMeans_6_2!AA2:AA51,B1042)</f>
        <v/>
      </c>
      <c r="O1042">
        <f>IF(OR(AND(D1042=1,E1042=2),AND(D1042=2,E1042=1)),C1042,"")</f>
        <v/>
      </c>
      <c r="P1042">
        <f>IF(OR(AND(D1042=1,E1042=3),AND(D1042=3,E1042=1)),C1042,"")</f>
        <v/>
      </c>
      <c r="Q1042">
        <f>IF(OR(AND(D1042=2,E1042=3),AND(D1042=3,E1042=2)),C1042,"")</f>
        <v/>
      </c>
    </row>
    <row r="1043">
      <c r="A1043" t="n">
        <v>31</v>
      </c>
      <c r="B1043" t="n">
        <v>38</v>
      </c>
      <c r="C1043">
        <f>SQRT((Scale_PCA_Mechanics!G32-Scale_PCA_Mechanics!G39)^2+(Scale_PCA_Mechanics!H32-Scale_PCA_Mechanics!H39)^2+(Scale_PCA_Mechanics!I32-Scale_PCA_Mechanics!I39)^2+(Scale_PCA_Mechanics!J32-Scale_PCA_Mechanics!J39)^2)</f>
        <v/>
      </c>
      <c r="D1043">
        <f>INDEX(KMeans_6_2!AA2:AA51,A1043)</f>
        <v/>
      </c>
      <c r="E1043">
        <f>INDEX(KMeans_6_2!AA2:AA51,B1043)</f>
        <v/>
      </c>
      <c r="O1043">
        <f>IF(OR(AND(D1043=1,E1043=2),AND(D1043=2,E1043=1)),C1043,"")</f>
        <v/>
      </c>
      <c r="P1043">
        <f>IF(OR(AND(D1043=1,E1043=3),AND(D1043=3,E1043=1)),C1043,"")</f>
        <v/>
      </c>
      <c r="Q1043">
        <f>IF(OR(AND(D1043=2,E1043=3),AND(D1043=3,E1043=2)),C1043,"")</f>
        <v/>
      </c>
    </row>
    <row r="1044">
      <c r="A1044" t="n">
        <v>31</v>
      </c>
      <c r="B1044" t="n">
        <v>39</v>
      </c>
      <c r="C1044">
        <f>SQRT((Scale_PCA_Mechanics!G32-Scale_PCA_Mechanics!G40)^2+(Scale_PCA_Mechanics!H32-Scale_PCA_Mechanics!H40)^2+(Scale_PCA_Mechanics!I32-Scale_PCA_Mechanics!I40)^2+(Scale_PCA_Mechanics!J32-Scale_PCA_Mechanics!J40)^2)</f>
        <v/>
      </c>
      <c r="D1044">
        <f>INDEX(KMeans_6_2!AA2:AA51,A1044)</f>
        <v/>
      </c>
      <c r="E1044">
        <f>INDEX(KMeans_6_2!AA2:AA51,B1044)</f>
        <v/>
      </c>
      <c r="O1044">
        <f>IF(OR(AND(D1044=1,E1044=2),AND(D1044=2,E1044=1)),C1044,"")</f>
        <v/>
      </c>
      <c r="P1044">
        <f>IF(OR(AND(D1044=1,E1044=3),AND(D1044=3,E1044=1)),C1044,"")</f>
        <v/>
      </c>
      <c r="Q1044">
        <f>IF(OR(AND(D1044=2,E1044=3),AND(D1044=3,E1044=2)),C1044,"")</f>
        <v/>
      </c>
    </row>
    <row r="1045">
      <c r="A1045" t="n">
        <v>31</v>
      </c>
      <c r="B1045" t="n">
        <v>40</v>
      </c>
      <c r="C1045">
        <f>SQRT((Scale_PCA_Mechanics!G32-Scale_PCA_Mechanics!G41)^2+(Scale_PCA_Mechanics!H32-Scale_PCA_Mechanics!H41)^2+(Scale_PCA_Mechanics!I32-Scale_PCA_Mechanics!I41)^2+(Scale_PCA_Mechanics!J32-Scale_PCA_Mechanics!J41)^2)</f>
        <v/>
      </c>
      <c r="D1045">
        <f>INDEX(KMeans_6_2!AA2:AA51,A1045)</f>
        <v/>
      </c>
      <c r="E1045">
        <f>INDEX(KMeans_6_2!AA2:AA51,B1045)</f>
        <v/>
      </c>
      <c r="O1045">
        <f>IF(OR(AND(D1045=1,E1045=2),AND(D1045=2,E1045=1)),C1045,"")</f>
        <v/>
      </c>
      <c r="P1045">
        <f>IF(OR(AND(D1045=1,E1045=3),AND(D1045=3,E1045=1)),C1045,"")</f>
        <v/>
      </c>
      <c r="Q1045">
        <f>IF(OR(AND(D1045=2,E1045=3),AND(D1045=3,E1045=2)),C1045,"")</f>
        <v/>
      </c>
    </row>
    <row r="1046">
      <c r="A1046" t="n">
        <v>31</v>
      </c>
      <c r="B1046" t="n">
        <v>41</v>
      </c>
      <c r="C1046">
        <f>SQRT((Scale_PCA_Mechanics!G32-Scale_PCA_Mechanics!G42)^2+(Scale_PCA_Mechanics!H32-Scale_PCA_Mechanics!H42)^2+(Scale_PCA_Mechanics!I32-Scale_PCA_Mechanics!I42)^2+(Scale_PCA_Mechanics!J32-Scale_PCA_Mechanics!J42)^2)</f>
        <v/>
      </c>
      <c r="D1046">
        <f>INDEX(KMeans_6_2!AA2:AA51,A1046)</f>
        <v/>
      </c>
      <c r="E1046">
        <f>INDEX(KMeans_6_2!AA2:AA51,B1046)</f>
        <v/>
      </c>
      <c r="O1046">
        <f>IF(OR(AND(D1046=1,E1046=2),AND(D1046=2,E1046=1)),C1046,"")</f>
        <v/>
      </c>
      <c r="P1046">
        <f>IF(OR(AND(D1046=1,E1046=3),AND(D1046=3,E1046=1)),C1046,"")</f>
        <v/>
      </c>
      <c r="Q1046">
        <f>IF(OR(AND(D1046=2,E1046=3),AND(D1046=3,E1046=2)),C1046,"")</f>
        <v/>
      </c>
    </row>
    <row r="1047">
      <c r="A1047" t="n">
        <v>31</v>
      </c>
      <c r="B1047" t="n">
        <v>42</v>
      </c>
      <c r="C1047">
        <f>SQRT((Scale_PCA_Mechanics!G32-Scale_PCA_Mechanics!G43)^2+(Scale_PCA_Mechanics!H32-Scale_PCA_Mechanics!H43)^2+(Scale_PCA_Mechanics!I32-Scale_PCA_Mechanics!I43)^2+(Scale_PCA_Mechanics!J32-Scale_PCA_Mechanics!J43)^2)</f>
        <v/>
      </c>
      <c r="D1047">
        <f>INDEX(KMeans_6_2!AA2:AA51,A1047)</f>
        <v/>
      </c>
      <c r="E1047">
        <f>INDEX(KMeans_6_2!AA2:AA51,B1047)</f>
        <v/>
      </c>
      <c r="O1047">
        <f>IF(OR(AND(D1047=1,E1047=2),AND(D1047=2,E1047=1)),C1047,"")</f>
        <v/>
      </c>
      <c r="P1047">
        <f>IF(OR(AND(D1047=1,E1047=3),AND(D1047=3,E1047=1)),C1047,"")</f>
        <v/>
      </c>
      <c r="Q1047">
        <f>IF(OR(AND(D1047=2,E1047=3),AND(D1047=3,E1047=2)),C1047,"")</f>
        <v/>
      </c>
    </row>
    <row r="1048">
      <c r="A1048" t="n">
        <v>31</v>
      </c>
      <c r="B1048" t="n">
        <v>43</v>
      </c>
      <c r="C1048">
        <f>SQRT((Scale_PCA_Mechanics!G32-Scale_PCA_Mechanics!G44)^2+(Scale_PCA_Mechanics!H32-Scale_PCA_Mechanics!H44)^2+(Scale_PCA_Mechanics!I32-Scale_PCA_Mechanics!I44)^2+(Scale_PCA_Mechanics!J32-Scale_PCA_Mechanics!J44)^2)</f>
        <v/>
      </c>
      <c r="D1048">
        <f>INDEX(KMeans_6_2!AA2:AA51,A1048)</f>
        <v/>
      </c>
      <c r="E1048">
        <f>INDEX(KMeans_6_2!AA2:AA51,B1048)</f>
        <v/>
      </c>
      <c r="O1048">
        <f>IF(OR(AND(D1048=1,E1048=2),AND(D1048=2,E1048=1)),C1048,"")</f>
        <v/>
      </c>
      <c r="P1048">
        <f>IF(OR(AND(D1048=1,E1048=3),AND(D1048=3,E1048=1)),C1048,"")</f>
        <v/>
      </c>
      <c r="Q1048">
        <f>IF(OR(AND(D1048=2,E1048=3),AND(D1048=3,E1048=2)),C1048,"")</f>
        <v/>
      </c>
    </row>
    <row r="1049">
      <c r="A1049" t="n">
        <v>31</v>
      </c>
      <c r="B1049" t="n">
        <v>44</v>
      </c>
      <c r="C1049">
        <f>SQRT((Scale_PCA_Mechanics!G32-Scale_PCA_Mechanics!G45)^2+(Scale_PCA_Mechanics!H32-Scale_PCA_Mechanics!H45)^2+(Scale_PCA_Mechanics!I32-Scale_PCA_Mechanics!I45)^2+(Scale_PCA_Mechanics!J32-Scale_PCA_Mechanics!J45)^2)</f>
        <v/>
      </c>
      <c r="D1049">
        <f>INDEX(KMeans_6_2!AA2:AA51,A1049)</f>
        <v/>
      </c>
      <c r="E1049">
        <f>INDEX(KMeans_6_2!AA2:AA51,B1049)</f>
        <v/>
      </c>
      <c r="O1049">
        <f>IF(OR(AND(D1049=1,E1049=2),AND(D1049=2,E1049=1)),C1049,"")</f>
        <v/>
      </c>
      <c r="P1049">
        <f>IF(OR(AND(D1049=1,E1049=3),AND(D1049=3,E1049=1)),C1049,"")</f>
        <v/>
      </c>
      <c r="Q1049">
        <f>IF(OR(AND(D1049=2,E1049=3),AND(D1049=3,E1049=2)),C1049,"")</f>
        <v/>
      </c>
    </row>
    <row r="1050">
      <c r="A1050" t="n">
        <v>31</v>
      </c>
      <c r="B1050" t="n">
        <v>45</v>
      </c>
      <c r="C1050">
        <f>SQRT((Scale_PCA_Mechanics!G32-Scale_PCA_Mechanics!G46)^2+(Scale_PCA_Mechanics!H32-Scale_PCA_Mechanics!H46)^2+(Scale_PCA_Mechanics!I32-Scale_PCA_Mechanics!I46)^2+(Scale_PCA_Mechanics!J32-Scale_PCA_Mechanics!J46)^2)</f>
        <v/>
      </c>
      <c r="D1050">
        <f>INDEX(KMeans_6_2!AA2:AA51,A1050)</f>
        <v/>
      </c>
      <c r="E1050">
        <f>INDEX(KMeans_6_2!AA2:AA51,B1050)</f>
        <v/>
      </c>
      <c r="O1050">
        <f>IF(OR(AND(D1050=1,E1050=2),AND(D1050=2,E1050=1)),C1050,"")</f>
        <v/>
      </c>
      <c r="P1050">
        <f>IF(OR(AND(D1050=1,E1050=3),AND(D1050=3,E1050=1)),C1050,"")</f>
        <v/>
      </c>
      <c r="Q1050">
        <f>IF(OR(AND(D1050=2,E1050=3),AND(D1050=3,E1050=2)),C1050,"")</f>
        <v/>
      </c>
    </row>
    <row r="1051">
      <c r="A1051" t="n">
        <v>31</v>
      </c>
      <c r="B1051" t="n">
        <v>46</v>
      </c>
      <c r="C1051">
        <f>SQRT((Scale_PCA_Mechanics!G32-Scale_PCA_Mechanics!G47)^2+(Scale_PCA_Mechanics!H32-Scale_PCA_Mechanics!H47)^2+(Scale_PCA_Mechanics!I32-Scale_PCA_Mechanics!I47)^2+(Scale_PCA_Mechanics!J32-Scale_PCA_Mechanics!J47)^2)</f>
        <v/>
      </c>
      <c r="D1051">
        <f>INDEX(KMeans_6_2!AA2:AA51,A1051)</f>
        <v/>
      </c>
      <c r="E1051">
        <f>INDEX(KMeans_6_2!AA2:AA51,B1051)</f>
        <v/>
      </c>
      <c r="O1051">
        <f>IF(OR(AND(D1051=1,E1051=2),AND(D1051=2,E1051=1)),C1051,"")</f>
        <v/>
      </c>
      <c r="P1051">
        <f>IF(OR(AND(D1051=1,E1051=3),AND(D1051=3,E1051=1)),C1051,"")</f>
        <v/>
      </c>
      <c r="Q1051">
        <f>IF(OR(AND(D1051=2,E1051=3),AND(D1051=3,E1051=2)),C1051,"")</f>
        <v/>
      </c>
    </row>
    <row r="1052">
      <c r="A1052" t="n">
        <v>31</v>
      </c>
      <c r="B1052" t="n">
        <v>47</v>
      </c>
      <c r="C1052">
        <f>SQRT((Scale_PCA_Mechanics!G32-Scale_PCA_Mechanics!G48)^2+(Scale_PCA_Mechanics!H32-Scale_PCA_Mechanics!H48)^2+(Scale_PCA_Mechanics!I32-Scale_PCA_Mechanics!I48)^2+(Scale_PCA_Mechanics!J32-Scale_PCA_Mechanics!J48)^2)</f>
        <v/>
      </c>
      <c r="D1052">
        <f>INDEX(KMeans_6_2!AA2:AA51,A1052)</f>
        <v/>
      </c>
      <c r="E1052">
        <f>INDEX(KMeans_6_2!AA2:AA51,B1052)</f>
        <v/>
      </c>
      <c r="O1052">
        <f>IF(OR(AND(D1052=1,E1052=2),AND(D1052=2,E1052=1)),C1052,"")</f>
        <v/>
      </c>
      <c r="P1052">
        <f>IF(OR(AND(D1052=1,E1052=3),AND(D1052=3,E1052=1)),C1052,"")</f>
        <v/>
      </c>
      <c r="Q1052">
        <f>IF(OR(AND(D1052=2,E1052=3),AND(D1052=3,E1052=2)),C1052,"")</f>
        <v/>
      </c>
    </row>
    <row r="1053">
      <c r="A1053" t="n">
        <v>31</v>
      </c>
      <c r="B1053" t="n">
        <v>48</v>
      </c>
      <c r="C1053">
        <f>SQRT((Scale_PCA_Mechanics!G32-Scale_PCA_Mechanics!G49)^2+(Scale_PCA_Mechanics!H32-Scale_PCA_Mechanics!H49)^2+(Scale_PCA_Mechanics!I32-Scale_PCA_Mechanics!I49)^2+(Scale_PCA_Mechanics!J32-Scale_PCA_Mechanics!J49)^2)</f>
        <v/>
      </c>
      <c r="D1053">
        <f>INDEX(KMeans_6_2!AA2:AA51,A1053)</f>
        <v/>
      </c>
      <c r="E1053">
        <f>INDEX(KMeans_6_2!AA2:AA51,B1053)</f>
        <v/>
      </c>
      <c r="O1053">
        <f>IF(OR(AND(D1053=1,E1053=2),AND(D1053=2,E1053=1)),C1053,"")</f>
        <v/>
      </c>
      <c r="P1053">
        <f>IF(OR(AND(D1053=1,E1053=3),AND(D1053=3,E1053=1)),C1053,"")</f>
        <v/>
      </c>
      <c r="Q1053">
        <f>IF(OR(AND(D1053=2,E1053=3),AND(D1053=3,E1053=2)),C1053,"")</f>
        <v/>
      </c>
    </row>
    <row r="1054">
      <c r="A1054" t="n">
        <v>31</v>
      </c>
      <c r="B1054" t="n">
        <v>49</v>
      </c>
      <c r="C1054">
        <f>SQRT((Scale_PCA_Mechanics!G32-Scale_PCA_Mechanics!G50)^2+(Scale_PCA_Mechanics!H32-Scale_PCA_Mechanics!H50)^2+(Scale_PCA_Mechanics!I32-Scale_PCA_Mechanics!I50)^2+(Scale_PCA_Mechanics!J32-Scale_PCA_Mechanics!J50)^2)</f>
        <v/>
      </c>
      <c r="D1054">
        <f>INDEX(KMeans_6_2!AA2:AA51,A1054)</f>
        <v/>
      </c>
      <c r="E1054">
        <f>INDEX(KMeans_6_2!AA2:AA51,B1054)</f>
        <v/>
      </c>
      <c r="O1054">
        <f>IF(OR(AND(D1054=1,E1054=2),AND(D1054=2,E1054=1)),C1054,"")</f>
        <v/>
      </c>
      <c r="P1054">
        <f>IF(OR(AND(D1054=1,E1054=3),AND(D1054=3,E1054=1)),C1054,"")</f>
        <v/>
      </c>
      <c r="Q1054">
        <f>IF(OR(AND(D1054=2,E1054=3),AND(D1054=3,E1054=2)),C1054,"")</f>
        <v/>
      </c>
    </row>
    <row r="1055">
      <c r="A1055" t="n">
        <v>31</v>
      </c>
      <c r="B1055" t="n">
        <v>50</v>
      </c>
      <c r="C1055">
        <f>SQRT((Scale_PCA_Mechanics!G32-Scale_PCA_Mechanics!G51)^2+(Scale_PCA_Mechanics!H32-Scale_PCA_Mechanics!H51)^2+(Scale_PCA_Mechanics!I32-Scale_PCA_Mechanics!I51)^2+(Scale_PCA_Mechanics!J32-Scale_PCA_Mechanics!J51)^2)</f>
        <v/>
      </c>
      <c r="D1055">
        <f>INDEX(KMeans_6_2!AA2:AA51,A1055)</f>
        <v/>
      </c>
      <c r="E1055">
        <f>INDEX(KMeans_6_2!AA2:AA51,B1055)</f>
        <v/>
      </c>
      <c r="O1055">
        <f>IF(OR(AND(D1055=1,E1055=2),AND(D1055=2,E1055=1)),C1055,"")</f>
        <v/>
      </c>
      <c r="P1055">
        <f>IF(OR(AND(D1055=1,E1055=3),AND(D1055=3,E1055=1)),C1055,"")</f>
        <v/>
      </c>
      <c r="Q1055">
        <f>IF(OR(AND(D1055=2,E1055=3),AND(D1055=3,E1055=2)),C1055,"")</f>
        <v/>
      </c>
    </row>
    <row r="1056">
      <c r="A1056" t="n">
        <v>32</v>
      </c>
      <c r="B1056" t="n">
        <v>33</v>
      </c>
      <c r="C1056">
        <f>SQRT((Scale_PCA_Mechanics!G33-Scale_PCA_Mechanics!G34)^2+(Scale_PCA_Mechanics!H33-Scale_PCA_Mechanics!H34)^2+(Scale_PCA_Mechanics!I33-Scale_PCA_Mechanics!I34)^2+(Scale_PCA_Mechanics!J33-Scale_PCA_Mechanics!J34)^2)</f>
        <v/>
      </c>
      <c r="D1056">
        <f>INDEX(KMeans_6_2!AA2:AA51,A1056)</f>
        <v/>
      </c>
      <c r="E1056">
        <f>INDEX(KMeans_6_2!AA2:AA51,B1056)</f>
        <v/>
      </c>
      <c r="O1056">
        <f>IF(OR(AND(D1056=1,E1056=2),AND(D1056=2,E1056=1)),C1056,"")</f>
        <v/>
      </c>
      <c r="P1056">
        <f>IF(OR(AND(D1056=1,E1056=3),AND(D1056=3,E1056=1)),C1056,"")</f>
        <v/>
      </c>
      <c r="Q1056">
        <f>IF(OR(AND(D1056=2,E1056=3),AND(D1056=3,E1056=2)),C1056,"")</f>
        <v/>
      </c>
    </row>
    <row r="1057">
      <c r="A1057" t="n">
        <v>32</v>
      </c>
      <c r="B1057" t="n">
        <v>34</v>
      </c>
      <c r="C1057">
        <f>SQRT((Scale_PCA_Mechanics!G33-Scale_PCA_Mechanics!G35)^2+(Scale_PCA_Mechanics!H33-Scale_PCA_Mechanics!H35)^2+(Scale_PCA_Mechanics!I33-Scale_PCA_Mechanics!I35)^2+(Scale_PCA_Mechanics!J33-Scale_PCA_Mechanics!J35)^2)</f>
        <v/>
      </c>
      <c r="D1057">
        <f>INDEX(KMeans_6_2!AA2:AA51,A1057)</f>
        <v/>
      </c>
      <c r="E1057">
        <f>INDEX(KMeans_6_2!AA2:AA51,B1057)</f>
        <v/>
      </c>
      <c r="O1057">
        <f>IF(OR(AND(D1057=1,E1057=2),AND(D1057=2,E1057=1)),C1057,"")</f>
        <v/>
      </c>
      <c r="P1057">
        <f>IF(OR(AND(D1057=1,E1057=3),AND(D1057=3,E1057=1)),C1057,"")</f>
        <v/>
      </c>
      <c r="Q1057">
        <f>IF(OR(AND(D1057=2,E1057=3),AND(D1057=3,E1057=2)),C1057,"")</f>
        <v/>
      </c>
    </row>
    <row r="1058">
      <c r="A1058" t="n">
        <v>32</v>
      </c>
      <c r="B1058" t="n">
        <v>35</v>
      </c>
      <c r="C1058">
        <f>SQRT((Scale_PCA_Mechanics!G33-Scale_PCA_Mechanics!G36)^2+(Scale_PCA_Mechanics!H33-Scale_PCA_Mechanics!H36)^2+(Scale_PCA_Mechanics!I33-Scale_PCA_Mechanics!I36)^2+(Scale_PCA_Mechanics!J33-Scale_PCA_Mechanics!J36)^2)</f>
        <v/>
      </c>
      <c r="D1058">
        <f>INDEX(KMeans_6_2!AA2:AA51,A1058)</f>
        <v/>
      </c>
      <c r="E1058">
        <f>INDEX(KMeans_6_2!AA2:AA51,B1058)</f>
        <v/>
      </c>
      <c r="O1058">
        <f>IF(OR(AND(D1058=1,E1058=2),AND(D1058=2,E1058=1)),C1058,"")</f>
        <v/>
      </c>
      <c r="P1058">
        <f>IF(OR(AND(D1058=1,E1058=3),AND(D1058=3,E1058=1)),C1058,"")</f>
        <v/>
      </c>
      <c r="Q1058">
        <f>IF(OR(AND(D1058=2,E1058=3),AND(D1058=3,E1058=2)),C1058,"")</f>
        <v/>
      </c>
    </row>
    <row r="1059">
      <c r="A1059" t="n">
        <v>32</v>
      </c>
      <c r="B1059" t="n">
        <v>36</v>
      </c>
      <c r="C1059">
        <f>SQRT((Scale_PCA_Mechanics!G33-Scale_PCA_Mechanics!G37)^2+(Scale_PCA_Mechanics!H33-Scale_PCA_Mechanics!H37)^2+(Scale_PCA_Mechanics!I33-Scale_PCA_Mechanics!I37)^2+(Scale_PCA_Mechanics!J33-Scale_PCA_Mechanics!J37)^2)</f>
        <v/>
      </c>
      <c r="D1059">
        <f>INDEX(KMeans_6_2!AA2:AA51,A1059)</f>
        <v/>
      </c>
      <c r="E1059">
        <f>INDEX(KMeans_6_2!AA2:AA51,B1059)</f>
        <v/>
      </c>
      <c r="O1059">
        <f>IF(OR(AND(D1059=1,E1059=2),AND(D1059=2,E1059=1)),C1059,"")</f>
        <v/>
      </c>
      <c r="P1059">
        <f>IF(OR(AND(D1059=1,E1059=3),AND(D1059=3,E1059=1)),C1059,"")</f>
        <v/>
      </c>
      <c r="Q1059">
        <f>IF(OR(AND(D1059=2,E1059=3),AND(D1059=3,E1059=2)),C1059,"")</f>
        <v/>
      </c>
    </row>
    <row r="1060">
      <c r="A1060" t="n">
        <v>32</v>
      </c>
      <c r="B1060" t="n">
        <v>37</v>
      </c>
      <c r="C1060">
        <f>SQRT((Scale_PCA_Mechanics!G33-Scale_PCA_Mechanics!G38)^2+(Scale_PCA_Mechanics!H33-Scale_PCA_Mechanics!H38)^2+(Scale_PCA_Mechanics!I33-Scale_PCA_Mechanics!I38)^2+(Scale_PCA_Mechanics!J33-Scale_PCA_Mechanics!J38)^2)</f>
        <v/>
      </c>
      <c r="D1060">
        <f>INDEX(KMeans_6_2!AA2:AA51,A1060)</f>
        <v/>
      </c>
      <c r="E1060">
        <f>INDEX(KMeans_6_2!AA2:AA51,B1060)</f>
        <v/>
      </c>
      <c r="O1060">
        <f>IF(OR(AND(D1060=1,E1060=2),AND(D1060=2,E1060=1)),C1060,"")</f>
        <v/>
      </c>
      <c r="P1060">
        <f>IF(OR(AND(D1060=1,E1060=3),AND(D1060=3,E1060=1)),C1060,"")</f>
        <v/>
      </c>
      <c r="Q1060">
        <f>IF(OR(AND(D1060=2,E1060=3),AND(D1060=3,E1060=2)),C1060,"")</f>
        <v/>
      </c>
    </row>
    <row r="1061">
      <c r="A1061" t="n">
        <v>32</v>
      </c>
      <c r="B1061" t="n">
        <v>38</v>
      </c>
      <c r="C1061">
        <f>SQRT((Scale_PCA_Mechanics!G33-Scale_PCA_Mechanics!G39)^2+(Scale_PCA_Mechanics!H33-Scale_PCA_Mechanics!H39)^2+(Scale_PCA_Mechanics!I33-Scale_PCA_Mechanics!I39)^2+(Scale_PCA_Mechanics!J33-Scale_PCA_Mechanics!J39)^2)</f>
        <v/>
      </c>
      <c r="D1061">
        <f>INDEX(KMeans_6_2!AA2:AA51,A1061)</f>
        <v/>
      </c>
      <c r="E1061">
        <f>INDEX(KMeans_6_2!AA2:AA51,B1061)</f>
        <v/>
      </c>
      <c r="O1061">
        <f>IF(OR(AND(D1061=1,E1061=2),AND(D1061=2,E1061=1)),C1061,"")</f>
        <v/>
      </c>
      <c r="P1061">
        <f>IF(OR(AND(D1061=1,E1061=3),AND(D1061=3,E1061=1)),C1061,"")</f>
        <v/>
      </c>
      <c r="Q1061">
        <f>IF(OR(AND(D1061=2,E1061=3),AND(D1061=3,E1061=2)),C1061,"")</f>
        <v/>
      </c>
    </row>
    <row r="1062">
      <c r="A1062" t="n">
        <v>32</v>
      </c>
      <c r="B1062" t="n">
        <v>39</v>
      </c>
      <c r="C1062">
        <f>SQRT((Scale_PCA_Mechanics!G33-Scale_PCA_Mechanics!G40)^2+(Scale_PCA_Mechanics!H33-Scale_PCA_Mechanics!H40)^2+(Scale_PCA_Mechanics!I33-Scale_PCA_Mechanics!I40)^2+(Scale_PCA_Mechanics!J33-Scale_PCA_Mechanics!J40)^2)</f>
        <v/>
      </c>
      <c r="D1062">
        <f>INDEX(KMeans_6_2!AA2:AA51,A1062)</f>
        <v/>
      </c>
      <c r="E1062">
        <f>INDEX(KMeans_6_2!AA2:AA51,B1062)</f>
        <v/>
      </c>
      <c r="O1062">
        <f>IF(OR(AND(D1062=1,E1062=2),AND(D1062=2,E1062=1)),C1062,"")</f>
        <v/>
      </c>
      <c r="P1062">
        <f>IF(OR(AND(D1062=1,E1062=3),AND(D1062=3,E1062=1)),C1062,"")</f>
        <v/>
      </c>
      <c r="Q1062">
        <f>IF(OR(AND(D1062=2,E1062=3),AND(D1062=3,E1062=2)),C1062,"")</f>
        <v/>
      </c>
    </row>
    <row r="1063">
      <c r="A1063" t="n">
        <v>32</v>
      </c>
      <c r="B1063" t="n">
        <v>40</v>
      </c>
      <c r="C1063">
        <f>SQRT((Scale_PCA_Mechanics!G33-Scale_PCA_Mechanics!G41)^2+(Scale_PCA_Mechanics!H33-Scale_PCA_Mechanics!H41)^2+(Scale_PCA_Mechanics!I33-Scale_PCA_Mechanics!I41)^2+(Scale_PCA_Mechanics!J33-Scale_PCA_Mechanics!J41)^2)</f>
        <v/>
      </c>
      <c r="D1063">
        <f>INDEX(KMeans_6_2!AA2:AA51,A1063)</f>
        <v/>
      </c>
      <c r="E1063">
        <f>INDEX(KMeans_6_2!AA2:AA51,B1063)</f>
        <v/>
      </c>
      <c r="O1063">
        <f>IF(OR(AND(D1063=1,E1063=2),AND(D1063=2,E1063=1)),C1063,"")</f>
        <v/>
      </c>
      <c r="P1063">
        <f>IF(OR(AND(D1063=1,E1063=3),AND(D1063=3,E1063=1)),C1063,"")</f>
        <v/>
      </c>
      <c r="Q1063">
        <f>IF(OR(AND(D1063=2,E1063=3),AND(D1063=3,E1063=2)),C1063,"")</f>
        <v/>
      </c>
    </row>
    <row r="1064">
      <c r="A1064" t="n">
        <v>32</v>
      </c>
      <c r="B1064" t="n">
        <v>41</v>
      </c>
      <c r="C1064">
        <f>SQRT((Scale_PCA_Mechanics!G33-Scale_PCA_Mechanics!G42)^2+(Scale_PCA_Mechanics!H33-Scale_PCA_Mechanics!H42)^2+(Scale_PCA_Mechanics!I33-Scale_PCA_Mechanics!I42)^2+(Scale_PCA_Mechanics!J33-Scale_PCA_Mechanics!J42)^2)</f>
        <v/>
      </c>
      <c r="D1064">
        <f>INDEX(KMeans_6_2!AA2:AA51,A1064)</f>
        <v/>
      </c>
      <c r="E1064">
        <f>INDEX(KMeans_6_2!AA2:AA51,B1064)</f>
        <v/>
      </c>
      <c r="O1064">
        <f>IF(OR(AND(D1064=1,E1064=2),AND(D1064=2,E1064=1)),C1064,"")</f>
        <v/>
      </c>
      <c r="P1064">
        <f>IF(OR(AND(D1064=1,E1064=3),AND(D1064=3,E1064=1)),C1064,"")</f>
        <v/>
      </c>
      <c r="Q1064">
        <f>IF(OR(AND(D1064=2,E1064=3),AND(D1064=3,E1064=2)),C1064,"")</f>
        <v/>
      </c>
    </row>
    <row r="1065">
      <c r="A1065" t="n">
        <v>32</v>
      </c>
      <c r="B1065" t="n">
        <v>42</v>
      </c>
      <c r="C1065">
        <f>SQRT((Scale_PCA_Mechanics!G33-Scale_PCA_Mechanics!G43)^2+(Scale_PCA_Mechanics!H33-Scale_PCA_Mechanics!H43)^2+(Scale_PCA_Mechanics!I33-Scale_PCA_Mechanics!I43)^2+(Scale_PCA_Mechanics!J33-Scale_PCA_Mechanics!J43)^2)</f>
        <v/>
      </c>
      <c r="D1065">
        <f>INDEX(KMeans_6_2!AA2:AA51,A1065)</f>
        <v/>
      </c>
      <c r="E1065">
        <f>INDEX(KMeans_6_2!AA2:AA51,B1065)</f>
        <v/>
      </c>
      <c r="O1065">
        <f>IF(OR(AND(D1065=1,E1065=2),AND(D1065=2,E1065=1)),C1065,"")</f>
        <v/>
      </c>
      <c r="P1065">
        <f>IF(OR(AND(D1065=1,E1065=3),AND(D1065=3,E1065=1)),C1065,"")</f>
        <v/>
      </c>
      <c r="Q1065">
        <f>IF(OR(AND(D1065=2,E1065=3),AND(D1065=3,E1065=2)),C1065,"")</f>
        <v/>
      </c>
    </row>
    <row r="1066">
      <c r="A1066" t="n">
        <v>32</v>
      </c>
      <c r="B1066" t="n">
        <v>43</v>
      </c>
      <c r="C1066">
        <f>SQRT((Scale_PCA_Mechanics!G33-Scale_PCA_Mechanics!G44)^2+(Scale_PCA_Mechanics!H33-Scale_PCA_Mechanics!H44)^2+(Scale_PCA_Mechanics!I33-Scale_PCA_Mechanics!I44)^2+(Scale_PCA_Mechanics!J33-Scale_PCA_Mechanics!J44)^2)</f>
        <v/>
      </c>
      <c r="D1066">
        <f>INDEX(KMeans_6_2!AA2:AA51,A1066)</f>
        <v/>
      </c>
      <c r="E1066">
        <f>INDEX(KMeans_6_2!AA2:AA51,B1066)</f>
        <v/>
      </c>
      <c r="O1066">
        <f>IF(OR(AND(D1066=1,E1066=2),AND(D1066=2,E1066=1)),C1066,"")</f>
        <v/>
      </c>
      <c r="P1066">
        <f>IF(OR(AND(D1066=1,E1066=3),AND(D1066=3,E1066=1)),C1066,"")</f>
        <v/>
      </c>
      <c r="Q1066">
        <f>IF(OR(AND(D1066=2,E1066=3),AND(D1066=3,E1066=2)),C1066,"")</f>
        <v/>
      </c>
    </row>
    <row r="1067">
      <c r="A1067" t="n">
        <v>32</v>
      </c>
      <c r="B1067" t="n">
        <v>44</v>
      </c>
      <c r="C1067">
        <f>SQRT((Scale_PCA_Mechanics!G33-Scale_PCA_Mechanics!G45)^2+(Scale_PCA_Mechanics!H33-Scale_PCA_Mechanics!H45)^2+(Scale_PCA_Mechanics!I33-Scale_PCA_Mechanics!I45)^2+(Scale_PCA_Mechanics!J33-Scale_PCA_Mechanics!J45)^2)</f>
        <v/>
      </c>
      <c r="D1067">
        <f>INDEX(KMeans_6_2!AA2:AA51,A1067)</f>
        <v/>
      </c>
      <c r="E1067">
        <f>INDEX(KMeans_6_2!AA2:AA51,B1067)</f>
        <v/>
      </c>
      <c r="O1067">
        <f>IF(OR(AND(D1067=1,E1067=2),AND(D1067=2,E1067=1)),C1067,"")</f>
        <v/>
      </c>
      <c r="P1067">
        <f>IF(OR(AND(D1067=1,E1067=3),AND(D1067=3,E1067=1)),C1067,"")</f>
        <v/>
      </c>
      <c r="Q1067">
        <f>IF(OR(AND(D1067=2,E1067=3),AND(D1067=3,E1067=2)),C1067,"")</f>
        <v/>
      </c>
    </row>
    <row r="1068">
      <c r="A1068" t="n">
        <v>32</v>
      </c>
      <c r="B1068" t="n">
        <v>45</v>
      </c>
      <c r="C1068">
        <f>SQRT((Scale_PCA_Mechanics!G33-Scale_PCA_Mechanics!G46)^2+(Scale_PCA_Mechanics!H33-Scale_PCA_Mechanics!H46)^2+(Scale_PCA_Mechanics!I33-Scale_PCA_Mechanics!I46)^2+(Scale_PCA_Mechanics!J33-Scale_PCA_Mechanics!J46)^2)</f>
        <v/>
      </c>
      <c r="D1068">
        <f>INDEX(KMeans_6_2!AA2:AA51,A1068)</f>
        <v/>
      </c>
      <c r="E1068">
        <f>INDEX(KMeans_6_2!AA2:AA51,B1068)</f>
        <v/>
      </c>
      <c r="O1068">
        <f>IF(OR(AND(D1068=1,E1068=2),AND(D1068=2,E1068=1)),C1068,"")</f>
        <v/>
      </c>
      <c r="P1068">
        <f>IF(OR(AND(D1068=1,E1068=3),AND(D1068=3,E1068=1)),C1068,"")</f>
        <v/>
      </c>
      <c r="Q1068">
        <f>IF(OR(AND(D1068=2,E1068=3),AND(D1068=3,E1068=2)),C1068,"")</f>
        <v/>
      </c>
    </row>
    <row r="1069">
      <c r="A1069" t="n">
        <v>32</v>
      </c>
      <c r="B1069" t="n">
        <v>46</v>
      </c>
      <c r="C1069">
        <f>SQRT((Scale_PCA_Mechanics!G33-Scale_PCA_Mechanics!G47)^2+(Scale_PCA_Mechanics!H33-Scale_PCA_Mechanics!H47)^2+(Scale_PCA_Mechanics!I33-Scale_PCA_Mechanics!I47)^2+(Scale_PCA_Mechanics!J33-Scale_PCA_Mechanics!J47)^2)</f>
        <v/>
      </c>
      <c r="D1069">
        <f>INDEX(KMeans_6_2!AA2:AA51,A1069)</f>
        <v/>
      </c>
      <c r="E1069">
        <f>INDEX(KMeans_6_2!AA2:AA51,B1069)</f>
        <v/>
      </c>
      <c r="O1069">
        <f>IF(OR(AND(D1069=1,E1069=2),AND(D1069=2,E1069=1)),C1069,"")</f>
        <v/>
      </c>
      <c r="P1069">
        <f>IF(OR(AND(D1069=1,E1069=3),AND(D1069=3,E1069=1)),C1069,"")</f>
        <v/>
      </c>
      <c r="Q1069">
        <f>IF(OR(AND(D1069=2,E1069=3),AND(D1069=3,E1069=2)),C1069,"")</f>
        <v/>
      </c>
    </row>
    <row r="1070">
      <c r="A1070" t="n">
        <v>32</v>
      </c>
      <c r="B1070" t="n">
        <v>47</v>
      </c>
      <c r="C1070">
        <f>SQRT((Scale_PCA_Mechanics!G33-Scale_PCA_Mechanics!G48)^2+(Scale_PCA_Mechanics!H33-Scale_PCA_Mechanics!H48)^2+(Scale_PCA_Mechanics!I33-Scale_PCA_Mechanics!I48)^2+(Scale_PCA_Mechanics!J33-Scale_PCA_Mechanics!J48)^2)</f>
        <v/>
      </c>
      <c r="D1070">
        <f>INDEX(KMeans_6_2!AA2:AA51,A1070)</f>
        <v/>
      </c>
      <c r="E1070">
        <f>INDEX(KMeans_6_2!AA2:AA51,B1070)</f>
        <v/>
      </c>
      <c r="O1070">
        <f>IF(OR(AND(D1070=1,E1070=2),AND(D1070=2,E1070=1)),C1070,"")</f>
        <v/>
      </c>
      <c r="P1070">
        <f>IF(OR(AND(D1070=1,E1070=3),AND(D1070=3,E1070=1)),C1070,"")</f>
        <v/>
      </c>
      <c r="Q1070">
        <f>IF(OR(AND(D1070=2,E1070=3),AND(D1070=3,E1070=2)),C1070,"")</f>
        <v/>
      </c>
    </row>
    <row r="1071">
      <c r="A1071" t="n">
        <v>32</v>
      </c>
      <c r="B1071" t="n">
        <v>48</v>
      </c>
      <c r="C1071">
        <f>SQRT((Scale_PCA_Mechanics!G33-Scale_PCA_Mechanics!G49)^2+(Scale_PCA_Mechanics!H33-Scale_PCA_Mechanics!H49)^2+(Scale_PCA_Mechanics!I33-Scale_PCA_Mechanics!I49)^2+(Scale_PCA_Mechanics!J33-Scale_PCA_Mechanics!J49)^2)</f>
        <v/>
      </c>
      <c r="D1071">
        <f>INDEX(KMeans_6_2!AA2:AA51,A1071)</f>
        <v/>
      </c>
      <c r="E1071">
        <f>INDEX(KMeans_6_2!AA2:AA51,B1071)</f>
        <v/>
      </c>
      <c r="O1071">
        <f>IF(OR(AND(D1071=1,E1071=2),AND(D1071=2,E1071=1)),C1071,"")</f>
        <v/>
      </c>
      <c r="P1071">
        <f>IF(OR(AND(D1071=1,E1071=3),AND(D1071=3,E1071=1)),C1071,"")</f>
        <v/>
      </c>
      <c r="Q1071">
        <f>IF(OR(AND(D1071=2,E1071=3),AND(D1071=3,E1071=2)),C1071,"")</f>
        <v/>
      </c>
    </row>
    <row r="1072">
      <c r="A1072" t="n">
        <v>32</v>
      </c>
      <c r="B1072" t="n">
        <v>49</v>
      </c>
      <c r="C1072">
        <f>SQRT((Scale_PCA_Mechanics!G33-Scale_PCA_Mechanics!G50)^2+(Scale_PCA_Mechanics!H33-Scale_PCA_Mechanics!H50)^2+(Scale_PCA_Mechanics!I33-Scale_PCA_Mechanics!I50)^2+(Scale_PCA_Mechanics!J33-Scale_PCA_Mechanics!J50)^2)</f>
        <v/>
      </c>
      <c r="D1072">
        <f>INDEX(KMeans_6_2!AA2:AA51,A1072)</f>
        <v/>
      </c>
      <c r="E1072">
        <f>INDEX(KMeans_6_2!AA2:AA51,B1072)</f>
        <v/>
      </c>
      <c r="O1072">
        <f>IF(OR(AND(D1072=1,E1072=2),AND(D1072=2,E1072=1)),C1072,"")</f>
        <v/>
      </c>
      <c r="P1072">
        <f>IF(OR(AND(D1072=1,E1072=3),AND(D1072=3,E1072=1)),C1072,"")</f>
        <v/>
      </c>
      <c r="Q1072">
        <f>IF(OR(AND(D1072=2,E1072=3),AND(D1072=3,E1072=2)),C1072,"")</f>
        <v/>
      </c>
    </row>
    <row r="1073">
      <c r="A1073" t="n">
        <v>32</v>
      </c>
      <c r="B1073" t="n">
        <v>50</v>
      </c>
      <c r="C1073">
        <f>SQRT((Scale_PCA_Mechanics!G33-Scale_PCA_Mechanics!G51)^2+(Scale_PCA_Mechanics!H33-Scale_PCA_Mechanics!H51)^2+(Scale_PCA_Mechanics!I33-Scale_PCA_Mechanics!I51)^2+(Scale_PCA_Mechanics!J33-Scale_PCA_Mechanics!J51)^2)</f>
        <v/>
      </c>
      <c r="D1073">
        <f>INDEX(KMeans_6_2!AA2:AA51,A1073)</f>
        <v/>
      </c>
      <c r="E1073">
        <f>INDEX(KMeans_6_2!AA2:AA51,B1073)</f>
        <v/>
      </c>
      <c r="O1073">
        <f>IF(OR(AND(D1073=1,E1073=2),AND(D1073=2,E1073=1)),C1073,"")</f>
        <v/>
      </c>
      <c r="P1073">
        <f>IF(OR(AND(D1073=1,E1073=3),AND(D1073=3,E1073=1)),C1073,"")</f>
        <v/>
      </c>
      <c r="Q1073">
        <f>IF(OR(AND(D1073=2,E1073=3),AND(D1073=3,E1073=2)),C1073,"")</f>
        <v/>
      </c>
    </row>
    <row r="1074">
      <c r="A1074" t="n">
        <v>33</v>
      </c>
      <c r="B1074" t="n">
        <v>34</v>
      </c>
      <c r="C1074">
        <f>SQRT((Scale_PCA_Mechanics!G34-Scale_PCA_Mechanics!G35)^2+(Scale_PCA_Mechanics!H34-Scale_PCA_Mechanics!H35)^2+(Scale_PCA_Mechanics!I34-Scale_PCA_Mechanics!I35)^2+(Scale_PCA_Mechanics!J34-Scale_PCA_Mechanics!J35)^2)</f>
        <v/>
      </c>
      <c r="D1074">
        <f>INDEX(KMeans_6_2!AA2:AA51,A1074)</f>
        <v/>
      </c>
      <c r="E1074">
        <f>INDEX(KMeans_6_2!AA2:AA51,B1074)</f>
        <v/>
      </c>
      <c r="O1074">
        <f>IF(OR(AND(D1074=1,E1074=2),AND(D1074=2,E1074=1)),C1074,"")</f>
        <v/>
      </c>
      <c r="P1074">
        <f>IF(OR(AND(D1074=1,E1074=3),AND(D1074=3,E1074=1)),C1074,"")</f>
        <v/>
      </c>
      <c r="Q1074">
        <f>IF(OR(AND(D1074=2,E1074=3),AND(D1074=3,E1074=2)),C1074,"")</f>
        <v/>
      </c>
    </row>
    <row r="1075">
      <c r="A1075" t="n">
        <v>33</v>
      </c>
      <c r="B1075" t="n">
        <v>35</v>
      </c>
      <c r="C1075">
        <f>SQRT((Scale_PCA_Mechanics!G34-Scale_PCA_Mechanics!G36)^2+(Scale_PCA_Mechanics!H34-Scale_PCA_Mechanics!H36)^2+(Scale_PCA_Mechanics!I34-Scale_PCA_Mechanics!I36)^2+(Scale_PCA_Mechanics!J34-Scale_PCA_Mechanics!J36)^2)</f>
        <v/>
      </c>
      <c r="D1075">
        <f>INDEX(KMeans_6_2!AA2:AA51,A1075)</f>
        <v/>
      </c>
      <c r="E1075">
        <f>INDEX(KMeans_6_2!AA2:AA51,B1075)</f>
        <v/>
      </c>
      <c r="O1075">
        <f>IF(OR(AND(D1075=1,E1075=2),AND(D1075=2,E1075=1)),C1075,"")</f>
        <v/>
      </c>
      <c r="P1075">
        <f>IF(OR(AND(D1075=1,E1075=3),AND(D1075=3,E1075=1)),C1075,"")</f>
        <v/>
      </c>
      <c r="Q1075">
        <f>IF(OR(AND(D1075=2,E1075=3),AND(D1075=3,E1075=2)),C1075,"")</f>
        <v/>
      </c>
    </row>
    <row r="1076">
      <c r="A1076" t="n">
        <v>33</v>
      </c>
      <c r="B1076" t="n">
        <v>36</v>
      </c>
      <c r="C1076">
        <f>SQRT((Scale_PCA_Mechanics!G34-Scale_PCA_Mechanics!G37)^2+(Scale_PCA_Mechanics!H34-Scale_PCA_Mechanics!H37)^2+(Scale_PCA_Mechanics!I34-Scale_PCA_Mechanics!I37)^2+(Scale_PCA_Mechanics!J34-Scale_PCA_Mechanics!J37)^2)</f>
        <v/>
      </c>
      <c r="D1076">
        <f>INDEX(KMeans_6_2!AA2:AA51,A1076)</f>
        <v/>
      </c>
      <c r="E1076">
        <f>INDEX(KMeans_6_2!AA2:AA51,B1076)</f>
        <v/>
      </c>
      <c r="O1076">
        <f>IF(OR(AND(D1076=1,E1076=2),AND(D1076=2,E1076=1)),C1076,"")</f>
        <v/>
      </c>
      <c r="P1076">
        <f>IF(OR(AND(D1076=1,E1076=3),AND(D1076=3,E1076=1)),C1076,"")</f>
        <v/>
      </c>
      <c r="Q1076">
        <f>IF(OR(AND(D1076=2,E1076=3),AND(D1076=3,E1076=2)),C1076,"")</f>
        <v/>
      </c>
    </row>
    <row r="1077">
      <c r="A1077" t="n">
        <v>33</v>
      </c>
      <c r="B1077" t="n">
        <v>37</v>
      </c>
      <c r="C1077">
        <f>SQRT((Scale_PCA_Mechanics!G34-Scale_PCA_Mechanics!G38)^2+(Scale_PCA_Mechanics!H34-Scale_PCA_Mechanics!H38)^2+(Scale_PCA_Mechanics!I34-Scale_PCA_Mechanics!I38)^2+(Scale_PCA_Mechanics!J34-Scale_PCA_Mechanics!J38)^2)</f>
        <v/>
      </c>
      <c r="D1077">
        <f>INDEX(KMeans_6_2!AA2:AA51,A1077)</f>
        <v/>
      </c>
      <c r="E1077">
        <f>INDEX(KMeans_6_2!AA2:AA51,B1077)</f>
        <v/>
      </c>
      <c r="O1077">
        <f>IF(OR(AND(D1077=1,E1077=2),AND(D1077=2,E1077=1)),C1077,"")</f>
        <v/>
      </c>
      <c r="P1077">
        <f>IF(OR(AND(D1077=1,E1077=3),AND(D1077=3,E1077=1)),C1077,"")</f>
        <v/>
      </c>
      <c r="Q1077">
        <f>IF(OR(AND(D1077=2,E1077=3),AND(D1077=3,E1077=2)),C1077,"")</f>
        <v/>
      </c>
    </row>
    <row r="1078">
      <c r="A1078" t="n">
        <v>33</v>
      </c>
      <c r="B1078" t="n">
        <v>38</v>
      </c>
      <c r="C1078">
        <f>SQRT((Scale_PCA_Mechanics!G34-Scale_PCA_Mechanics!G39)^2+(Scale_PCA_Mechanics!H34-Scale_PCA_Mechanics!H39)^2+(Scale_PCA_Mechanics!I34-Scale_PCA_Mechanics!I39)^2+(Scale_PCA_Mechanics!J34-Scale_PCA_Mechanics!J39)^2)</f>
        <v/>
      </c>
      <c r="D1078">
        <f>INDEX(KMeans_6_2!AA2:AA51,A1078)</f>
        <v/>
      </c>
      <c r="E1078">
        <f>INDEX(KMeans_6_2!AA2:AA51,B1078)</f>
        <v/>
      </c>
      <c r="O1078">
        <f>IF(OR(AND(D1078=1,E1078=2),AND(D1078=2,E1078=1)),C1078,"")</f>
        <v/>
      </c>
      <c r="P1078">
        <f>IF(OR(AND(D1078=1,E1078=3),AND(D1078=3,E1078=1)),C1078,"")</f>
        <v/>
      </c>
      <c r="Q1078">
        <f>IF(OR(AND(D1078=2,E1078=3),AND(D1078=3,E1078=2)),C1078,"")</f>
        <v/>
      </c>
    </row>
    <row r="1079">
      <c r="A1079" t="n">
        <v>33</v>
      </c>
      <c r="B1079" t="n">
        <v>39</v>
      </c>
      <c r="C1079">
        <f>SQRT((Scale_PCA_Mechanics!G34-Scale_PCA_Mechanics!G40)^2+(Scale_PCA_Mechanics!H34-Scale_PCA_Mechanics!H40)^2+(Scale_PCA_Mechanics!I34-Scale_PCA_Mechanics!I40)^2+(Scale_PCA_Mechanics!J34-Scale_PCA_Mechanics!J40)^2)</f>
        <v/>
      </c>
      <c r="D1079">
        <f>INDEX(KMeans_6_2!AA2:AA51,A1079)</f>
        <v/>
      </c>
      <c r="E1079">
        <f>INDEX(KMeans_6_2!AA2:AA51,B1079)</f>
        <v/>
      </c>
      <c r="O1079">
        <f>IF(OR(AND(D1079=1,E1079=2),AND(D1079=2,E1079=1)),C1079,"")</f>
        <v/>
      </c>
      <c r="P1079">
        <f>IF(OR(AND(D1079=1,E1079=3),AND(D1079=3,E1079=1)),C1079,"")</f>
        <v/>
      </c>
      <c r="Q1079">
        <f>IF(OR(AND(D1079=2,E1079=3),AND(D1079=3,E1079=2)),C1079,"")</f>
        <v/>
      </c>
    </row>
    <row r="1080">
      <c r="A1080" t="n">
        <v>33</v>
      </c>
      <c r="B1080" t="n">
        <v>40</v>
      </c>
      <c r="C1080">
        <f>SQRT((Scale_PCA_Mechanics!G34-Scale_PCA_Mechanics!G41)^2+(Scale_PCA_Mechanics!H34-Scale_PCA_Mechanics!H41)^2+(Scale_PCA_Mechanics!I34-Scale_PCA_Mechanics!I41)^2+(Scale_PCA_Mechanics!J34-Scale_PCA_Mechanics!J41)^2)</f>
        <v/>
      </c>
      <c r="D1080">
        <f>INDEX(KMeans_6_2!AA2:AA51,A1080)</f>
        <v/>
      </c>
      <c r="E1080">
        <f>INDEX(KMeans_6_2!AA2:AA51,B1080)</f>
        <v/>
      </c>
      <c r="O1080">
        <f>IF(OR(AND(D1080=1,E1080=2),AND(D1080=2,E1080=1)),C1080,"")</f>
        <v/>
      </c>
      <c r="P1080">
        <f>IF(OR(AND(D1080=1,E1080=3),AND(D1080=3,E1080=1)),C1080,"")</f>
        <v/>
      </c>
      <c r="Q1080">
        <f>IF(OR(AND(D1080=2,E1080=3),AND(D1080=3,E1080=2)),C1080,"")</f>
        <v/>
      </c>
    </row>
    <row r="1081">
      <c r="A1081" t="n">
        <v>33</v>
      </c>
      <c r="B1081" t="n">
        <v>41</v>
      </c>
      <c r="C1081">
        <f>SQRT((Scale_PCA_Mechanics!G34-Scale_PCA_Mechanics!G42)^2+(Scale_PCA_Mechanics!H34-Scale_PCA_Mechanics!H42)^2+(Scale_PCA_Mechanics!I34-Scale_PCA_Mechanics!I42)^2+(Scale_PCA_Mechanics!J34-Scale_PCA_Mechanics!J42)^2)</f>
        <v/>
      </c>
      <c r="D1081">
        <f>INDEX(KMeans_6_2!AA2:AA51,A1081)</f>
        <v/>
      </c>
      <c r="E1081">
        <f>INDEX(KMeans_6_2!AA2:AA51,B1081)</f>
        <v/>
      </c>
      <c r="O1081">
        <f>IF(OR(AND(D1081=1,E1081=2),AND(D1081=2,E1081=1)),C1081,"")</f>
        <v/>
      </c>
      <c r="P1081">
        <f>IF(OR(AND(D1081=1,E1081=3),AND(D1081=3,E1081=1)),C1081,"")</f>
        <v/>
      </c>
      <c r="Q1081">
        <f>IF(OR(AND(D1081=2,E1081=3),AND(D1081=3,E1081=2)),C1081,"")</f>
        <v/>
      </c>
    </row>
    <row r="1082">
      <c r="A1082" t="n">
        <v>33</v>
      </c>
      <c r="B1082" t="n">
        <v>42</v>
      </c>
      <c r="C1082">
        <f>SQRT((Scale_PCA_Mechanics!G34-Scale_PCA_Mechanics!G43)^2+(Scale_PCA_Mechanics!H34-Scale_PCA_Mechanics!H43)^2+(Scale_PCA_Mechanics!I34-Scale_PCA_Mechanics!I43)^2+(Scale_PCA_Mechanics!J34-Scale_PCA_Mechanics!J43)^2)</f>
        <v/>
      </c>
      <c r="D1082">
        <f>INDEX(KMeans_6_2!AA2:AA51,A1082)</f>
        <v/>
      </c>
      <c r="E1082">
        <f>INDEX(KMeans_6_2!AA2:AA51,B1082)</f>
        <v/>
      </c>
      <c r="O1082">
        <f>IF(OR(AND(D1082=1,E1082=2),AND(D1082=2,E1082=1)),C1082,"")</f>
        <v/>
      </c>
      <c r="P1082">
        <f>IF(OR(AND(D1082=1,E1082=3),AND(D1082=3,E1082=1)),C1082,"")</f>
        <v/>
      </c>
      <c r="Q1082">
        <f>IF(OR(AND(D1082=2,E1082=3),AND(D1082=3,E1082=2)),C1082,"")</f>
        <v/>
      </c>
    </row>
    <row r="1083">
      <c r="A1083" t="n">
        <v>33</v>
      </c>
      <c r="B1083" t="n">
        <v>43</v>
      </c>
      <c r="C1083">
        <f>SQRT((Scale_PCA_Mechanics!G34-Scale_PCA_Mechanics!G44)^2+(Scale_PCA_Mechanics!H34-Scale_PCA_Mechanics!H44)^2+(Scale_PCA_Mechanics!I34-Scale_PCA_Mechanics!I44)^2+(Scale_PCA_Mechanics!J34-Scale_PCA_Mechanics!J44)^2)</f>
        <v/>
      </c>
      <c r="D1083">
        <f>INDEX(KMeans_6_2!AA2:AA51,A1083)</f>
        <v/>
      </c>
      <c r="E1083">
        <f>INDEX(KMeans_6_2!AA2:AA51,B1083)</f>
        <v/>
      </c>
      <c r="O1083">
        <f>IF(OR(AND(D1083=1,E1083=2),AND(D1083=2,E1083=1)),C1083,"")</f>
        <v/>
      </c>
      <c r="P1083">
        <f>IF(OR(AND(D1083=1,E1083=3),AND(D1083=3,E1083=1)),C1083,"")</f>
        <v/>
      </c>
      <c r="Q1083">
        <f>IF(OR(AND(D1083=2,E1083=3),AND(D1083=3,E1083=2)),C1083,"")</f>
        <v/>
      </c>
    </row>
    <row r="1084">
      <c r="A1084" t="n">
        <v>33</v>
      </c>
      <c r="B1084" t="n">
        <v>44</v>
      </c>
      <c r="C1084">
        <f>SQRT((Scale_PCA_Mechanics!G34-Scale_PCA_Mechanics!G45)^2+(Scale_PCA_Mechanics!H34-Scale_PCA_Mechanics!H45)^2+(Scale_PCA_Mechanics!I34-Scale_PCA_Mechanics!I45)^2+(Scale_PCA_Mechanics!J34-Scale_PCA_Mechanics!J45)^2)</f>
        <v/>
      </c>
      <c r="D1084">
        <f>INDEX(KMeans_6_2!AA2:AA51,A1084)</f>
        <v/>
      </c>
      <c r="E1084">
        <f>INDEX(KMeans_6_2!AA2:AA51,B1084)</f>
        <v/>
      </c>
      <c r="O1084">
        <f>IF(OR(AND(D1084=1,E1084=2),AND(D1084=2,E1084=1)),C1084,"")</f>
        <v/>
      </c>
      <c r="P1084">
        <f>IF(OR(AND(D1084=1,E1084=3),AND(D1084=3,E1084=1)),C1084,"")</f>
        <v/>
      </c>
      <c r="Q1084">
        <f>IF(OR(AND(D1084=2,E1084=3),AND(D1084=3,E1084=2)),C1084,"")</f>
        <v/>
      </c>
    </row>
    <row r="1085">
      <c r="A1085" t="n">
        <v>33</v>
      </c>
      <c r="B1085" t="n">
        <v>45</v>
      </c>
      <c r="C1085">
        <f>SQRT((Scale_PCA_Mechanics!G34-Scale_PCA_Mechanics!G46)^2+(Scale_PCA_Mechanics!H34-Scale_PCA_Mechanics!H46)^2+(Scale_PCA_Mechanics!I34-Scale_PCA_Mechanics!I46)^2+(Scale_PCA_Mechanics!J34-Scale_PCA_Mechanics!J46)^2)</f>
        <v/>
      </c>
      <c r="D1085">
        <f>INDEX(KMeans_6_2!AA2:AA51,A1085)</f>
        <v/>
      </c>
      <c r="E1085">
        <f>INDEX(KMeans_6_2!AA2:AA51,B1085)</f>
        <v/>
      </c>
      <c r="O1085">
        <f>IF(OR(AND(D1085=1,E1085=2),AND(D1085=2,E1085=1)),C1085,"")</f>
        <v/>
      </c>
      <c r="P1085">
        <f>IF(OR(AND(D1085=1,E1085=3),AND(D1085=3,E1085=1)),C1085,"")</f>
        <v/>
      </c>
      <c r="Q1085">
        <f>IF(OR(AND(D1085=2,E1085=3),AND(D1085=3,E1085=2)),C1085,"")</f>
        <v/>
      </c>
    </row>
    <row r="1086">
      <c r="A1086" t="n">
        <v>33</v>
      </c>
      <c r="B1086" t="n">
        <v>46</v>
      </c>
      <c r="C1086">
        <f>SQRT((Scale_PCA_Mechanics!G34-Scale_PCA_Mechanics!G47)^2+(Scale_PCA_Mechanics!H34-Scale_PCA_Mechanics!H47)^2+(Scale_PCA_Mechanics!I34-Scale_PCA_Mechanics!I47)^2+(Scale_PCA_Mechanics!J34-Scale_PCA_Mechanics!J47)^2)</f>
        <v/>
      </c>
      <c r="D1086">
        <f>INDEX(KMeans_6_2!AA2:AA51,A1086)</f>
        <v/>
      </c>
      <c r="E1086">
        <f>INDEX(KMeans_6_2!AA2:AA51,B1086)</f>
        <v/>
      </c>
      <c r="O1086">
        <f>IF(OR(AND(D1086=1,E1086=2),AND(D1086=2,E1086=1)),C1086,"")</f>
        <v/>
      </c>
      <c r="P1086">
        <f>IF(OR(AND(D1086=1,E1086=3),AND(D1086=3,E1086=1)),C1086,"")</f>
        <v/>
      </c>
      <c r="Q1086">
        <f>IF(OR(AND(D1086=2,E1086=3),AND(D1086=3,E1086=2)),C1086,"")</f>
        <v/>
      </c>
    </row>
    <row r="1087">
      <c r="A1087" t="n">
        <v>33</v>
      </c>
      <c r="B1087" t="n">
        <v>47</v>
      </c>
      <c r="C1087">
        <f>SQRT((Scale_PCA_Mechanics!G34-Scale_PCA_Mechanics!G48)^2+(Scale_PCA_Mechanics!H34-Scale_PCA_Mechanics!H48)^2+(Scale_PCA_Mechanics!I34-Scale_PCA_Mechanics!I48)^2+(Scale_PCA_Mechanics!J34-Scale_PCA_Mechanics!J48)^2)</f>
        <v/>
      </c>
      <c r="D1087">
        <f>INDEX(KMeans_6_2!AA2:AA51,A1087)</f>
        <v/>
      </c>
      <c r="E1087">
        <f>INDEX(KMeans_6_2!AA2:AA51,B1087)</f>
        <v/>
      </c>
      <c r="O1087">
        <f>IF(OR(AND(D1087=1,E1087=2),AND(D1087=2,E1087=1)),C1087,"")</f>
        <v/>
      </c>
      <c r="P1087">
        <f>IF(OR(AND(D1087=1,E1087=3),AND(D1087=3,E1087=1)),C1087,"")</f>
        <v/>
      </c>
      <c r="Q1087">
        <f>IF(OR(AND(D1087=2,E1087=3),AND(D1087=3,E1087=2)),C1087,"")</f>
        <v/>
      </c>
    </row>
    <row r="1088">
      <c r="A1088" t="n">
        <v>33</v>
      </c>
      <c r="B1088" t="n">
        <v>48</v>
      </c>
      <c r="C1088">
        <f>SQRT((Scale_PCA_Mechanics!G34-Scale_PCA_Mechanics!G49)^2+(Scale_PCA_Mechanics!H34-Scale_PCA_Mechanics!H49)^2+(Scale_PCA_Mechanics!I34-Scale_PCA_Mechanics!I49)^2+(Scale_PCA_Mechanics!J34-Scale_PCA_Mechanics!J49)^2)</f>
        <v/>
      </c>
      <c r="D1088">
        <f>INDEX(KMeans_6_2!AA2:AA51,A1088)</f>
        <v/>
      </c>
      <c r="E1088">
        <f>INDEX(KMeans_6_2!AA2:AA51,B1088)</f>
        <v/>
      </c>
      <c r="O1088">
        <f>IF(OR(AND(D1088=1,E1088=2),AND(D1088=2,E1088=1)),C1088,"")</f>
        <v/>
      </c>
      <c r="P1088">
        <f>IF(OR(AND(D1088=1,E1088=3),AND(D1088=3,E1088=1)),C1088,"")</f>
        <v/>
      </c>
      <c r="Q1088">
        <f>IF(OR(AND(D1088=2,E1088=3),AND(D1088=3,E1088=2)),C1088,"")</f>
        <v/>
      </c>
    </row>
    <row r="1089">
      <c r="A1089" t="n">
        <v>33</v>
      </c>
      <c r="B1089" t="n">
        <v>49</v>
      </c>
      <c r="C1089">
        <f>SQRT((Scale_PCA_Mechanics!G34-Scale_PCA_Mechanics!G50)^2+(Scale_PCA_Mechanics!H34-Scale_PCA_Mechanics!H50)^2+(Scale_PCA_Mechanics!I34-Scale_PCA_Mechanics!I50)^2+(Scale_PCA_Mechanics!J34-Scale_PCA_Mechanics!J50)^2)</f>
        <v/>
      </c>
      <c r="D1089">
        <f>INDEX(KMeans_6_2!AA2:AA51,A1089)</f>
        <v/>
      </c>
      <c r="E1089">
        <f>INDEX(KMeans_6_2!AA2:AA51,B1089)</f>
        <v/>
      </c>
      <c r="O1089">
        <f>IF(OR(AND(D1089=1,E1089=2),AND(D1089=2,E1089=1)),C1089,"")</f>
        <v/>
      </c>
      <c r="P1089">
        <f>IF(OR(AND(D1089=1,E1089=3),AND(D1089=3,E1089=1)),C1089,"")</f>
        <v/>
      </c>
      <c r="Q1089">
        <f>IF(OR(AND(D1089=2,E1089=3),AND(D1089=3,E1089=2)),C1089,"")</f>
        <v/>
      </c>
    </row>
    <row r="1090">
      <c r="A1090" t="n">
        <v>33</v>
      </c>
      <c r="B1090" t="n">
        <v>50</v>
      </c>
      <c r="C1090">
        <f>SQRT((Scale_PCA_Mechanics!G34-Scale_PCA_Mechanics!G51)^2+(Scale_PCA_Mechanics!H34-Scale_PCA_Mechanics!H51)^2+(Scale_PCA_Mechanics!I34-Scale_PCA_Mechanics!I51)^2+(Scale_PCA_Mechanics!J34-Scale_PCA_Mechanics!J51)^2)</f>
        <v/>
      </c>
      <c r="D1090">
        <f>INDEX(KMeans_6_2!AA2:AA51,A1090)</f>
        <v/>
      </c>
      <c r="E1090">
        <f>INDEX(KMeans_6_2!AA2:AA51,B1090)</f>
        <v/>
      </c>
      <c r="O1090">
        <f>IF(OR(AND(D1090=1,E1090=2),AND(D1090=2,E1090=1)),C1090,"")</f>
        <v/>
      </c>
      <c r="P1090">
        <f>IF(OR(AND(D1090=1,E1090=3),AND(D1090=3,E1090=1)),C1090,"")</f>
        <v/>
      </c>
      <c r="Q1090">
        <f>IF(OR(AND(D1090=2,E1090=3),AND(D1090=3,E1090=2)),C1090,"")</f>
        <v/>
      </c>
    </row>
    <row r="1091">
      <c r="A1091" t="n">
        <v>34</v>
      </c>
      <c r="B1091" t="n">
        <v>35</v>
      </c>
      <c r="C1091">
        <f>SQRT((Scale_PCA_Mechanics!G35-Scale_PCA_Mechanics!G36)^2+(Scale_PCA_Mechanics!H35-Scale_PCA_Mechanics!H36)^2+(Scale_PCA_Mechanics!I35-Scale_PCA_Mechanics!I36)^2+(Scale_PCA_Mechanics!J35-Scale_PCA_Mechanics!J36)^2)</f>
        <v/>
      </c>
      <c r="D1091">
        <f>INDEX(KMeans_6_2!AA2:AA51,A1091)</f>
        <v/>
      </c>
      <c r="E1091">
        <f>INDEX(KMeans_6_2!AA2:AA51,B1091)</f>
        <v/>
      </c>
      <c r="O1091">
        <f>IF(OR(AND(D1091=1,E1091=2),AND(D1091=2,E1091=1)),C1091,"")</f>
        <v/>
      </c>
      <c r="P1091">
        <f>IF(OR(AND(D1091=1,E1091=3),AND(D1091=3,E1091=1)),C1091,"")</f>
        <v/>
      </c>
      <c r="Q1091">
        <f>IF(OR(AND(D1091=2,E1091=3),AND(D1091=3,E1091=2)),C1091,"")</f>
        <v/>
      </c>
    </row>
    <row r="1092">
      <c r="A1092" t="n">
        <v>34</v>
      </c>
      <c r="B1092" t="n">
        <v>36</v>
      </c>
      <c r="C1092">
        <f>SQRT((Scale_PCA_Mechanics!G35-Scale_PCA_Mechanics!G37)^2+(Scale_PCA_Mechanics!H35-Scale_PCA_Mechanics!H37)^2+(Scale_PCA_Mechanics!I35-Scale_PCA_Mechanics!I37)^2+(Scale_PCA_Mechanics!J35-Scale_PCA_Mechanics!J37)^2)</f>
        <v/>
      </c>
      <c r="D1092">
        <f>INDEX(KMeans_6_2!AA2:AA51,A1092)</f>
        <v/>
      </c>
      <c r="E1092">
        <f>INDEX(KMeans_6_2!AA2:AA51,B1092)</f>
        <v/>
      </c>
      <c r="O1092">
        <f>IF(OR(AND(D1092=1,E1092=2),AND(D1092=2,E1092=1)),C1092,"")</f>
        <v/>
      </c>
      <c r="P1092">
        <f>IF(OR(AND(D1092=1,E1092=3),AND(D1092=3,E1092=1)),C1092,"")</f>
        <v/>
      </c>
      <c r="Q1092">
        <f>IF(OR(AND(D1092=2,E1092=3),AND(D1092=3,E1092=2)),C1092,"")</f>
        <v/>
      </c>
    </row>
    <row r="1093">
      <c r="A1093" t="n">
        <v>34</v>
      </c>
      <c r="B1093" t="n">
        <v>37</v>
      </c>
      <c r="C1093">
        <f>SQRT((Scale_PCA_Mechanics!G35-Scale_PCA_Mechanics!G38)^2+(Scale_PCA_Mechanics!H35-Scale_PCA_Mechanics!H38)^2+(Scale_PCA_Mechanics!I35-Scale_PCA_Mechanics!I38)^2+(Scale_PCA_Mechanics!J35-Scale_PCA_Mechanics!J38)^2)</f>
        <v/>
      </c>
      <c r="D1093">
        <f>INDEX(KMeans_6_2!AA2:AA51,A1093)</f>
        <v/>
      </c>
      <c r="E1093">
        <f>INDEX(KMeans_6_2!AA2:AA51,B1093)</f>
        <v/>
      </c>
      <c r="O1093">
        <f>IF(OR(AND(D1093=1,E1093=2),AND(D1093=2,E1093=1)),C1093,"")</f>
        <v/>
      </c>
      <c r="P1093">
        <f>IF(OR(AND(D1093=1,E1093=3),AND(D1093=3,E1093=1)),C1093,"")</f>
        <v/>
      </c>
      <c r="Q1093">
        <f>IF(OR(AND(D1093=2,E1093=3),AND(D1093=3,E1093=2)),C1093,"")</f>
        <v/>
      </c>
    </row>
    <row r="1094">
      <c r="A1094" t="n">
        <v>34</v>
      </c>
      <c r="B1094" t="n">
        <v>38</v>
      </c>
      <c r="C1094">
        <f>SQRT((Scale_PCA_Mechanics!G35-Scale_PCA_Mechanics!G39)^2+(Scale_PCA_Mechanics!H35-Scale_PCA_Mechanics!H39)^2+(Scale_PCA_Mechanics!I35-Scale_PCA_Mechanics!I39)^2+(Scale_PCA_Mechanics!J35-Scale_PCA_Mechanics!J39)^2)</f>
        <v/>
      </c>
      <c r="D1094">
        <f>INDEX(KMeans_6_2!AA2:AA51,A1094)</f>
        <v/>
      </c>
      <c r="E1094">
        <f>INDEX(KMeans_6_2!AA2:AA51,B1094)</f>
        <v/>
      </c>
      <c r="O1094">
        <f>IF(OR(AND(D1094=1,E1094=2),AND(D1094=2,E1094=1)),C1094,"")</f>
        <v/>
      </c>
      <c r="P1094">
        <f>IF(OR(AND(D1094=1,E1094=3),AND(D1094=3,E1094=1)),C1094,"")</f>
        <v/>
      </c>
      <c r="Q1094">
        <f>IF(OR(AND(D1094=2,E1094=3),AND(D1094=3,E1094=2)),C1094,"")</f>
        <v/>
      </c>
    </row>
    <row r="1095">
      <c r="A1095" t="n">
        <v>34</v>
      </c>
      <c r="B1095" t="n">
        <v>39</v>
      </c>
      <c r="C1095">
        <f>SQRT((Scale_PCA_Mechanics!G35-Scale_PCA_Mechanics!G40)^2+(Scale_PCA_Mechanics!H35-Scale_PCA_Mechanics!H40)^2+(Scale_PCA_Mechanics!I35-Scale_PCA_Mechanics!I40)^2+(Scale_PCA_Mechanics!J35-Scale_PCA_Mechanics!J40)^2)</f>
        <v/>
      </c>
      <c r="D1095">
        <f>INDEX(KMeans_6_2!AA2:AA51,A1095)</f>
        <v/>
      </c>
      <c r="E1095">
        <f>INDEX(KMeans_6_2!AA2:AA51,B1095)</f>
        <v/>
      </c>
      <c r="O1095">
        <f>IF(OR(AND(D1095=1,E1095=2),AND(D1095=2,E1095=1)),C1095,"")</f>
        <v/>
      </c>
      <c r="P1095">
        <f>IF(OR(AND(D1095=1,E1095=3),AND(D1095=3,E1095=1)),C1095,"")</f>
        <v/>
      </c>
      <c r="Q1095">
        <f>IF(OR(AND(D1095=2,E1095=3),AND(D1095=3,E1095=2)),C1095,"")</f>
        <v/>
      </c>
    </row>
    <row r="1096">
      <c r="A1096" t="n">
        <v>34</v>
      </c>
      <c r="B1096" t="n">
        <v>40</v>
      </c>
      <c r="C1096">
        <f>SQRT((Scale_PCA_Mechanics!G35-Scale_PCA_Mechanics!G41)^2+(Scale_PCA_Mechanics!H35-Scale_PCA_Mechanics!H41)^2+(Scale_PCA_Mechanics!I35-Scale_PCA_Mechanics!I41)^2+(Scale_PCA_Mechanics!J35-Scale_PCA_Mechanics!J41)^2)</f>
        <v/>
      </c>
      <c r="D1096">
        <f>INDEX(KMeans_6_2!AA2:AA51,A1096)</f>
        <v/>
      </c>
      <c r="E1096">
        <f>INDEX(KMeans_6_2!AA2:AA51,B1096)</f>
        <v/>
      </c>
      <c r="O1096">
        <f>IF(OR(AND(D1096=1,E1096=2),AND(D1096=2,E1096=1)),C1096,"")</f>
        <v/>
      </c>
      <c r="P1096">
        <f>IF(OR(AND(D1096=1,E1096=3),AND(D1096=3,E1096=1)),C1096,"")</f>
        <v/>
      </c>
      <c r="Q1096">
        <f>IF(OR(AND(D1096=2,E1096=3),AND(D1096=3,E1096=2)),C1096,"")</f>
        <v/>
      </c>
    </row>
    <row r="1097">
      <c r="A1097" t="n">
        <v>34</v>
      </c>
      <c r="B1097" t="n">
        <v>41</v>
      </c>
      <c r="C1097">
        <f>SQRT((Scale_PCA_Mechanics!G35-Scale_PCA_Mechanics!G42)^2+(Scale_PCA_Mechanics!H35-Scale_PCA_Mechanics!H42)^2+(Scale_PCA_Mechanics!I35-Scale_PCA_Mechanics!I42)^2+(Scale_PCA_Mechanics!J35-Scale_PCA_Mechanics!J42)^2)</f>
        <v/>
      </c>
      <c r="D1097">
        <f>INDEX(KMeans_6_2!AA2:AA51,A1097)</f>
        <v/>
      </c>
      <c r="E1097">
        <f>INDEX(KMeans_6_2!AA2:AA51,B1097)</f>
        <v/>
      </c>
      <c r="O1097">
        <f>IF(OR(AND(D1097=1,E1097=2),AND(D1097=2,E1097=1)),C1097,"")</f>
        <v/>
      </c>
      <c r="P1097">
        <f>IF(OR(AND(D1097=1,E1097=3),AND(D1097=3,E1097=1)),C1097,"")</f>
        <v/>
      </c>
      <c r="Q1097">
        <f>IF(OR(AND(D1097=2,E1097=3),AND(D1097=3,E1097=2)),C1097,"")</f>
        <v/>
      </c>
    </row>
    <row r="1098">
      <c r="A1098" t="n">
        <v>34</v>
      </c>
      <c r="B1098" t="n">
        <v>42</v>
      </c>
      <c r="C1098">
        <f>SQRT((Scale_PCA_Mechanics!G35-Scale_PCA_Mechanics!G43)^2+(Scale_PCA_Mechanics!H35-Scale_PCA_Mechanics!H43)^2+(Scale_PCA_Mechanics!I35-Scale_PCA_Mechanics!I43)^2+(Scale_PCA_Mechanics!J35-Scale_PCA_Mechanics!J43)^2)</f>
        <v/>
      </c>
      <c r="D1098">
        <f>INDEX(KMeans_6_2!AA2:AA51,A1098)</f>
        <v/>
      </c>
      <c r="E1098">
        <f>INDEX(KMeans_6_2!AA2:AA51,B1098)</f>
        <v/>
      </c>
      <c r="O1098">
        <f>IF(OR(AND(D1098=1,E1098=2),AND(D1098=2,E1098=1)),C1098,"")</f>
        <v/>
      </c>
      <c r="P1098">
        <f>IF(OR(AND(D1098=1,E1098=3),AND(D1098=3,E1098=1)),C1098,"")</f>
        <v/>
      </c>
      <c r="Q1098">
        <f>IF(OR(AND(D1098=2,E1098=3),AND(D1098=3,E1098=2)),C1098,"")</f>
        <v/>
      </c>
    </row>
    <row r="1099">
      <c r="A1099" t="n">
        <v>34</v>
      </c>
      <c r="B1099" t="n">
        <v>43</v>
      </c>
      <c r="C1099">
        <f>SQRT((Scale_PCA_Mechanics!G35-Scale_PCA_Mechanics!G44)^2+(Scale_PCA_Mechanics!H35-Scale_PCA_Mechanics!H44)^2+(Scale_PCA_Mechanics!I35-Scale_PCA_Mechanics!I44)^2+(Scale_PCA_Mechanics!J35-Scale_PCA_Mechanics!J44)^2)</f>
        <v/>
      </c>
      <c r="D1099">
        <f>INDEX(KMeans_6_2!AA2:AA51,A1099)</f>
        <v/>
      </c>
      <c r="E1099">
        <f>INDEX(KMeans_6_2!AA2:AA51,B1099)</f>
        <v/>
      </c>
      <c r="O1099">
        <f>IF(OR(AND(D1099=1,E1099=2),AND(D1099=2,E1099=1)),C1099,"")</f>
        <v/>
      </c>
      <c r="P1099">
        <f>IF(OR(AND(D1099=1,E1099=3),AND(D1099=3,E1099=1)),C1099,"")</f>
        <v/>
      </c>
      <c r="Q1099">
        <f>IF(OR(AND(D1099=2,E1099=3),AND(D1099=3,E1099=2)),C1099,"")</f>
        <v/>
      </c>
    </row>
    <row r="1100">
      <c r="A1100" t="n">
        <v>34</v>
      </c>
      <c r="B1100" t="n">
        <v>44</v>
      </c>
      <c r="C1100">
        <f>SQRT((Scale_PCA_Mechanics!G35-Scale_PCA_Mechanics!G45)^2+(Scale_PCA_Mechanics!H35-Scale_PCA_Mechanics!H45)^2+(Scale_PCA_Mechanics!I35-Scale_PCA_Mechanics!I45)^2+(Scale_PCA_Mechanics!J35-Scale_PCA_Mechanics!J45)^2)</f>
        <v/>
      </c>
      <c r="D1100">
        <f>INDEX(KMeans_6_2!AA2:AA51,A1100)</f>
        <v/>
      </c>
      <c r="E1100">
        <f>INDEX(KMeans_6_2!AA2:AA51,B1100)</f>
        <v/>
      </c>
      <c r="O1100">
        <f>IF(OR(AND(D1100=1,E1100=2),AND(D1100=2,E1100=1)),C1100,"")</f>
        <v/>
      </c>
      <c r="P1100">
        <f>IF(OR(AND(D1100=1,E1100=3),AND(D1100=3,E1100=1)),C1100,"")</f>
        <v/>
      </c>
      <c r="Q1100">
        <f>IF(OR(AND(D1100=2,E1100=3),AND(D1100=3,E1100=2)),C1100,"")</f>
        <v/>
      </c>
    </row>
    <row r="1101">
      <c r="A1101" t="n">
        <v>34</v>
      </c>
      <c r="B1101" t="n">
        <v>45</v>
      </c>
      <c r="C1101">
        <f>SQRT((Scale_PCA_Mechanics!G35-Scale_PCA_Mechanics!G46)^2+(Scale_PCA_Mechanics!H35-Scale_PCA_Mechanics!H46)^2+(Scale_PCA_Mechanics!I35-Scale_PCA_Mechanics!I46)^2+(Scale_PCA_Mechanics!J35-Scale_PCA_Mechanics!J46)^2)</f>
        <v/>
      </c>
      <c r="D1101">
        <f>INDEX(KMeans_6_2!AA2:AA51,A1101)</f>
        <v/>
      </c>
      <c r="E1101">
        <f>INDEX(KMeans_6_2!AA2:AA51,B1101)</f>
        <v/>
      </c>
      <c r="O1101">
        <f>IF(OR(AND(D1101=1,E1101=2),AND(D1101=2,E1101=1)),C1101,"")</f>
        <v/>
      </c>
      <c r="P1101">
        <f>IF(OR(AND(D1101=1,E1101=3),AND(D1101=3,E1101=1)),C1101,"")</f>
        <v/>
      </c>
      <c r="Q1101">
        <f>IF(OR(AND(D1101=2,E1101=3),AND(D1101=3,E1101=2)),C1101,"")</f>
        <v/>
      </c>
    </row>
    <row r="1102">
      <c r="A1102" t="n">
        <v>34</v>
      </c>
      <c r="B1102" t="n">
        <v>46</v>
      </c>
      <c r="C1102">
        <f>SQRT((Scale_PCA_Mechanics!G35-Scale_PCA_Mechanics!G47)^2+(Scale_PCA_Mechanics!H35-Scale_PCA_Mechanics!H47)^2+(Scale_PCA_Mechanics!I35-Scale_PCA_Mechanics!I47)^2+(Scale_PCA_Mechanics!J35-Scale_PCA_Mechanics!J47)^2)</f>
        <v/>
      </c>
      <c r="D1102">
        <f>INDEX(KMeans_6_2!AA2:AA51,A1102)</f>
        <v/>
      </c>
      <c r="E1102">
        <f>INDEX(KMeans_6_2!AA2:AA51,B1102)</f>
        <v/>
      </c>
      <c r="O1102">
        <f>IF(OR(AND(D1102=1,E1102=2),AND(D1102=2,E1102=1)),C1102,"")</f>
        <v/>
      </c>
      <c r="P1102">
        <f>IF(OR(AND(D1102=1,E1102=3),AND(D1102=3,E1102=1)),C1102,"")</f>
        <v/>
      </c>
      <c r="Q1102">
        <f>IF(OR(AND(D1102=2,E1102=3),AND(D1102=3,E1102=2)),C1102,"")</f>
        <v/>
      </c>
    </row>
    <row r="1103">
      <c r="A1103" t="n">
        <v>34</v>
      </c>
      <c r="B1103" t="n">
        <v>47</v>
      </c>
      <c r="C1103">
        <f>SQRT((Scale_PCA_Mechanics!G35-Scale_PCA_Mechanics!G48)^2+(Scale_PCA_Mechanics!H35-Scale_PCA_Mechanics!H48)^2+(Scale_PCA_Mechanics!I35-Scale_PCA_Mechanics!I48)^2+(Scale_PCA_Mechanics!J35-Scale_PCA_Mechanics!J48)^2)</f>
        <v/>
      </c>
      <c r="D1103">
        <f>INDEX(KMeans_6_2!AA2:AA51,A1103)</f>
        <v/>
      </c>
      <c r="E1103">
        <f>INDEX(KMeans_6_2!AA2:AA51,B1103)</f>
        <v/>
      </c>
      <c r="O1103">
        <f>IF(OR(AND(D1103=1,E1103=2),AND(D1103=2,E1103=1)),C1103,"")</f>
        <v/>
      </c>
      <c r="P1103">
        <f>IF(OR(AND(D1103=1,E1103=3),AND(D1103=3,E1103=1)),C1103,"")</f>
        <v/>
      </c>
      <c r="Q1103">
        <f>IF(OR(AND(D1103=2,E1103=3),AND(D1103=3,E1103=2)),C1103,"")</f>
        <v/>
      </c>
    </row>
    <row r="1104">
      <c r="A1104" t="n">
        <v>34</v>
      </c>
      <c r="B1104" t="n">
        <v>48</v>
      </c>
      <c r="C1104">
        <f>SQRT((Scale_PCA_Mechanics!G35-Scale_PCA_Mechanics!G49)^2+(Scale_PCA_Mechanics!H35-Scale_PCA_Mechanics!H49)^2+(Scale_PCA_Mechanics!I35-Scale_PCA_Mechanics!I49)^2+(Scale_PCA_Mechanics!J35-Scale_PCA_Mechanics!J49)^2)</f>
        <v/>
      </c>
      <c r="D1104">
        <f>INDEX(KMeans_6_2!AA2:AA51,A1104)</f>
        <v/>
      </c>
      <c r="E1104">
        <f>INDEX(KMeans_6_2!AA2:AA51,B1104)</f>
        <v/>
      </c>
      <c r="O1104">
        <f>IF(OR(AND(D1104=1,E1104=2),AND(D1104=2,E1104=1)),C1104,"")</f>
        <v/>
      </c>
      <c r="P1104">
        <f>IF(OR(AND(D1104=1,E1104=3),AND(D1104=3,E1104=1)),C1104,"")</f>
        <v/>
      </c>
      <c r="Q1104">
        <f>IF(OR(AND(D1104=2,E1104=3),AND(D1104=3,E1104=2)),C1104,"")</f>
        <v/>
      </c>
    </row>
    <row r="1105">
      <c r="A1105" t="n">
        <v>34</v>
      </c>
      <c r="B1105" t="n">
        <v>49</v>
      </c>
      <c r="C1105">
        <f>SQRT((Scale_PCA_Mechanics!G35-Scale_PCA_Mechanics!G50)^2+(Scale_PCA_Mechanics!H35-Scale_PCA_Mechanics!H50)^2+(Scale_PCA_Mechanics!I35-Scale_PCA_Mechanics!I50)^2+(Scale_PCA_Mechanics!J35-Scale_PCA_Mechanics!J50)^2)</f>
        <v/>
      </c>
      <c r="D1105">
        <f>INDEX(KMeans_6_2!AA2:AA51,A1105)</f>
        <v/>
      </c>
      <c r="E1105">
        <f>INDEX(KMeans_6_2!AA2:AA51,B1105)</f>
        <v/>
      </c>
      <c r="O1105">
        <f>IF(OR(AND(D1105=1,E1105=2),AND(D1105=2,E1105=1)),C1105,"")</f>
        <v/>
      </c>
      <c r="P1105">
        <f>IF(OR(AND(D1105=1,E1105=3),AND(D1105=3,E1105=1)),C1105,"")</f>
        <v/>
      </c>
      <c r="Q1105">
        <f>IF(OR(AND(D1105=2,E1105=3),AND(D1105=3,E1105=2)),C1105,"")</f>
        <v/>
      </c>
    </row>
    <row r="1106">
      <c r="A1106" t="n">
        <v>34</v>
      </c>
      <c r="B1106" t="n">
        <v>50</v>
      </c>
      <c r="C1106">
        <f>SQRT((Scale_PCA_Mechanics!G35-Scale_PCA_Mechanics!G51)^2+(Scale_PCA_Mechanics!H35-Scale_PCA_Mechanics!H51)^2+(Scale_PCA_Mechanics!I35-Scale_PCA_Mechanics!I51)^2+(Scale_PCA_Mechanics!J35-Scale_PCA_Mechanics!J51)^2)</f>
        <v/>
      </c>
      <c r="D1106">
        <f>INDEX(KMeans_6_2!AA2:AA51,A1106)</f>
        <v/>
      </c>
      <c r="E1106">
        <f>INDEX(KMeans_6_2!AA2:AA51,B1106)</f>
        <v/>
      </c>
      <c r="O1106">
        <f>IF(OR(AND(D1106=1,E1106=2),AND(D1106=2,E1106=1)),C1106,"")</f>
        <v/>
      </c>
      <c r="P1106">
        <f>IF(OR(AND(D1106=1,E1106=3),AND(D1106=3,E1106=1)),C1106,"")</f>
        <v/>
      </c>
      <c r="Q1106">
        <f>IF(OR(AND(D1106=2,E1106=3),AND(D1106=3,E1106=2)),C1106,"")</f>
        <v/>
      </c>
    </row>
    <row r="1107">
      <c r="A1107" t="n">
        <v>35</v>
      </c>
      <c r="B1107" t="n">
        <v>36</v>
      </c>
      <c r="C1107">
        <f>SQRT((Scale_PCA_Mechanics!G36-Scale_PCA_Mechanics!G37)^2+(Scale_PCA_Mechanics!H36-Scale_PCA_Mechanics!H37)^2+(Scale_PCA_Mechanics!I36-Scale_PCA_Mechanics!I37)^2+(Scale_PCA_Mechanics!J36-Scale_PCA_Mechanics!J37)^2)</f>
        <v/>
      </c>
      <c r="D1107">
        <f>INDEX(KMeans_6_2!AA2:AA51,A1107)</f>
        <v/>
      </c>
      <c r="E1107">
        <f>INDEX(KMeans_6_2!AA2:AA51,B1107)</f>
        <v/>
      </c>
      <c r="O1107">
        <f>IF(OR(AND(D1107=1,E1107=2),AND(D1107=2,E1107=1)),C1107,"")</f>
        <v/>
      </c>
      <c r="P1107">
        <f>IF(OR(AND(D1107=1,E1107=3),AND(D1107=3,E1107=1)),C1107,"")</f>
        <v/>
      </c>
      <c r="Q1107">
        <f>IF(OR(AND(D1107=2,E1107=3),AND(D1107=3,E1107=2)),C1107,"")</f>
        <v/>
      </c>
    </row>
    <row r="1108">
      <c r="A1108" t="n">
        <v>35</v>
      </c>
      <c r="B1108" t="n">
        <v>37</v>
      </c>
      <c r="C1108">
        <f>SQRT((Scale_PCA_Mechanics!G36-Scale_PCA_Mechanics!G38)^2+(Scale_PCA_Mechanics!H36-Scale_PCA_Mechanics!H38)^2+(Scale_PCA_Mechanics!I36-Scale_PCA_Mechanics!I38)^2+(Scale_PCA_Mechanics!J36-Scale_PCA_Mechanics!J38)^2)</f>
        <v/>
      </c>
      <c r="D1108">
        <f>INDEX(KMeans_6_2!AA2:AA51,A1108)</f>
        <v/>
      </c>
      <c r="E1108">
        <f>INDEX(KMeans_6_2!AA2:AA51,B1108)</f>
        <v/>
      </c>
      <c r="O1108">
        <f>IF(OR(AND(D1108=1,E1108=2),AND(D1108=2,E1108=1)),C1108,"")</f>
        <v/>
      </c>
      <c r="P1108">
        <f>IF(OR(AND(D1108=1,E1108=3),AND(D1108=3,E1108=1)),C1108,"")</f>
        <v/>
      </c>
      <c r="Q1108">
        <f>IF(OR(AND(D1108=2,E1108=3),AND(D1108=3,E1108=2)),C1108,"")</f>
        <v/>
      </c>
    </row>
    <row r="1109">
      <c r="A1109" t="n">
        <v>35</v>
      </c>
      <c r="B1109" t="n">
        <v>38</v>
      </c>
      <c r="C1109">
        <f>SQRT((Scale_PCA_Mechanics!G36-Scale_PCA_Mechanics!G39)^2+(Scale_PCA_Mechanics!H36-Scale_PCA_Mechanics!H39)^2+(Scale_PCA_Mechanics!I36-Scale_PCA_Mechanics!I39)^2+(Scale_PCA_Mechanics!J36-Scale_PCA_Mechanics!J39)^2)</f>
        <v/>
      </c>
      <c r="D1109">
        <f>INDEX(KMeans_6_2!AA2:AA51,A1109)</f>
        <v/>
      </c>
      <c r="E1109">
        <f>INDEX(KMeans_6_2!AA2:AA51,B1109)</f>
        <v/>
      </c>
      <c r="O1109">
        <f>IF(OR(AND(D1109=1,E1109=2),AND(D1109=2,E1109=1)),C1109,"")</f>
        <v/>
      </c>
      <c r="P1109">
        <f>IF(OR(AND(D1109=1,E1109=3),AND(D1109=3,E1109=1)),C1109,"")</f>
        <v/>
      </c>
      <c r="Q1109">
        <f>IF(OR(AND(D1109=2,E1109=3),AND(D1109=3,E1109=2)),C1109,"")</f>
        <v/>
      </c>
    </row>
    <row r="1110">
      <c r="A1110" t="n">
        <v>35</v>
      </c>
      <c r="B1110" t="n">
        <v>39</v>
      </c>
      <c r="C1110">
        <f>SQRT((Scale_PCA_Mechanics!G36-Scale_PCA_Mechanics!G40)^2+(Scale_PCA_Mechanics!H36-Scale_PCA_Mechanics!H40)^2+(Scale_PCA_Mechanics!I36-Scale_PCA_Mechanics!I40)^2+(Scale_PCA_Mechanics!J36-Scale_PCA_Mechanics!J40)^2)</f>
        <v/>
      </c>
      <c r="D1110">
        <f>INDEX(KMeans_6_2!AA2:AA51,A1110)</f>
        <v/>
      </c>
      <c r="E1110">
        <f>INDEX(KMeans_6_2!AA2:AA51,B1110)</f>
        <v/>
      </c>
      <c r="O1110">
        <f>IF(OR(AND(D1110=1,E1110=2),AND(D1110=2,E1110=1)),C1110,"")</f>
        <v/>
      </c>
      <c r="P1110">
        <f>IF(OR(AND(D1110=1,E1110=3),AND(D1110=3,E1110=1)),C1110,"")</f>
        <v/>
      </c>
      <c r="Q1110">
        <f>IF(OR(AND(D1110=2,E1110=3),AND(D1110=3,E1110=2)),C1110,"")</f>
        <v/>
      </c>
    </row>
    <row r="1111">
      <c r="A1111" t="n">
        <v>35</v>
      </c>
      <c r="B1111" t="n">
        <v>40</v>
      </c>
      <c r="C1111">
        <f>SQRT((Scale_PCA_Mechanics!G36-Scale_PCA_Mechanics!G41)^2+(Scale_PCA_Mechanics!H36-Scale_PCA_Mechanics!H41)^2+(Scale_PCA_Mechanics!I36-Scale_PCA_Mechanics!I41)^2+(Scale_PCA_Mechanics!J36-Scale_PCA_Mechanics!J41)^2)</f>
        <v/>
      </c>
      <c r="D1111">
        <f>INDEX(KMeans_6_2!AA2:AA51,A1111)</f>
        <v/>
      </c>
      <c r="E1111">
        <f>INDEX(KMeans_6_2!AA2:AA51,B1111)</f>
        <v/>
      </c>
      <c r="O1111">
        <f>IF(OR(AND(D1111=1,E1111=2),AND(D1111=2,E1111=1)),C1111,"")</f>
        <v/>
      </c>
      <c r="P1111">
        <f>IF(OR(AND(D1111=1,E1111=3),AND(D1111=3,E1111=1)),C1111,"")</f>
        <v/>
      </c>
      <c r="Q1111">
        <f>IF(OR(AND(D1111=2,E1111=3),AND(D1111=3,E1111=2)),C1111,"")</f>
        <v/>
      </c>
    </row>
    <row r="1112">
      <c r="A1112" t="n">
        <v>35</v>
      </c>
      <c r="B1112" t="n">
        <v>41</v>
      </c>
      <c r="C1112">
        <f>SQRT((Scale_PCA_Mechanics!G36-Scale_PCA_Mechanics!G42)^2+(Scale_PCA_Mechanics!H36-Scale_PCA_Mechanics!H42)^2+(Scale_PCA_Mechanics!I36-Scale_PCA_Mechanics!I42)^2+(Scale_PCA_Mechanics!J36-Scale_PCA_Mechanics!J42)^2)</f>
        <v/>
      </c>
      <c r="D1112">
        <f>INDEX(KMeans_6_2!AA2:AA51,A1112)</f>
        <v/>
      </c>
      <c r="E1112">
        <f>INDEX(KMeans_6_2!AA2:AA51,B1112)</f>
        <v/>
      </c>
      <c r="O1112">
        <f>IF(OR(AND(D1112=1,E1112=2),AND(D1112=2,E1112=1)),C1112,"")</f>
        <v/>
      </c>
      <c r="P1112">
        <f>IF(OR(AND(D1112=1,E1112=3),AND(D1112=3,E1112=1)),C1112,"")</f>
        <v/>
      </c>
      <c r="Q1112">
        <f>IF(OR(AND(D1112=2,E1112=3),AND(D1112=3,E1112=2)),C1112,"")</f>
        <v/>
      </c>
    </row>
    <row r="1113">
      <c r="A1113" t="n">
        <v>35</v>
      </c>
      <c r="B1113" t="n">
        <v>42</v>
      </c>
      <c r="C1113">
        <f>SQRT((Scale_PCA_Mechanics!G36-Scale_PCA_Mechanics!G43)^2+(Scale_PCA_Mechanics!H36-Scale_PCA_Mechanics!H43)^2+(Scale_PCA_Mechanics!I36-Scale_PCA_Mechanics!I43)^2+(Scale_PCA_Mechanics!J36-Scale_PCA_Mechanics!J43)^2)</f>
        <v/>
      </c>
      <c r="D1113">
        <f>INDEX(KMeans_6_2!AA2:AA51,A1113)</f>
        <v/>
      </c>
      <c r="E1113">
        <f>INDEX(KMeans_6_2!AA2:AA51,B1113)</f>
        <v/>
      </c>
      <c r="O1113">
        <f>IF(OR(AND(D1113=1,E1113=2),AND(D1113=2,E1113=1)),C1113,"")</f>
        <v/>
      </c>
      <c r="P1113">
        <f>IF(OR(AND(D1113=1,E1113=3),AND(D1113=3,E1113=1)),C1113,"")</f>
        <v/>
      </c>
      <c r="Q1113">
        <f>IF(OR(AND(D1113=2,E1113=3),AND(D1113=3,E1113=2)),C1113,"")</f>
        <v/>
      </c>
    </row>
    <row r="1114">
      <c r="A1114" t="n">
        <v>35</v>
      </c>
      <c r="B1114" t="n">
        <v>43</v>
      </c>
      <c r="C1114">
        <f>SQRT((Scale_PCA_Mechanics!G36-Scale_PCA_Mechanics!G44)^2+(Scale_PCA_Mechanics!H36-Scale_PCA_Mechanics!H44)^2+(Scale_PCA_Mechanics!I36-Scale_PCA_Mechanics!I44)^2+(Scale_PCA_Mechanics!J36-Scale_PCA_Mechanics!J44)^2)</f>
        <v/>
      </c>
      <c r="D1114">
        <f>INDEX(KMeans_6_2!AA2:AA51,A1114)</f>
        <v/>
      </c>
      <c r="E1114">
        <f>INDEX(KMeans_6_2!AA2:AA51,B1114)</f>
        <v/>
      </c>
      <c r="O1114">
        <f>IF(OR(AND(D1114=1,E1114=2),AND(D1114=2,E1114=1)),C1114,"")</f>
        <v/>
      </c>
      <c r="P1114">
        <f>IF(OR(AND(D1114=1,E1114=3),AND(D1114=3,E1114=1)),C1114,"")</f>
        <v/>
      </c>
      <c r="Q1114">
        <f>IF(OR(AND(D1114=2,E1114=3),AND(D1114=3,E1114=2)),C1114,"")</f>
        <v/>
      </c>
    </row>
    <row r="1115">
      <c r="A1115" t="n">
        <v>35</v>
      </c>
      <c r="B1115" t="n">
        <v>44</v>
      </c>
      <c r="C1115">
        <f>SQRT((Scale_PCA_Mechanics!G36-Scale_PCA_Mechanics!G45)^2+(Scale_PCA_Mechanics!H36-Scale_PCA_Mechanics!H45)^2+(Scale_PCA_Mechanics!I36-Scale_PCA_Mechanics!I45)^2+(Scale_PCA_Mechanics!J36-Scale_PCA_Mechanics!J45)^2)</f>
        <v/>
      </c>
      <c r="D1115">
        <f>INDEX(KMeans_6_2!AA2:AA51,A1115)</f>
        <v/>
      </c>
      <c r="E1115">
        <f>INDEX(KMeans_6_2!AA2:AA51,B1115)</f>
        <v/>
      </c>
      <c r="O1115">
        <f>IF(OR(AND(D1115=1,E1115=2),AND(D1115=2,E1115=1)),C1115,"")</f>
        <v/>
      </c>
      <c r="P1115">
        <f>IF(OR(AND(D1115=1,E1115=3),AND(D1115=3,E1115=1)),C1115,"")</f>
        <v/>
      </c>
      <c r="Q1115">
        <f>IF(OR(AND(D1115=2,E1115=3),AND(D1115=3,E1115=2)),C1115,"")</f>
        <v/>
      </c>
    </row>
    <row r="1116">
      <c r="A1116" t="n">
        <v>35</v>
      </c>
      <c r="B1116" t="n">
        <v>45</v>
      </c>
      <c r="C1116">
        <f>SQRT((Scale_PCA_Mechanics!G36-Scale_PCA_Mechanics!G46)^2+(Scale_PCA_Mechanics!H36-Scale_PCA_Mechanics!H46)^2+(Scale_PCA_Mechanics!I36-Scale_PCA_Mechanics!I46)^2+(Scale_PCA_Mechanics!J36-Scale_PCA_Mechanics!J46)^2)</f>
        <v/>
      </c>
      <c r="D1116">
        <f>INDEX(KMeans_6_2!AA2:AA51,A1116)</f>
        <v/>
      </c>
      <c r="E1116">
        <f>INDEX(KMeans_6_2!AA2:AA51,B1116)</f>
        <v/>
      </c>
      <c r="O1116">
        <f>IF(OR(AND(D1116=1,E1116=2),AND(D1116=2,E1116=1)),C1116,"")</f>
        <v/>
      </c>
      <c r="P1116">
        <f>IF(OR(AND(D1116=1,E1116=3),AND(D1116=3,E1116=1)),C1116,"")</f>
        <v/>
      </c>
      <c r="Q1116">
        <f>IF(OR(AND(D1116=2,E1116=3),AND(D1116=3,E1116=2)),C1116,"")</f>
        <v/>
      </c>
    </row>
    <row r="1117">
      <c r="A1117" t="n">
        <v>35</v>
      </c>
      <c r="B1117" t="n">
        <v>46</v>
      </c>
      <c r="C1117">
        <f>SQRT((Scale_PCA_Mechanics!G36-Scale_PCA_Mechanics!G47)^2+(Scale_PCA_Mechanics!H36-Scale_PCA_Mechanics!H47)^2+(Scale_PCA_Mechanics!I36-Scale_PCA_Mechanics!I47)^2+(Scale_PCA_Mechanics!J36-Scale_PCA_Mechanics!J47)^2)</f>
        <v/>
      </c>
      <c r="D1117">
        <f>INDEX(KMeans_6_2!AA2:AA51,A1117)</f>
        <v/>
      </c>
      <c r="E1117">
        <f>INDEX(KMeans_6_2!AA2:AA51,B1117)</f>
        <v/>
      </c>
      <c r="O1117">
        <f>IF(OR(AND(D1117=1,E1117=2),AND(D1117=2,E1117=1)),C1117,"")</f>
        <v/>
      </c>
      <c r="P1117">
        <f>IF(OR(AND(D1117=1,E1117=3),AND(D1117=3,E1117=1)),C1117,"")</f>
        <v/>
      </c>
      <c r="Q1117">
        <f>IF(OR(AND(D1117=2,E1117=3),AND(D1117=3,E1117=2)),C1117,"")</f>
        <v/>
      </c>
    </row>
    <row r="1118">
      <c r="A1118" t="n">
        <v>35</v>
      </c>
      <c r="B1118" t="n">
        <v>47</v>
      </c>
      <c r="C1118">
        <f>SQRT((Scale_PCA_Mechanics!G36-Scale_PCA_Mechanics!G48)^2+(Scale_PCA_Mechanics!H36-Scale_PCA_Mechanics!H48)^2+(Scale_PCA_Mechanics!I36-Scale_PCA_Mechanics!I48)^2+(Scale_PCA_Mechanics!J36-Scale_PCA_Mechanics!J48)^2)</f>
        <v/>
      </c>
      <c r="D1118">
        <f>INDEX(KMeans_6_2!AA2:AA51,A1118)</f>
        <v/>
      </c>
      <c r="E1118">
        <f>INDEX(KMeans_6_2!AA2:AA51,B1118)</f>
        <v/>
      </c>
      <c r="O1118">
        <f>IF(OR(AND(D1118=1,E1118=2),AND(D1118=2,E1118=1)),C1118,"")</f>
        <v/>
      </c>
      <c r="P1118">
        <f>IF(OR(AND(D1118=1,E1118=3),AND(D1118=3,E1118=1)),C1118,"")</f>
        <v/>
      </c>
      <c r="Q1118">
        <f>IF(OR(AND(D1118=2,E1118=3),AND(D1118=3,E1118=2)),C1118,"")</f>
        <v/>
      </c>
    </row>
    <row r="1119">
      <c r="A1119" t="n">
        <v>35</v>
      </c>
      <c r="B1119" t="n">
        <v>48</v>
      </c>
      <c r="C1119">
        <f>SQRT((Scale_PCA_Mechanics!G36-Scale_PCA_Mechanics!G49)^2+(Scale_PCA_Mechanics!H36-Scale_PCA_Mechanics!H49)^2+(Scale_PCA_Mechanics!I36-Scale_PCA_Mechanics!I49)^2+(Scale_PCA_Mechanics!J36-Scale_PCA_Mechanics!J49)^2)</f>
        <v/>
      </c>
      <c r="D1119">
        <f>INDEX(KMeans_6_2!AA2:AA51,A1119)</f>
        <v/>
      </c>
      <c r="E1119">
        <f>INDEX(KMeans_6_2!AA2:AA51,B1119)</f>
        <v/>
      </c>
      <c r="O1119">
        <f>IF(OR(AND(D1119=1,E1119=2),AND(D1119=2,E1119=1)),C1119,"")</f>
        <v/>
      </c>
      <c r="P1119">
        <f>IF(OR(AND(D1119=1,E1119=3),AND(D1119=3,E1119=1)),C1119,"")</f>
        <v/>
      </c>
      <c r="Q1119">
        <f>IF(OR(AND(D1119=2,E1119=3),AND(D1119=3,E1119=2)),C1119,"")</f>
        <v/>
      </c>
    </row>
    <row r="1120">
      <c r="A1120" t="n">
        <v>35</v>
      </c>
      <c r="B1120" t="n">
        <v>49</v>
      </c>
      <c r="C1120">
        <f>SQRT((Scale_PCA_Mechanics!G36-Scale_PCA_Mechanics!G50)^2+(Scale_PCA_Mechanics!H36-Scale_PCA_Mechanics!H50)^2+(Scale_PCA_Mechanics!I36-Scale_PCA_Mechanics!I50)^2+(Scale_PCA_Mechanics!J36-Scale_PCA_Mechanics!J50)^2)</f>
        <v/>
      </c>
      <c r="D1120">
        <f>INDEX(KMeans_6_2!AA2:AA51,A1120)</f>
        <v/>
      </c>
      <c r="E1120">
        <f>INDEX(KMeans_6_2!AA2:AA51,B1120)</f>
        <v/>
      </c>
      <c r="O1120">
        <f>IF(OR(AND(D1120=1,E1120=2),AND(D1120=2,E1120=1)),C1120,"")</f>
        <v/>
      </c>
      <c r="P1120">
        <f>IF(OR(AND(D1120=1,E1120=3),AND(D1120=3,E1120=1)),C1120,"")</f>
        <v/>
      </c>
      <c r="Q1120">
        <f>IF(OR(AND(D1120=2,E1120=3),AND(D1120=3,E1120=2)),C1120,"")</f>
        <v/>
      </c>
    </row>
    <row r="1121">
      <c r="A1121" t="n">
        <v>35</v>
      </c>
      <c r="B1121" t="n">
        <v>50</v>
      </c>
      <c r="C1121">
        <f>SQRT((Scale_PCA_Mechanics!G36-Scale_PCA_Mechanics!G51)^2+(Scale_PCA_Mechanics!H36-Scale_PCA_Mechanics!H51)^2+(Scale_PCA_Mechanics!I36-Scale_PCA_Mechanics!I51)^2+(Scale_PCA_Mechanics!J36-Scale_PCA_Mechanics!J51)^2)</f>
        <v/>
      </c>
      <c r="D1121">
        <f>INDEX(KMeans_6_2!AA2:AA51,A1121)</f>
        <v/>
      </c>
      <c r="E1121">
        <f>INDEX(KMeans_6_2!AA2:AA51,B1121)</f>
        <v/>
      </c>
      <c r="O1121">
        <f>IF(OR(AND(D1121=1,E1121=2),AND(D1121=2,E1121=1)),C1121,"")</f>
        <v/>
      </c>
      <c r="P1121">
        <f>IF(OR(AND(D1121=1,E1121=3),AND(D1121=3,E1121=1)),C1121,"")</f>
        <v/>
      </c>
      <c r="Q1121">
        <f>IF(OR(AND(D1121=2,E1121=3),AND(D1121=3,E1121=2)),C1121,"")</f>
        <v/>
      </c>
    </row>
    <row r="1122">
      <c r="A1122" t="n">
        <v>36</v>
      </c>
      <c r="B1122" t="n">
        <v>37</v>
      </c>
      <c r="C1122">
        <f>SQRT((Scale_PCA_Mechanics!G37-Scale_PCA_Mechanics!G38)^2+(Scale_PCA_Mechanics!H37-Scale_PCA_Mechanics!H38)^2+(Scale_PCA_Mechanics!I37-Scale_PCA_Mechanics!I38)^2+(Scale_PCA_Mechanics!J37-Scale_PCA_Mechanics!J38)^2)</f>
        <v/>
      </c>
      <c r="D1122">
        <f>INDEX(KMeans_6_2!AA2:AA51,A1122)</f>
        <v/>
      </c>
      <c r="E1122">
        <f>INDEX(KMeans_6_2!AA2:AA51,B1122)</f>
        <v/>
      </c>
      <c r="O1122">
        <f>IF(OR(AND(D1122=1,E1122=2),AND(D1122=2,E1122=1)),C1122,"")</f>
        <v/>
      </c>
      <c r="P1122">
        <f>IF(OR(AND(D1122=1,E1122=3),AND(D1122=3,E1122=1)),C1122,"")</f>
        <v/>
      </c>
      <c r="Q1122">
        <f>IF(OR(AND(D1122=2,E1122=3),AND(D1122=3,E1122=2)),C1122,"")</f>
        <v/>
      </c>
    </row>
    <row r="1123">
      <c r="A1123" t="n">
        <v>36</v>
      </c>
      <c r="B1123" t="n">
        <v>38</v>
      </c>
      <c r="C1123">
        <f>SQRT((Scale_PCA_Mechanics!G37-Scale_PCA_Mechanics!G39)^2+(Scale_PCA_Mechanics!H37-Scale_PCA_Mechanics!H39)^2+(Scale_PCA_Mechanics!I37-Scale_PCA_Mechanics!I39)^2+(Scale_PCA_Mechanics!J37-Scale_PCA_Mechanics!J39)^2)</f>
        <v/>
      </c>
      <c r="D1123">
        <f>INDEX(KMeans_6_2!AA2:AA51,A1123)</f>
        <v/>
      </c>
      <c r="E1123">
        <f>INDEX(KMeans_6_2!AA2:AA51,B1123)</f>
        <v/>
      </c>
      <c r="O1123">
        <f>IF(OR(AND(D1123=1,E1123=2),AND(D1123=2,E1123=1)),C1123,"")</f>
        <v/>
      </c>
      <c r="P1123">
        <f>IF(OR(AND(D1123=1,E1123=3),AND(D1123=3,E1123=1)),C1123,"")</f>
        <v/>
      </c>
      <c r="Q1123">
        <f>IF(OR(AND(D1123=2,E1123=3),AND(D1123=3,E1123=2)),C1123,"")</f>
        <v/>
      </c>
    </row>
    <row r="1124">
      <c r="A1124" t="n">
        <v>36</v>
      </c>
      <c r="B1124" t="n">
        <v>39</v>
      </c>
      <c r="C1124">
        <f>SQRT((Scale_PCA_Mechanics!G37-Scale_PCA_Mechanics!G40)^2+(Scale_PCA_Mechanics!H37-Scale_PCA_Mechanics!H40)^2+(Scale_PCA_Mechanics!I37-Scale_PCA_Mechanics!I40)^2+(Scale_PCA_Mechanics!J37-Scale_PCA_Mechanics!J40)^2)</f>
        <v/>
      </c>
      <c r="D1124">
        <f>INDEX(KMeans_6_2!AA2:AA51,A1124)</f>
        <v/>
      </c>
      <c r="E1124">
        <f>INDEX(KMeans_6_2!AA2:AA51,B1124)</f>
        <v/>
      </c>
      <c r="O1124">
        <f>IF(OR(AND(D1124=1,E1124=2),AND(D1124=2,E1124=1)),C1124,"")</f>
        <v/>
      </c>
      <c r="P1124">
        <f>IF(OR(AND(D1124=1,E1124=3),AND(D1124=3,E1124=1)),C1124,"")</f>
        <v/>
      </c>
      <c r="Q1124">
        <f>IF(OR(AND(D1124=2,E1124=3),AND(D1124=3,E1124=2)),C1124,"")</f>
        <v/>
      </c>
    </row>
    <row r="1125">
      <c r="A1125" t="n">
        <v>36</v>
      </c>
      <c r="B1125" t="n">
        <v>40</v>
      </c>
      <c r="C1125">
        <f>SQRT((Scale_PCA_Mechanics!G37-Scale_PCA_Mechanics!G41)^2+(Scale_PCA_Mechanics!H37-Scale_PCA_Mechanics!H41)^2+(Scale_PCA_Mechanics!I37-Scale_PCA_Mechanics!I41)^2+(Scale_PCA_Mechanics!J37-Scale_PCA_Mechanics!J41)^2)</f>
        <v/>
      </c>
      <c r="D1125">
        <f>INDEX(KMeans_6_2!AA2:AA51,A1125)</f>
        <v/>
      </c>
      <c r="E1125">
        <f>INDEX(KMeans_6_2!AA2:AA51,B1125)</f>
        <v/>
      </c>
      <c r="O1125">
        <f>IF(OR(AND(D1125=1,E1125=2),AND(D1125=2,E1125=1)),C1125,"")</f>
        <v/>
      </c>
      <c r="P1125">
        <f>IF(OR(AND(D1125=1,E1125=3),AND(D1125=3,E1125=1)),C1125,"")</f>
        <v/>
      </c>
      <c r="Q1125">
        <f>IF(OR(AND(D1125=2,E1125=3),AND(D1125=3,E1125=2)),C1125,"")</f>
        <v/>
      </c>
    </row>
    <row r="1126">
      <c r="A1126" t="n">
        <v>36</v>
      </c>
      <c r="B1126" t="n">
        <v>41</v>
      </c>
      <c r="C1126">
        <f>SQRT((Scale_PCA_Mechanics!G37-Scale_PCA_Mechanics!G42)^2+(Scale_PCA_Mechanics!H37-Scale_PCA_Mechanics!H42)^2+(Scale_PCA_Mechanics!I37-Scale_PCA_Mechanics!I42)^2+(Scale_PCA_Mechanics!J37-Scale_PCA_Mechanics!J42)^2)</f>
        <v/>
      </c>
      <c r="D1126">
        <f>INDEX(KMeans_6_2!AA2:AA51,A1126)</f>
        <v/>
      </c>
      <c r="E1126">
        <f>INDEX(KMeans_6_2!AA2:AA51,B1126)</f>
        <v/>
      </c>
      <c r="O1126">
        <f>IF(OR(AND(D1126=1,E1126=2),AND(D1126=2,E1126=1)),C1126,"")</f>
        <v/>
      </c>
      <c r="P1126">
        <f>IF(OR(AND(D1126=1,E1126=3),AND(D1126=3,E1126=1)),C1126,"")</f>
        <v/>
      </c>
      <c r="Q1126">
        <f>IF(OR(AND(D1126=2,E1126=3),AND(D1126=3,E1126=2)),C1126,"")</f>
        <v/>
      </c>
    </row>
    <row r="1127">
      <c r="A1127" t="n">
        <v>36</v>
      </c>
      <c r="B1127" t="n">
        <v>42</v>
      </c>
      <c r="C1127">
        <f>SQRT((Scale_PCA_Mechanics!G37-Scale_PCA_Mechanics!G43)^2+(Scale_PCA_Mechanics!H37-Scale_PCA_Mechanics!H43)^2+(Scale_PCA_Mechanics!I37-Scale_PCA_Mechanics!I43)^2+(Scale_PCA_Mechanics!J37-Scale_PCA_Mechanics!J43)^2)</f>
        <v/>
      </c>
      <c r="D1127">
        <f>INDEX(KMeans_6_2!AA2:AA51,A1127)</f>
        <v/>
      </c>
      <c r="E1127">
        <f>INDEX(KMeans_6_2!AA2:AA51,B1127)</f>
        <v/>
      </c>
      <c r="O1127">
        <f>IF(OR(AND(D1127=1,E1127=2),AND(D1127=2,E1127=1)),C1127,"")</f>
        <v/>
      </c>
      <c r="P1127">
        <f>IF(OR(AND(D1127=1,E1127=3),AND(D1127=3,E1127=1)),C1127,"")</f>
        <v/>
      </c>
      <c r="Q1127">
        <f>IF(OR(AND(D1127=2,E1127=3),AND(D1127=3,E1127=2)),C1127,"")</f>
        <v/>
      </c>
    </row>
    <row r="1128">
      <c r="A1128" t="n">
        <v>36</v>
      </c>
      <c r="B1128" t="n">
        <v>43</v>
      </c>
      <c r="C1128">
        <f>SQRT((Scale_PCA_Mechanics!G37-Scale_PCA_Mechanics!G44)^2+(Scale_PCA_Mechanics!H37-Scale_PCA_Mechanics!H44)^2+(Scale_PCA_Mechanics!I37-Scale_PCA_Mechanics!I44)^2+(Scale_PCA_Mechanics!J37-Scale_PCA_Mechanics!J44)^2)</f>
        <v/>
      </c>
      <c r="D1128">
        <f>INDEX(KMeans_6_2!AA2:AA51,A1128)</f>
        <v/>
      </c>
      <c r="E1128">
        <f>INDEX(KMeans_6_2!AA2:AA51,B1128)</f>
        <v/>
      </c>
      <c r="O1128">
        <f>IF(OR(AND(D1128=1,E1128=2),AND(D1128=2,E1128=1)),C1128,"")</f>
        <v/>
      </c>
      <c r="P1128">
        <f>IF(OR(AND(D1128=1,E1128=3),AND(D1128=3,E1128=1)),C1128,"")</f>
        <v/>
      </c>
      <c r="Q1128">
        <f>IF(OR(AND(D1128=2,E1128=3),AND(D1128=3,E1128=2)),C1128,"")</f>
        <v/>
      </c>
    </row>
    <row r="1129">
      <c r="A1129" t="n">
        <v>36</v>
      </c>
      <c r="B1129" t="n">
        <v>44</v>
      </c>
      <c r="C1129">
        <f>SQRT((Scale_PCA_Mechanics!G37-Scale_PCA_Mechanics!G45)^2+(Scale_PCA_Mechanics!H37-Scale_PCA_Mechanics!H45)^2+(Scale_PCA_Mechanics!I37-Scale_PCA_Mechanics!I45)^2+(Scale_PCA_Mechanics!J37-Scale_PCA_Mechanics!J45)^2)</f>
        <v/>
      </c>
      <c r="D1129">
        <f>INDEX(KMeans_6_2!AA2:AA51,A1129)</f>
        <v/>
      </c>
      <c r="E1129">
        <f>INDEX(KMeans_6_2!AA2:AA51,B1129)</f>
        <v/>
      </c>
      <c r="O1129">
        <f>IF(OR(AND(D1129=1,E1129=2),AND(D1129=2,E1129=1)),C1129,"")</f>
        <v/>
      </c>
      <c r="P1129">
        <f>IF(OR(AND(D1129=1,E1129=3),AND(D1129=3,E1129=1)),C1129,"")</f>
        <v/>
      </c>
      <c r="Q1129">
        <f>IF(OR(AND(D1129=2,E1129=3),AND(D1129=3,E1129=2)),C1129,"")</f>
        <v/>
      </c>
    </row>
    <row r="1130">
      <c r="A1130" t="n">
        <v>36</v>
      </c>
      <c r="B1130" t="n">
        <v>45</v>
      </c>
      <c r="C1130">
        <f>SQRT((Scale_PCA_Mechanics!G37-Scale_PCA_Mechanics!G46)^2+(Scale_PCA_Mechanics!H37-Scale_PCA_Mechanics!H46)^2+(Scale_PCA_Mechanics!I37-Scale_PCA_Mechanics!I46)^2+(Scale_PCA_Mechanics!J37-Scale_PCA_Mechanics!J46)^2)</f>
        <v/>
      </c>
      <c r="D1130">
        <f>INDEX(KMeans_6_2!AA2:AA51,A1130)</f>
        <v/>
      </c>
      <c r="E1130">
        <f>INDEX(KMeans_6_2!AA2:AA51,B1130)</f>
        <v/>
      </c>
      <c r="O1130">
        <f>IF(OR(AND(D1130=1,E1130=2),AND(D1130=2,E1130=1)),C1130,"")</f>
        <v/>
      </c>
      <c r="P1130">
        <f>IF(OR(AND(D1130=1,E1130=3),AND(D1130=3,E1130=1)),C1130,"")</f>
        <v/>
      </c>
      <c r="Q1130">
        <f>IF(OR(AND(D1130=2,E1130=3),AND(D1130=3,E1130=2)),C1130,"")</f>
        <v/>
      </c>
    </row>
    <row r="1131">
      <c r="A1131" t="n">
        <v>36</v>
      </c>
      <c r="B1131" t="n">
        <v>46</v>
      </c>
      <c r="C1131">
        <f>SQRT((Scale_PCA_Mechanics!G37-Scale_PCA_Mechanics!G47)^2+(Scale_PCA_Mechanics!H37-Scale_PCA_Mechanics!H47)^2+(Scale_PCA_Mechanics!I37-Scale_PCA_Mechanics!I47)^2+(Scale_PCA_Mechanics!J37-Scale_PCA_Mechanics!J47)^2)</f>
        <v/>
      </c>
      <c r="D1131">
        <f>INDEX(KMeans_6_2!AA2:AA51,A1131)</f>
        <v/>
      </c>
      <c r="E1131">
        <f>INDEX(KMeans_6_2!AA2:AA51,B1131)</f>
        <v/>
      </c>
      <c r="O1131">
        <f>IF(OR(AND(D1131=1,E1131=2),AND(D1131=2,E1131=1)),C1131,"")</f>
        <v/>
      </c>
      <c r="P1131">
        <f>IF(OR(AND(D1131=1,E1131=3),AND(D1131=3,E1131=1)),C1131,"")</f>
        <v/>
      </c>
      <c r="Q1131">
        <f>IF(OR(AND(D1131=2,E1131=3),AND(D1131=3,E1131=2)),C1131,"")</f>
        <v/>
      </c>
    </row>
    <row r="1132">
      <c r="A1132" t="n">
        <v>36</v>
      </c>
      <c r="B1132" t="n">
        <v>47</v>
      </c>
      <c r="C1132">
        <f>SQRT((Scale_PCA_Mechanics!G37-Scale_PCA_Mechanics!G48)^2+(Scale_PCA_Mechanics!H37-Scale_PCA_Mechanics!H48)^2+(Scale_PCA_Mechanics!I37-Scale_PCA_Mechanics!I48)^2+(Scale_PCA_Mechanics!J37-Scale_PCA_Mechanics!J48)^2)</f>
        <v/>
      </c>
      <c r="D1132">
        <f>INDEX(KMeans_6_2!AA2:AA51,A1132)</f>
        <v/>
      </c>
      <c r="E1132">
        <f>INDEX(KMeans_6_2!AA2:AA51,B1132)</f>
        <v/>
      </c>
      <c r="O1132">
        <f>IF(OR(AND(D1132=1,E1132=2),AND(D1132=2,E1132=1)),C1132,"")</f>
        <v/>
      </c>
      <c r="P1132">
        <f>IF(OR(AND(D1132=1,E1132=3),AND(D1132=3,E1132=1)),C1132,"")</f>
        <v/>
      </c>
      <c r="Q1132">
        <f>IF(OR(AND(D1132=2,E1132=3),AND(D1132=3,E1132=2)),C1132,"")</f>
        <v/>
      </c>
    </row>
    <row r="1133">
      <c r="A1133" t="n">
        <v>36</v>
      </c>
      <c r="B1133" t="n">
        <v>48</v>
      </c>
      <c r="C1133">
        <f>SQRT((Scale_PCA_Mechanics!G37-Scale_PCA_Mechanics!G49)^2+(Scale_PCA_Mechanics!H37-Scale_PCA_Mechanics!H49)^2+(Scale_PCA_Mechanics!I37-Scale_PCA_Mechanics!I49)^2+(Scale_PCA_Mechanics!J37-Scale_PCA_Mechanics!J49)^2)</f>
        <v/>
      </c>
      <c r="D1133">
        <f>INDEX(KMeans_6_2!AA2:AA51,A1133)</f>
        <v/>
      </c>
      <c r="E1133">
        <f>INDEX(KMeans_6_2!AA2:AA51,B1133)</f>
        <v/>
      </c>
      <c r="O1133">
        <f>IF(OR(AND(D1133=1,E1133=2),AND(D1133=2,E1133=1)),C1133,"")</f>
        <v/>
      </c>
      <c r="P1133">
        <f>IF(OR(AND(D1133=1,E1133=3),AND(D1133=3,E1133=1)),C1133,"")</f>
        <v/>
      </c>
      <c r="Q1133">
        <f>IF(OR(AND(D1133=2,E1133=3),AND(D1133=3,E1133=2)),C1133,"")</f>
        <v/>
      </c>
    </row>
    <row r="1134">
      <c r="A1134" t="n">
        <v>36</v>
      </c>
      <c r="B1134" t="n">
        <v>49</v>
      </c>
      <c r="C1134">
        <f>SQRT((Scale_PCA_Mechanics!G37-Scale_PCA_Mechanics!G50)^2+(Scale_PCA_Mechanics!H37-Scale_PCA_Mechanics!H50)^2+(Scale_PCA_Mechanics!I37-Scale_PCA_Mechanics!I50)^2+(Scale_PCA_Mechanics!J37-Scale_PCA_Mechanics!J50)^2)</f>
        <v/>
      </c>
      <c r="D1134">
        <f>INDEX(KMeans_6_2!AA2:AA51,A1134)</f>
        <v/>
      </c>
      <c r="E1134">
        <f>INDEX(KMeans_6_2!AA2:AA51,B1134)</f>
        <v/>
      </c>
      <c r="O1134">
        <f>IF(OR(AND(D1134=1,E1134=2),AND(D1134=2,E1134=1)),C1134,"")</f>
        <v/>
      </c>
      <c r="P1134">
        <f>IF(OR(AND(D1134=1,E1134=3),AND(D1134=3,E1134=1)),C1134,"")</f>
        <v/>
      </c>
      <c r="Q1134">
        <f>IF(OR(AND(D1134=2,E1134=3),AND(D1134=3,E1134=2)),C1134,"")</f>
        <v/>
      </c>
    </row>
    <row r="1135">
      <c r="A1135" t="n">
        <v>36</v>
      </c>
      <c r="B1135" t="n">
        <v>50</v>
      </c>
      <c r="C1135">
        <f>SQRT((Scale_PCA_Mechanics!G37-Scale_PCA_Mechanics!G51)^2+(Scale_PCA_Mechanics!H37-Scale_PCA_Mechanics!H51)^2+(Scale_PCA_Mechanics!I37-Scale_PCA_Mechanics!I51)^2+(Scale_PCA_Mechanics!J37-Scale_PCA_Mechanics!J51)^2)</f>
        <v/>
      </c>
      <c r="D1135">
        <f>INDEX(KMeans_6_2!AA2:AA51,A1135)</f>
        <v/>
      </c>
      <c r="E1135">
        <f>INDEX(KMeans_6_2!AA2:AA51,B1135)</f>
        <v/>
      </c>
      <c r="O1135">
        <f>IF(OR(AND(D1135=1,E1135=2),AND(D1135=2,E1135=1)),C1135,"")</f>
        <v/>
      </c>
      <c r="P1135">
        <f>IF(OR(AND(D1135=1,E1135=3),AND(D1135=3,E1135=1)),C1135,"")</f>
        <v/>
      </c>
      <c r="Q1135">
        <f>IF(OR(AND(D1135=2,E1135=3),AND(D1135=3,E1135=2)),C1135,"")</f>
        <v/>
      </c>
    </row>
    <row r="1136">
      <c r="A1136" t="n">
        <v>37</v>
      </c>
      <c r="B1136" t="n">
        <v>38</v>
      </c>
      <c r="C1136">
        <f>SQRT((Scale_PCA_Mechanics!G38-Scale_PCA_Mechanics!G39)^2+(Scale_PCA_Mechanics!H38-Scale_PCA_Mechanics!H39)^2+(Scale_PCA_Mechanics!I38-Scale_PCA_Mechanics!I39)^2+(Scale_PCA_Mechanics!J38-Scale_PCA_Mechanics!J39)^2)</f>
        <v/>
      </c>
      <c r="D1136">
        <f>INDEX(KMeans_6_2!AA2:AA51,A1136)</f>
        <v/>
      </c>
      <c r="E1136">
        <f>INDEX(KMeans_6_2!AA2:AA51,B1136)</f>
        <v/>
      </c>
      <c r="O1136">
        <f>IF(OR(AND(D1136=1,E1136=2),AND(D1136=2,E1136=1)),C1136,"")</f>
        <v/>
      </c>
      <c r="P1136">
        <f>IF(OR(AND(D1136=1,E1136=3),AND(D1136=3,E1136=1)),C1136,"")</f>
        <v/>
      </c>
      <c r="Q1136">
        <f>IF(OR(AND(D1136=2,E1136=3),AND(D1136=3,E1136=2)),C1136,"")</f>
        <v/>
      </c>
    </row>
    <row r="1137">
      <c r="A1137" t="n">
        <v>37</v>
      </c>
      <c r="B1137" t="n">
        <v>39</v>
      </c>
      <c r="C1137">
        <f>SQRT((Scale_PCA_Mechanics!G38-Scale_PCA_Mechanics!G40)^2+(Scale_PCA_Mechanics!H38-Scale_PCA_Mechanics!H40)^2+(Scale_PCA_Mechanics!I38-Scale_PCA_Mechanics!I40)^2+(Scale_PCA_Mechanics!J38-Scale_PCA_Mechanics!J40)^2)</f>
        <v/>
      </c>
      <c r="D1137">
        <f>INDEX(KMeans_6_2!AA2:AA51,A1137)</f>
        <v/>
      </c>
      <c r="E1137">
        <f>INDEX(KMeans_6_2!AA2:AA51,B1137)</f>
        <v/>
      </c>
      <c r="O1137">
        <f>IF(OR(AND(D1137=1,E1137=2),AND(D1137=2,E1137=1)),C1137,"")</f>
        <v/>
      </c>
      <c r="P1137">
        <f>IF(OR(AND(D1137=1,E1137=3),AND(D1137=3,E1137=1)),C1137,"")</f>
        <v/>
      </c>
      <c r="Q1137">
        <f>IF(OR(AND(D1137=2,E1137=3),AND(D1137=3,E1137=2)),C1137,"")</f>
        <v/>
      </c>
    </row>
    <row r="1138">
      <c r="A1138" t="n">
        <v>37</v>
      </c>
      <c r="B1138" t="n">
        <v>40</v>
      </c>
      <c r="C1138">
        <f>SQRT((Scale_PCA_Mechanics!G38-Scale_PCA_Mechanics!G41)^2+(Scale_PCA_Mechanics!H38-Scale_PCA_Mechanics!H41)^2+(Scale_PCA_Mechanics!I38-Scale_PCA_Mechanics!I41)^2+(Scale_PCA_Mechanics!J38-Scale_PCA_Mechanics!J41)^2)</f>
        <v/>
      </c>
      <c r="D1138">
        <f>INDEX(KMeans_6_2!AA2:AA51,A1138)</f>
        <v/>
      </c>
      <c r="E1138">
        <f>INDEX(KMeans_6_2!AA2:AA51,B1138)</f>
        <v/>
      </c>
      <c r="O1138">
        <f>IF(OR(AND(D1138=1,E1138=2),AND(D1138=2,E1138=1)),C1138,"")</f>
        <v/>
      </c>
      <c r="P1138">
        <f>IF(OR(AND(D1138=1,E1138=3),AND(D1138=3,E1138=1)),C1138,"")</f>
        <v/>
      </c>
      <c r="Q1138">
        <f>IF(OR(AND(D1138=2,E1138=3),AND(D1138=3,E1138=2)),C1138,"")</f>
        <v/>
      </c>
    </row>
    <row r="1139">
      <c r="A1139" t="n">
        <v>37</v>
      </c>
      <c r="B1139" t="n">
        <v>41</v>
      </c>
      <c r="C1139">
        <f>SQRT((Scale_PCA_Mechanics!G38-Scale_PCA_Mechanics!G42)^2+(Scale_PCA_Mechanics!H38-Scale_PCA_Mechanics!H42)^2+(Scale_PCA_Mechanics!I38-Scale_PCA_Mechanics!I42)^2+(Scale_PCA_Mechanics!J38-Scale_PCA_Mechanics!J42)^2)</f>
        <v/>
      </c>
      <c r="D1139">
        <f>INDEX(KMeans_6_2!AA2:AA51,A1139)</f>
        <v/>
      </c>
      <c r="E1139">
        <f>INDEX(KMeans_6_2!AA2:AA51,B1139)</f>
        <v/>
      </c>
      <c r="O1139">
        <f>IF(OR(AND(D1139=1,E1139=2),AND(D1139=2,E1139=1)),C1139,"")</f>
        <v/>
      </c>
      <c r="P1139">
        <f>IF(OR(AND(D1139=1,E1139=3),AND(D1139=3,E1139=1)),C1139,"")</f>
        <v/>
      </c>
      <c r="Q1139">
        <f>IF(OR(AND(D1139=2,E1139=3),AND(D1139=3,E1139=2)),C1139,"")</f>
        <v/>
      </c>
    </row>
    <row r="1140">
      <c r="A1140" t="n">
        <v>37</v>
      </c>
      <c r="B1140" t="n">
        <v>42</v>
      </c>
      <c r="C1140">
        <f>SQRT((Scale_PCA_Mechanics!G38-Scale_PCA_Mechanics!G43)^2+(Scale_PCA_Mechanics!H38-Scale_PCA_Mechanics!H43)^2+(Scale_PCA_Mechanics!I38-Scale_PCA_Mechanics!I43)^2+(Scale_PCA_Mechanics!J38-Scale_PCA_Mechanics!J43)^2)</f>
        <v/>
      </c>
      <c r="D1140">
        <f>INDEX(KMeans_6_2!AA2:AA51,A1140)</f>
        <v/>
      </c>
      <c r="E1140">
        <f>INDEX(KMeans_6_2!AA2:AA51,B1140)</f>
        <v/>
      </c>
      <c r="O1140">
        <f>IF(OR(AND(D1140=1,E1140=2),AND(D1140=2,E1140=1)),C1140,"")</f>
        <v/>
      </c>
      <c r="P1140">
        <f>IF(OR(AND(D1140=1,E1140=3),AND(D1140=3,E1140=1)),C1140,"")</f>
        <v/>
      </c>
      <c r="Q1140">
        <f>IF(OR(AND(D1140=2,E1140=3),AND(D1140=3,E1140=2)),C1140,"")</f>
        <v/>
      </c>
    </row>
    <row r="1141">
      <c r="A1141" t="n">
        <v>37</v>
      </c>
      <c r="B1141" t="n">
        <v>43</v>
      </c>
      <c r="C1141">
        <f>SQRT((Scale_PCA_Mechanics!G38-Scale_PCA_Mechanics!G44)^2+(Scale_PCA_Mechanics!H38-Scale_PCA_Mechanics!H44)^2+(Scale_PCA_Mechanics!I38-Scale_PCA_Mechanics!I44)^2+(Scale_PCA_Mechanics!J38-Scale_PCA_Mechanics!J44)^2)</f>
        <v/>
      </c>
      <c r="D1141">
        <f>INDEX(KMeans_6_2!AA2:AA51,A1141)</f>
        <v/>
      </c>
      <c r="E1141">
        <f>INDEX(KMeans_6_2!AA2:AA51,B1141)</f>
        <v/>
      </c>
      <c r="O1141">
        <f>IF(OR(AND(D1141=1,E1141=2),AND(D1141=2,E1141=1)),C1141,"")</f>
        <v/>
      </c>
      <c r="P1141">
        <f>IF(OR(AND(D1141=1,E1141=3),AND(D1141=3,E1141=1)),C1141,"")</f>
        <v/>
      </c>
      <c r="Q1141">
        <f>IF(OR(AND(D1141=2,E1141=3),AND(D1141=3,E1141=2)),C1141,"")</f>
        <v/>
      </c>
    </row>
    <row r="1142">
      <c r="A1142" t="n">
        <v>37</v>
      </c>
      <c r="B1142" t="n">
        <v>44</v>
      </c>
      <c r="C1142">
        <f>SQRT((Scale_PCA_Mechanics!G38-Scale_PCA_Mechanics!G45)^2+(Scale_PCA_Mechanics!H38-Scale_PCA_Mechanics!H45)^2+(Scale_PCA_Mechanics!I38-Scale_PCA_Mechanics!I45)^2+(Scale_PCA_Mechanics!J38-Scale_PCA_Mechanics!J45)^2)</f>
        <v/>
      </c>
      <c r="D1142">
        <f>INDEX(KMeans_6_2!AA2:AA51,A1142)</f>
        <v/>
      </c>
      <c r="E1142">
        <f>INDEX(KMeans_6_2!AA2:AA51,B1142)</f>
        <v/>
      </c>
      <c r="O1142">
        <f>IF(OR(AND(D1142=1,E1142=2),AND(D1142=2,E1142=1)),C1142,"")</f>
        <v/>
      </c>
      <c r="P1142">
        <f>IF(OR(AND(D1142=1,E1142=3),AND(D1142=3,E1142=1)),C1142,"")</f>
        <v/>
      </c>
      <c r="Q1142">
        <f>IF(OR(AND(D1142=2,E1142=3),AND(D1142=3,E1142=2)),C1142,"")</f>
        <v/>
      </c>
    </row>
    <row r="1143">
      <c r="A1143" t="n">
        <v>37</v>
      </c>
      <c r="B1143" t="n">
        <v>45</v>
      </c>
      <c r="C1143">
        <f>SQRT((Scale_PCA_Mechanics!G38-Scale_PCA_Mechanics!G46)^2+(Scale_PCA_Mechanics!H38-Scale_PCA_Mechanics!H46)^2+(Scale_PCA_Mechanics!I38-Scale_PCA_Mechanics!I46)^2+(Scale_PCA_Mechanics!J38-Scale_PCA_Mechanics!J46)^2)</f>
        <v/>
      </c>
      <c r="D1143">
        <f>INDEX(KMeans_6_2!AA2:AA51,A1143)</f>
        <v/>
      </c>
      <c r="E1143">
        <f>INDEX(KMeans_6_2!AA2:AA51,B1143)</f>
        <v/>
      </c>
      <c r="O1143">
        <f>IF(OR(AND(D1143=1,E1143=2),AND(D1143=2,E1143=1)),C1143,"")</f>
        <v/>
      </c>
      <c r="P1143">
        <f>IF(OR(AND(D1143=1,E1143=3),AND(D1143=3,E1143=1)),C1143,"")</f>
        <v/>
      </c>
      <c r="Q1143">
        <f>IF(OR(AND(D1143=2,E1143=3),AND(D1143=3,E1143=2)),C1143,"")</f>
        <v/>
      </c>
    </row>
    <row r="1144">
      <c r="A1144" t="n">
        <v>37</v>
      </c>
      <c r="B1144" t="n">
        <v>46</v>
      </c>
      <c r="C1144">
        <f>SQRT((Scale_PCA_Mechanics!G38-Scale_PCA_Mechanics!G47)^2+(Scale_PCA_Mechanics!H38-Scale_PCA_Mechanics!H47)^2+(Scale_PCA_Mechanics!I38-Scale_PCA_Mechanics!I47)^2+(Scale_PCA_Mechanics!J38-Scale_PCA_Mechanics!J47)^2)</f>
        <v/>
      </c>
      <c r="D1144">
        <f>INDEX(KMeans_6_2!AA2:AA51,A1144)</f>
        <v/>
      </c>
      <c r="E1144">
        <f>INDEX(KMeans_6_2!AA2:AA51,B1144)</f>
        <v/>
      </c>
      <c r="O1144">
        <f>IF(OR(AND(D1144=1,E1144=2),AND(D1144=2,E1144=1)),C1144,"")</f>
        <v/>
      </c>
      <c r="P1144">
        <f>IF(OR(AND(D1144=1,E1144=3),AND(D1144=3,E1144=1)),C1144,"")</f>
        <v/>
      </c>
      <c r="Q1144">
        <f>IF(OR(AND(D1144=2,E1144=3),AND(D1144=3,E1144=2)),C1144,"")</f>
        <v/>
      </c>
    </row>
    <row r="1145">
      <c r="A1145" t="n">
        <v>37</v>
      </c>
      <c r="B1145" t="n">
        <v>47</v>
      </c>
      <c r="C1145">
        <f>SQRT((Scale_PCA_Mechanics!G38-Scale_PCA_Mechanics!G48)^2+(Scale_PCA_Mechanics!H38-Scale_PCA_Mechanics!H48)^2+(Scale_PCA_Mechanics!I38-Scale_PCA_Mechanics!I48)^2+(Scale_PCA_Mechanics!J38-Scale_PCA_Mechanics!J48)^2)</f>
        <v/>
      </c>
      <c r="D1145">
        <f>INDEX(KMeans_6_2!AA2:AA51,A1145)</f>
        <v/>
      </c>
      <c r="E1145">
        <f>INDEX(KMeans_6_2!AA2:AA51,B1145)</f>
        <v/>
      </c>
      <c r="O1145">
        <f>IF(OR(AND(D1145=1,E1145=2),AND(D1145=2,E1145=1)),C1145,"")</f>
        <v/>
      </c>
      <c r="P1145">
        <f>IF(OR(AND(D1145=1,E1145=3),AND(D1145=3,E1145=1)),C1145,"")</f>
        <v/>
      </c>
      <c r="Q1145">
        <f>IF(OR(AND(D1145=2,E1145=3),AND(D1145=3,E1145=2)),C1145,"")</f>
        <v/>
      </c>
    </row>
    <row r="1146">
      <c r="A1146" t="n">
        <v>37</v>
      </c>
      <c r="B1146" t="n">
        <v>48</v>
      </c>
      <c r="C1146">
        <f>SQRT((Scale_PCA_Mechanics!G38-Scale_PCA_Mechanics!G49)^2+(Scale_PCA_Mechanics!H38-Scale_PCA_Mechanics!H49)^2+(Scale_PCA_Mechanics!I38-Scale_PCA_Mechanics!I49)^2+(Scale_PCA_Mechanics!J38-Scale_PCA_Mechanics!J49)^2)</f>
        <v/>
      </c>
      <c r="D1146">
        <f>INDEX(KMeans_6_2!AA2:AA51,A1146)</f>
        <v/>
      </c>
      <c r="E1146">
        <f>INDEX(KMeans_6_2!AA2:AA51,B1146)</f>
        <v/>
      </c>
      <c r="O1146">
        <f>IF(OR(AND(D1146=1,E1146=2),AND(D1146=2,E1146=1)),C1146,"")</f>
        <v/>
      </c>
      <c r="P1146">
        <f>IF(OR(AND(D1146=1,E1146=3),AND(D1146=3,E1146=1)),C1146,"")</f>
        <v/>
      </c>
      <c r="Q1146">
        <f>IF(OR(AND(D1146=2,E1146=3),AND(D1146=3,E1146=2)),C1146,"")</f>
        <v/>
      </c>
    </row>
    <row r="1147">
      <c r="A1147" t="n">
        <v>37</v>
      </c>
      <c r="B1147" t="n">
        <v>49</v>
      </c>
      <c r="C1147">
        <f>SQRT((Scale_PCA_Mechanics!G38-Scale_PCA_Mechanics!G50)^2+(Scale_PCA_Mechanics!H38-Scale_PCA_Mechanics!H50)^2+(Scale_PCA_Mechanics!I38-Scale_PCA_Mechanics!I50)^2+(Scale_PCA_Mechanics!J38-Scale_PCA_Mechanics!J50)^2)</f>
        <v/>
      </c>
      <c r="D1147">
        <f>INDEX(KMeans_6_2!AA2:AA51,A1147)</f>
        <v/>
      </c>
      <c r="E1147">
        <f>INDEX(KMeans_6_2!AA2:AA51,B1147)</f>
        <v/>
      </c>
      <c r="O1147">
        <f>IF(OR(AND(D1147=1,E1147=2),AND(D1147=2,E1147=1)),C1147,"")</f>
        <v/>
      </c>
      <c r="P1147">
        <f>IF(OR(AND(D1147=1,E1147=3),AND(D1147=3,E1147=1)),C1147,"")</f>
        <v/>
      </c>
      <c r="Q1147">
        <f>IF(OR(AND(D1147=2,E1147=3),AND(D1147=3,E1147=2)),C1147,"")</f>
        <v/>
      </c>
    </row>
    <row r="1148">
      <c r="A1148" t="n">
        <v>37</v>
      </c>
      <c r="B1148" t="n">
        <v>50</v>
      </c>
      <c r="C1148">
        <f>SQRT((Scale_PCA_Mechanics!G38-Scale_PCA_Mechanics!G51)^2+(Scale_PCA_Mechanics!H38-Scale_PCA_Mechanics!H51)^2+(Scale_PCA_Mechanics!I38-Scale_PCA_Mechanics!I51)^2+(Scale_PCA_Mechanics!J38-Scale_PCA_Mechanics!J51)^2)</f>
        <v/>
      </c>
      <c r="D1148">
        <f>INDEX(KMeans_6_2!AA2:AA51,A1148)</f>
        <v/>
      </c>
      <c r="E1148">
        <f>INDEX(KMeans_6_2!AA2:AA51,B1148)</f>
        <v/>
      </c>
      <c r="O1148">
        <f>IF(OR(AND(D1148=1,E1148=2),AND(D1148=2,E1148=1)),C1148,"")</f>
        <v/>
      </c>
      <c r="P1148">
        <f>IF(OR(AND(D1148=1,E1148=3),AND(D1148=3,E1148=1)),C1148,"")</f>
        <v/>
      </c>
      <c r="Q1148">
        <f>IF(OR(AND(D1148=2,E1148=3),AND(D1148=3,E1148=2)),C1148,"")</f>
        <v/>
      </c>
    </row>
    <row r="1149">
      <c r="A1149" t="n">
        <v>38</v>
      </c>
      <c r="B1149" t="n">
        <v>39</v>
      </c>
      <c r="C1149">
        <f>SQRT((Scale_PCA_Mechanics!G39-Scale_PCA_Mechanics!G40)^2+(Scale_PCA_Mechanics!H39-Scale_PCA_Mechanics!H40)^2+(Scale_PCA_Mechanics!I39-Scale_PCA_Mechanics!I40)^2+(Scale_PCA_Mechanics!J39-Scale_PCA_Mechanics!J40)^2)</f>
        <v/>
      </c>
      <c r="D1149">
        <f>INDEX(KMeans_6_2!AA2:AA51,A1149)</f>
        <v/>
      </c>
      <c r="E1149">
        <f>INDEX(KMeans_6_2!AA2:AA51,B1149)</f>
        <v/>
      </c>
      <c r="O1149">
        <f>IF(OR(AND(D1149=1,E1149=2),AND(D1149=2,E1149=1)),C1149,"")</f>
        <v/>
      </c>
      <c r="P1149">
        <f>IF(OR(AND(D1149=1,E1149=3),AND(D1149=3,E1149=1)),C1149,"")</f>
        <v/>
      </c>
      <c r="Q1149">
        <f>IF(OR(AND(D1149=2,E1149=3),AND(D1149=3,E1149=2)),C1149,"")</f>
        <v/>
      </c>
    </row>
    <row r="1150">
      <c r="A1150" t="n">
        <v>38</v>
      </c>
      <c r="B1150" t="n">
        <v>40</v>
      </c>
      <c r="C1150">
        <f>SQRT((Scale_PCA_Mechanics!G39-Scale_PCA_Mechanics!G41)^2+(Scale_PCA_Mechanics!H39-Scale_PCA_Mechanics!H41)^2+(Scale_PCA_Mechanics!I39-Scale_PCA_Mechanics!I41)^2+(Scale_PCA_Mechanics!J39-Scale_PCA_Mechanics!J41)^2)</f>
        <v/>
      </c>
      <c r="D1150">
        <f>INDEX(KMeans_6_2!AA2:AA51,A1150)</f>
        <v/>
      </c>
      <c r="E1150">
        <f>INDEX(KMeans_6_2!AA2:AA51,B1150)</f>
        <v/>
      </c>
      <c r="O1150">
        <f>IF(OR(AND(D1150=1,E1150=2),AND(D1150=2,E1150=1)),C1150,"")</f>
        <v/>
      </c>
      <c r="P1150">
        <f>IF(OR(AND(D1150=1,E1150=3),AND(D1150=3,E1150=1)),C1150,"")</f>
        <v/>
      </c>
      <c r="Q1150">
        <f>IF(OR(AND(D1150=2,E1150=3),AND(D1150=3,E1150=2)),C1150,"")</f>
        <v/>
      </c>
    </row>
    <row r="1151">
      <c r="A1151" t="n">
        <v>38</v>
      </c>
      <c r="B1151" t="n">
        <v>41</v>
      </c>
      <c r="C1151">
        <f>SQRT((Scale_PCA_Mechanics!G39-Scale_PCA_Mechanics!G42)^2+(Scale_PCA_Mechanics!H39-Scale_PCA_Mechanics!H42)^2+(Scale_PCA_Mechanics!I39-Scale_PCA_Mechanics!I42)^2+(Scale_PCA_Mechanics!J39-Scale_PCA_Mechanics!J42)^2)</f>
        <v/>
      </c>
      <c r="D1151">
        <f>INDEX(KMeans_6_2!AA2:AA51,A1151)</f>
        <v/>
      </c>
      <c r="E1151">
        <f>INDEX(KMeans_6_2!AA2:AA51,B1151)</f>
        <v/>
      </c>
      <c r="O1151">
        <f>IF(OR(AND(D1151=1,E1151=2),AND(D1151=2,E1151=1)),C1151,"")</f>
        <v/>
      </c>
      <c r="P1151">
        <f>IF(OR(AND(D1151=1,E1151=3),AND(D1151=3,E1151=1)),C1151,"")</f>
        <v/>
      </c>
      <c r="Q1151">
        <f>IF(OR(AND(D1151=2,E1151=3),AND(D1151=3,E1151=2)),C1151,"")</f>
        <v/>
      </c>
    </row>
    <row r="1152">
      <c r="A1152" t="n">
        <v>38</v>
      </c>
      <c r="B1152" t="n">
        <v>42</v>
      </c>
      <c r="C1152">
        <f>SQRT((Scale_PCA_Mechanics!G39-Scale_PCA_Mechanics!G43)^2+(Scale_PCA_Mechanics!H39-Scale_PCA_Mechanics!H43)^2+(Scale_PCA_Mechanics!I39-Scale_PCA_Mechanics!I43)^2+(Scale_PCA_Mechanics!J39-Scale_PCA_Mechanics!J43)^2)</f>
        <v/>
      </c>
      <c r="D1152">
        <f>INDEX(KMeans_6_2!AA2:AA51,A1152)</f>
        <v/>
      </c>
      <c r="E1152">
        <f>INDEX(KMeans_6_2!AA2:AA51,B1152)</f>
        <v/>
      </c>
      <c r="O1152">
        <f>IF(OR(AND(D1152=1,E1152=2),AND(D1152=2,E1152=1)),C1152,"")</f>
        <v/>
      </c>
      <c r="P1152">
        <f>IF(OR(AND(D1152=1,E1152=3),AND(D1152=3,E1152=1)),C1152,"")</f>
        <v/>
      </c>
      <c r="Q1152">
        <f>IF(OR(AND(D1152=2,E1152=3),AND(D1152=3,E1152=2)),C1152,"")</f>
        <v/>
      </c>
    </row>
    <row r="1153">
      <c r="A1153" t="n">
        <v>38</v>
      </c>
      <c r="B1153" t="n">
        <v>43</v>
      </c>
      <c r="C1153">
        <f>SQRT((Scale_PCA_Mechanics!G39-Scale_PCA_Mechanics!G44)^2+(Scale_PCA_Mechanics!H39-Scale_PCA_Mechanics!H44)^2+(Scale_PCA_Mechanics!I39-Scale_PCA_Mechanics!I44)^2+(Scale_PCA_Mechanics!J39-Scale_PCA_Mechanics!J44)^2)</f>
        <v/>
      </c>
      <c r="D1153">
        <f>INDEX(KMeans_6_2!AA2:AA51,A1153)</f>
        <v/>
      </c>
      <c r="E1153">
        <f>INDEX(KMeans_6_2!AA2:AA51,B1153)</f>
        <v/>
      </c>
      <c r="O1153">
        <f>IF(OR(AND(D1153=1,E1153=2),AND(D1153=2,E1153=1)),C1153,"")</f>
        <v/>
      </c>
      <c r="P1153">
        <f>IF(OR(AND(D1153=1,E1153=3),AND(D1153=3,E1153=1)),C1153,"")</f>
        <v/>
      </c>
      <c r="Q1153">
        <f>IF(OR(AND(D1153=2,E1153=3),AND(D1153=3,E1153=2)),C1153,"")</f>
        <v/>
      </c>
    </row>
    <row r="1154">
      <c r="A1154" t="n">
        <v>38</v>
      </c>
      <c r="B1154" t="n">
        <v>44</v>
      </c>
      <c r="C1154">
        <f>SQRT((Scale_PCA_Mechanics!G39-Scale_PCA_Mechanics!G45)^2+(Scale_PCA_Mechanics!H39-Scale_PCA_Mechanics!H45)^2+(Scale_PCA_Mechanics!I39-Scale_PCA_Mechanics!I45)^2+(Scale_PCA_Mechanics!J39-Scale_PCA_Mechanics!J45)^2)</f>
        <v/>
      </c>
      <c r="D1154">
        <f>INDEX(KMeans_6_2!AA2:AA51,A1154)</f>
        <v/>
      </c>
      <c r="E1154">
        <f>INDEX(KMeans_6_2!AA2:AA51,B1154)</f>
        <v/>
      </c>
      <c r="O1154">
        <f>IF(OR(AND(D1154=1,E1154=2),AND(D1154=2,E1154=1)),C1154,"")</f>
        <v/>
      </c>
      <c r="P1154">
        <f>IF(OR(AND(D1154=1,E1154=3),AND(D1154=3,E1154=1)),C1154,"")</f>
        <v/>
      </c>
      <c r="Q1154">
        <f>IF(OR(AND(D1154=2,E1154=3),AND(D1154=3,E1154=2)),C1154,"")</f>
        <v/>
      </c>
    </row>
    <row r="1155">
      <c r="A1155" t="n">
        <v>38</v>
      </c>
      <c r="B1155" t="n">
        <v>45</v>
      </c>
      <c r="C1155">
        <f>SQRT((Scale_PCA_Mechanics!G39-Scale_PCA_Mechanics!G46)^2+(Scale_PCA_Mechanics!H39-Scale_PCA_Mechanics!H46)^2+(Scale_PCA_Mechanics!I39-Scale_PCA_Mechanics!I46)^2+(Scale_PCA_Mechanics!J39-Scale_PCA_Mechanics!J46)^2)</f>
        <v/>
      </c>
      <c r="D1155">
        <f>INDEX(KMeans_6_2!AA2:AA51,A1155)</f>
        <v/>
      </c>
      <c r="E1155">
        <f>INDEX(KMeans_6_2!AA2:AA51,B1155)</f>
        <v/>
      </c>
      <c r="O1155">
        <f>IF(OR(AND(D1155=1,E1155=2),AND(D1155=2,E1155=1)),C1155,"")</f>
        <v/>
      </c>
      <c r="P1155">
        <f>IF(OR(AND(D1155=1,E1155=3),AND(D1155=3,E1155=1)),C1155,"")</f>
        <v/>
      </c>
      <c r="Q1155">
        <f>IF(OR(AND(D1155=2,E1155=3),AND(D1155=3,E1155=2)),C1155,"")</f>
        <v/>
      </c>
    </row>
    <row r="1156">
      <c r="A1156" t="n">
        <v>38</v>
      </c>
      <c r="B1156" t="n">
        <v>46</v>
      </c>
      <c r="C1156">
        <f>SQRT((Scale_PCA_Mechanics!G39-Scale_PCA_Mechanics!G47)^2+(Scale_PCA_Mechanics!H39-Scale_PCA_Mechanics!H47)^2+(Scale_PCA_Mechanics!I39-Scale_PCA_Mechanics!I47)^2+(Scale_PCA_Mechanics!J39-Scale_PCA_Mechanics!J47)^2)</f>
        <v/>
      </c>
      <c r="D1156">
        <f>INDEX(KMeans_6_2!AA2:AA51,A1156)</f>
        <v/>
      </c>
      <c r="E1156">
        <f>INDEX(KMeans_6_2!AA2:AA51,B1156)</f>
        <v/>
      </c>
      <c r="O1156">
        <f>IF(OR(AND(D1156=1,E1156=2),AND(D1156=2,E1156=1)),C1156,"")</f>
        <v/>
      </c>
      <c r="P1156">
        <f>IF(OR(AND(D1156=1,E1156=3),AND(D1156=3,E1156=1)),C1156,"")</f>
        <v/>
      </c>
      <c r="Q1156">
        <f>IF(OR(AND(D1156=2,E1156=3),AND(D1156=3,E1156=2)),C1156,"")</f>
        <v/>
      </c>
    </row>
    <row r="1157">
      <c r="A1157" t="n">
        <v>38</v>
      </c>
      <c r="B1157" t="n">
        <v>47</v>
      </c>
      <c r="C1157">
        <f>SQRT((Scale_PCA_Mechanics!G39-Scale_PCA_Mechanics!G48)^2+(Scale_PCA_Mechanics!H39-Scale_PCA_Mechanics!H48)^2+(Scale_PCA_Mechanics!I39-Scale_PCA_Mechanics!I48)^2+(Scale_PCA_Mechanics!J39-Scale_PCA_Mechanics!J48)^2)</f>
        <v/>
      </c>
      <c r="D1157">
        <f>INDEX(KMeans_6_2!AA2:AA51,A1157)</f>
        <v/>
      </c>
      <c r="E1157">
        <f>INDEX(KMeans_6_2!AA2:AA51,B1157)</f>
        <v/>
      </c>
      <c r="O1157">
        <f>IF(OR(AND(D1157=1,E1157=2),AND(D1157=2,E1157=1)),C1157,"")</f>
        <v/>
      </c>
      <c r="P1157">
        <f>IF(OR(AND(D1157=1,E1157=3),AND(D1157=3,E1157=1)),C1157,"")</f>
        <v/>
      </c>
      <c r="Q1157">
        <f>IF(OR(AND(D1157=2,E1157=3),AND(D1157=3,E1157=2)),C1157,"")</f>
        <v/>
      </c>
    </row>
    <row r="1158">
      <c r="A1158" t="n">
        <v>38</v>
      </c>
      <c r="B1158" t="n">
        <v>48</v>
      </c>
      <c r="C1158">
        <f>SQRT((Scale_PCA_Mechanics!G39-Scale_PCA_Mechanics!G49)^2+(Scale_PCA_Mechanics!H39-Scale_PCA_Mechanics!H49)^2+(Scale_PCA_Mechanics!I39-Scale_PCA_Mechanics!I49)^2+(Scale_PCA_Mechanics!J39-Scale_PCA_Mechanics!J49)^2)</f>
        <v/>
      </c>
      <c r="D1158">
        <f>INDEX(KMeans_6_2!AA2:AA51,A1158)</f>
        <v/>
      </c>
      <c r="E1158">
        <f>INDEX(KMeans_6_2!AA2:AA51,B1158)</f>
        <v/>
      </c>
      <c r="O1158">
        <f>IF(OR(AND(D1158=1,E1158=2),AND(D1158=2,E1158=1)),C1158,"")</f>
        <v/>
      </c>
      <c r="P1158">
        <f>IF(OR(AND(D1158=1,E1158=3),AND(D1158=3,E1158=1)),C1158,"")</f>
        <v/>
      </c>
      <c r="Q1158">
        <f>IF(OR(AND(D1158=2,E1158=3),AND(D1158=3,E1158=2)),C1158,"")</f>
        <v/>
      </c>
    </row>
    <row r="1159">
      <c r="A1159" t="n">
        <v>38</v>
      </c>
      <c r="B1159" t="n">
        <v>49</v>
      </c>
      <c r="C1159">
        <f>SQRT((Scale_PCA_Mechanics!G39-Scale_PCA_Mechanics!G50)^2+(Scale_PCA_Mechanics!H39-Scale_PCA_Mechanics!H50)^2+(Scale_PCA_Mechanics!I39-Scale_PCA_Mechanics!I50)^2+(Scale_PCA_Mechanics!J39-Scale_PCA_Mechanics!J50)^2)</f>
        <v/>
      </c>
      <c r="D1159">
        <f>INDEX(KMeans_6_2!AA2:AA51,A1159)</f>
        <v/>
      </c>
      <c r="E1159">
        <f>INDEX(KMeans_6_2!AA2:AA51,B1159)</f>
        <v/>
      </c>
      <c r="O1159">
        <f>IF(OR(AND(D1159=1,E1159=2),AND(D1159=2,E1159=1)),C1159,"")</f>
        <v/>
      </c>
      <c r="P1159">
        <f>IF(OR(AND(D1159=1,E1159=3),AND(D1159=3,E1159=1)),C1159,"")</f>
        <v/>
      </c>
      <c r="Q1159">
        <f>IF(OR(AND(D1159=2,E1159=3),AND(D1159=3,E1159=2)),C1159,"")</f>
        <v/>
      </c>
    </row>
    <row r="1160">
      <c r="A1160" t="n">
        <v>38</v>
      </c>
      <c r="B1160" t="n">
        <v>50</v>
      </c>
      <c r="C1160">
        <f>SQRT((Scale_PCA_Mechanics!G39-Scale_PCA_Mechanics!G51)^2+(Scale_PCA_Mechanics!H39-Scale_PCA_Mechanics!H51)^2+(Scale_PCA_Mechanics!I39-Scale_PCA_Mechanics!I51)^2+(Scale_PCA_Mechanics!J39-Scale_PCA_Mechanics!J51)^2)</f>
        <v/>
      </c>
      <c r="D1160">
        <f>INDEX(KMeans_6_2!AA2:AA51,A1160)</f>
        <v/>
      </c>
      <c r="E1160">
        <f>INDEX(KMeans_6_2!AA2:AA51,B1160)</f>
        <v/>
      </c>
      <c r="O1160">
        <f>IF(OR(AND(D1160=1,E1160=2),AND(D1160=2,E1160=1)),C1160,"")</f>
        <v/>
      </c>
      <c r="P1160">
        <f>IF(OR(AND(D1160=1,E1160=3),AND(D1160=3,E1160=1)),C1160,"")</f>
        <v/>
      </c>
      <c r="Q1160">
        <f>IF(OR(AND(D1160=2,E1160=3),AND(D1160=3,E1160=2)),C1160,"")</f>
        <v/>
      </c>
    </row>
    <row r="1161">
      <c r="A1161" t="n">
        <v>39</v>
      </c>
      <c r="B1161" t="n">
        <v>40</v>
      </c>
      <c r="C1161">
        <f>SQRT((Scale_PCA_Mechanics!G40-Scale_PCA_Mechanics!G41)^2+(Scale_PCA_Mechanics!H40-Scale_PCA_Mechanics!H41)^2+(Scale_PCA_Mechanics!I40-Scale_PCA_Mechanics!I41)^2+(Scale_PCA_Mechanics!J40-Scale_PCA_Mechanics!J41)^2)</f>
        <v/>
      </c>
      <c r="D1161">
        <f>INDEX(KMeans_6_2!AA2:AA51,A1161)</f>
        <v/>
      </c>
      <c r="E1161">
        <f>INDEX(KMeans_6_2!AA2:AA51,B1161)</f>
        <v/>
      </c>
      <c r="O1161">
        <f>IF(OR(AND(D1161=1,E1161=2),AND(D1161=2,E1161=1)),C1161,"")</f>
        <v/>
      </c>
      <c r="P1161">
        <f>IF(OR(AND(D1161=1,E1161=3),AND(D1161=3,E1161=1)),C1161,"")</f>
        <v/>
      </c>
      <c r="Q1161">
        <f>IF(OR(AND(D1161=2,E1161=3),AND(D1161=3,E1161=2)),C1161,"")</f>
        <v/>
      </c>
    </row>
    <row r="1162">
      <c r="A1162" t="n">
        <v>39</v>
      </c>
      <c r="B1162" t="n">
        <v>41</v>
      </c>
      <c r="C1162">
        <f>SQRT((Scale_PCA_Mechanics!G40-Scale_PCA_Mechanics!G42)^2+(Scale_PCA_Mechanics!H40-Scale_PCA_Mechanics!H42)^2+(Scale_PCA_Mechanics!I40-Scale_PCA_Mechanics!I42)^2+(Scale_PCA_Mechanics!J40-Scale_PCA_Mechanics!J42)^2)</f>
        <v/>
      </c>
      <c r="D1162">
        <f>INDEX(KMeans_6_2!AA2:AA51,A1162)</f>
        <v/>
      </c>
      <c r="E1162">
        <f>INDEX(KMeans_6_2!AA2:AA51,B1162)</f>
        <v/>
      </c>
      <c r="O1162">
        <f>IF(OR(AND(D1162=1,E1162=2),AND(D1162=2,E1162=1)),C1162,"")</f>
        <v/>
      </c>
      <c r="P1162">
        <f>IF(OR(AND(D1162=1,E1162=3),AND(D1162=3,E1162=1)),C1162,"")</f>
        <v/>
      </c>
      <c r="Q1162">
        <f>IF(OR(AND(D1162=2,E1162=3),AND(D1162=3,E1162=2)),C1162,"")</f>
        <v/>
      </c>
    </row>
    <row r="1163">
      <c r="A1163" t="n">
        <v>39</v>
      </c>
      <c r="B1163" t="n">
        <v>42</v>
      </c>
      <c r="C1163">
        <f>SQRT((Scale_PCA_Mechanics!G40-Scale_PCA_Mechanics!G43)^2+(Scale_PCA_Mechanics!H40-Scale_PCA_Mechanics!H43)^2+(Scale_PCA_Mechanics!I40-Scale_PCA_Mechanics!I43)^2+(Scale_PCA_Mechanics!J40-Scale_PCA_Mechanics!J43)^2)</f>
        <v/>
      </c>
      <c r="D1163">
        <f>INDEX(KMeans_6_2!AA2:AA51,A1163)</f>
        <v/>
      </c>
      <c r="E1163">
        <f>INDEX(KMeans_6_2!AA2:AA51,B1163)</f>
        <v/>
      </c>
      <c r="O1163">
        <f>IF(OR(AND(D1163=1,E1163=2),AND(D1163=2,E1163=1)),C1163,"")</f>
        <v/>
      </c>
      <c r="P1163">
        <f>IF(OR(AND(D1163=1,E1163=3),AND(D1163=3,E1163=1)),C1163,"")</f>
        <v/>
      </c>
      <c r="Q1163">
        <f>IF(OR(AND(D1163=2,E1163=3),AND(D1163=3,E1163=2)),C1163,"")</f>
        <v/>
      </c>
    </row>
    <row r="1164">
      <c r="A1164" t="n">
        <v>39</v>
      </c>
      <c r="B1164" t="n">
        <v>43</v>
      </c>
      <c r="C1164">
        <f>SQRT((Scale_PCA_Mechanics!G40-Scale_PCA_Mechanics!G44)^2+(Scale_PCA_Mechanics!H40-Scale_PCA_Mechanics!H44)^2+(Scale_PCA_Mechanics!I40-Scale_PCA_Mechanics!I44)^2+(Scale_PCA_Mechanics!J40-Scale_PCA_Mechanics!J44)^2)</f>
        <v/>
      </c>
      <c r="D1164">
        <f>INDEX(KMeans_6_2!AA2:AA51,A1164)</f>
        <v/>
      </c>
      <c r="E1164">
        <f>INDEX(KMeans_6_2!AA2:AA51,B1164)</f>
        <v/>
      </c>
      <c r="O1164">
        <f>IF(OR(AND(D1164=1,E1164=2),AND(D1164=2,E1164=1)),C1164,"")</f>
        <v/>
      </c>
      <c r="P1164">
        <f>IF(OR(AND(D1164=1,E1164=3),AND(D1164=3,E1164=1)),C1164,"")</f>
        <v/>
      </c>
      <c r="Q1164">
        <f>IF(OR(AND(D1164=2,E1164=3),AND(D1164=3,E1164=2)),C1164,"")</f>
        <v/>
      </c>
    </row>
    <row r="1165">
      <c r="A1165" t="n">
        <v>39</v>
      </c>
      <c r="B1165" t="n">
        <v>44</v>
      </c>
      <c r="C1165">
        <f>SQRT((Scale_PCA_Mechanics!G40-Scale_PCA_Mechanics!G45)^2+(Scale_PCA_Mechanics!H40-Scale_PCA_Mechanics!H45)^2+(Scale_PCA_Mechanics!I40-Scale_PCA_Mechanics!I45)^2+(Scale_PCA_Mechanics!J40-Scale_PCA_Mechanics!J45)^2)</f>
        <v/>
      </c>
      <c r="D1165">
        <f>INDEX(KMeans_6_2!AA2:AA51,A1165)</f>
        <v/>
      </c>
      <c r="E1165">
        <f>INDEX(KMeans_6_2!AA2:AA51,B1165)</f>
        <v/>
      </c>
      <c r="O1165">
        <f>IF(OR(AND(D1165=1,E1165=2),AND(D1165=2,E1165=1)),C1165,"")</f>
        <v/>
      </c>
      <c r="P1165">
        <f>IF(OR(AND(D1165=1,E1165=3),AND(D1165=3,E1165=1)),C1165,"")</f>
        <v/>
      </c>
      <c r="Q1165">
        <f>IF(OR(AND(D1165=2,E1165=3),AND(D1165=3,E1165=2)),C1165,"")</f>
        <v/>
      </c>
    </row>
    <row r="1166">
      <c r="A1166" t="n">
        <v>39</v>
      </c>
      <c r="B1166" t="n">
        <v>45</v>
      </c>
      <c r="C1166">
        <f>SQRT((Scale_PCA_Mechanics!G40-Scale_PCA_Mechanics!G46)^2+(Scale_PCA_Mechanics!H40-Scale_PCA_Mechanics!H46)^2+(Scale_PCA_Mechanics!I40-Scale_PCA_Mechanics!I46)^2+(Scale_PCA_Mechanics!J40-Scale_PCA_Mechanics!J46)^2)</f>
        <v/>
      </c>
      <c r="D1166">
        <f>INDEX(KMeans_6_2!AA2:AA51,A1166)</f>
        <v/>
      </c>
      <c r="E1166">
        <f>INDEX(KMeans_6_2!AA2:AA51,B1166)</f>
        <v/>
      </c>
      <c r="O1166">
        <f>IF(OR(AND(D1166=1,E1166=2),AND(D1166=2,E1166=1)),C1166,"")</f>
        <v/>
      </c>
      <c r="P1166">
        <f>IF(OR(AND(D1166=1,E1166=3),AND(D1166=3,E1166=1)),C1166,"")</f>
        <v/>
      </c>
      <c r="Q1166">
        <f>IF(OR(AND(D1166=2,E1166=3),AND(D1166=3,E1166=2)),C1166,"")</f>
        <v/>
      </c>
    </row>
    <row r="1167">
      <c r="A1167" t="n">
        <v>39</v>
      </c>
      <c r="B1167" t="n">
        <v>46</v>
      </c>
      <c r="C1167">
        <f>SQRT((Scale_PCA_Mechanics!G40-Scale_PCA_Mechanics!G47)^2+(Scale_PCA_Mechanics!H40-Scale_PCA_Mechanics!H47)^2+(Scale_PCA_Mechanics!I40-Scale_PCA_Mechanics!I47)^2+(Scale_PCA_Mechanics!J40-Scale_PCA_Mechanics!J47)^2)</f>
        <v/>
      </c>
      <c r="D1167">
        <f>INDEX(KMeans_6_2!AA2:AA51,A1167)</f>
        <v/>
      </c>
      <c r="E1167">
        <f>INDEX(KMeans_6_2!AA2:AA51,B1167)</f>
        <v/>
      </c>
      <c r="O1167">
        <f>IF(OR(AND(D1167=1,E1167=2),AND(D1167=2,E1167=1)),C1167,"")</f>
        <v/>
      </c>
      <c r="P1167">
        <f>IF(OR(AND(D1167=1,E1167=3),AND(D1167=3,E1167=1)),C1167,"")</f>
        <v/>
      </c>
      <c r="Q1167">
        <f>IF(OR(AND(D1167=2,E1167=3),AND(D1167=3,E1167=2)),C1167,"")</f>
        <v/>
      </c>
    </row>
    <row r="1168">
      <c r="A1168" t="n">
        <v>39</v>
      </c>
      <c r="B1168" t="n">
        <v>47</v>
      </c>
      <c r="C1168">
        <f>SQRT((Scale_PCA_Mechanics!G40-Scale_PCA_Mechanics!G48)^2+(Scale_PCA_Mechanics!H40-Scale_PCA_Mechanics!H48)^2+(Scale_PCA_Mechanics!I40-Scale_PCA_Mechanics!I48)^2+(Scale_PCA_Mechanics!J40-Scale_PCA_Mechanics!J48)^2)</f>
        <v/>
      </c>
      <c r="D1168">
        <f>INDEX(KMeans_6_2!AA2:AA51,A1168)</f>
        <v/>
      </c>
      <c r="E1168">
        <f>INDEX(KMeans_6_2!AA2:AA51,B1168)</f>
        <v/>
      </c>
      <c r="O1168">
        <f>IF(OR(AND(D1168=1,E1168=2),AND(D1168=2,E1168=1)),C1168,"")</f>
        <v/>
      </c>
      <c r="P1168">
        <f>IF(OR(AND(D1168=1,E1168=3),AND(D1168=3,E1168=1)),C1168,"")</f>
        <v/>
      </c>
      <c r="Q1168">
        <f>IF(OR(AND(D1168=2,E1168=3),AND(D1168=3,E1168=2)),C1168,"")</f>
        <v/>
      </c>
    </row>
    <row r="1169">
      <c r="A1169" t="n">
        <v>39</v>
      </c>
      <c r="B1169" t="n">
        <v>48</v>
      </c>
      <c r="C1169">
        <f>SQRT((Scale_PCA_Mechanics!G40-Scale_PCA_Mechanics!G49)^2+(Scale_PCA_Mechanics!H40-Scale_PCA_Mechanics!H49)^2+(Scale_PCA_Mechanics!I40-Scale_PCA_Mechanics!I49)^2+(Scale_PCA_Mechanics!J40-Scale_PCA_Mechanics!J49)^2)</f>
        <v/>
      </c>
      <c r="D1169">
        <f>INDEX(KMeans_6_2!AA2:AA51,A1169)</f>
        <v/>
      </c>
      <c r="E1169">
        <f>INDEX(KMeans_6_2!AA2:AA51,B1169)</f>
        <v/>
      </c>
      <c r="O1169">
        <f>IF(OR(AND(D1169=1,E1169=2),AND(D1169=2,E1169=1)),C1169,"")</f>
        <v/>
      </c>
      <c r="P1169">
        <f>IF(OR(AND(D1169=1,E1169=3),AND(D1169=3,E1169=1)),C1169,"")</f>
        <v/>
      </c>
      <c r="Q1169">
        <f>IF(OR(AND(D1169=2,E1169=3),AND(D1169=3,E1169=2)),C1169,"")</f>
        <v/>
      </c>
    </row>
    <row r="1170">
      <c r="A1170" t="n">
        <v>39</v>
      </c>
      <c r="B1170" t="n">
        <v>49</v>
      </c>
      <c r="C1170">
        <f>SQRT((Scale_PCA_Mechanics!G40-Scale_PCA_Mechanics!G50)^2+(Scale_PCA_Mechanics!H40-Scale_PCA_Mechanics!H50)^2+(Scale_PCA_Mechanics!I40-Scale_PCA_Mechanics!I50)^2+(Scale_PCA_Mechanics!J40-Scale_PCA_Mechanics!J50)^2)</f>
        <v/>
      </c>
      <c r="D1170">
        <f>INDEX(KMeans_6_2!AA2:AA51,A1170)</f>
        <v/>
      </c>
      <c r="E1170">
        <f>INDEX(KMeans_6_2!AA2:AA51,B1170)</f>
        <v/>
      </c>
      <c r="O1170">
        <f>IF(OR(AND(D1170=1,E1170=2),AND(D1170=2,E1170=1)),C1170,"")</f>
        <v/>
      </c>
      <c r="P1170">
        <f>IF(OR(AND(D1170=1,E1170=3),AND(D1170=3,E1170=1)),C1170,"")</f>
        <v/>
      </c>
      <c r="Q1170">
        <f>IF(OR(AND(D1170=2,E1170=3),AND(D1170=3,E1170=2)),C1170,"")</f>
        <v/>
      </c>
    </row>
    <row r="1171">
      <c r="A1171" t="n">
        <v>39</v>
      </c>
      <c r="B1171" t="n">
        <v>50</v>
      </c>
      <c r="C1171">
        <f>SQRT((Scale_PCA_Mechanics!G40-Scale_PCA_Mechanics!G51)^2+(Scale_PCA_Mechanics!H40-Scale_PCA_Mechanics!H51)^2+(Scale_PCA_Mechanics!I40-Scale_PCA_Mechanics!I51)^2+(Scale_PCA_Mechanics!J40-Scale_PCA_Mechanics!J51)^2)</f>
        <v/>
      </c>
      <c r="D1171">
        <f>INDEX(KMeans_6_2!AA2:AA51,A1171)</f>
        <v/>
      </c>
      <c r="E1171">
        <f>INDEX(KMeans_6_2!AA2:AA51,B1171)</f>
        <v/>
      </c>
      <c r="O1171">
        <f>IF(OR(AND(D1171=1,E1171=2),AND(D1171=2,E1171=1)),C1171,"")</f>
        <v/>
      </c>
      <c r="P1171">
        <f>IF(OR(AND(D1171=1,E1171=3),AND(D1171=3,E1171=1)),C1171,"")</f>
        <v/>
      </c>
      <c r="Q1171">
        <f>IF(OR(AND(D1171=2,E1171=3),AND(D1171=3,E1171=2)),C1171,"")</f>
        <v/>
      </c>
    </row>
    <row r="1172">
      <c r="A1172" t="n">
        <v>40</v>
      </c>
      <c r="B1172" t="n">
        <v>41</v>
      </c>
      <c r="C1172">
        <f>SQRT((Scale_PCA_Mechanics!G41-Scale_PCA_Mechanics!G42)^2+(Scale_PCA_Mechanics!H41-Scale_PCA_Mechanics!H42)^2+(Scale_PCA_Mechanics!I41-Scale_PCA_Mechanics!I42)^2+(Scale_PCA_Mechanics!J41-Scale_PCA_Mechanics!J42)^2)</f>
        <v/>
      </c>
      <c r="D1172">
        <f>INDEX(KMeans_6_2!AA2:AA51,A1172)</f>
        <v/>
      </c>
      <c r="E1172">
        <f>INDEX(KMeans_6_2!AA2:AA51,B1172)</f>
        <v/>
      </c>
      <c r="O1172">
        <f>IF(OR(AND(D1172=1,E1172=2),AND(D1172=2,E1172=1)),C1172,"")</f>
        <v/>
      </c>
      <c r="P1172">
        <f>IF(OR(AND(D1172=1,E1172=3),AND(D1172=3,E1172=1)),C1172,"")</f>
        <v/>
      </c>
      <c r="Q1172">
        <f>IF(OR(AND(D1172=2,E1172=3),AND(D1172=3,E1172=2)),C1172,"")</f>
        <v/>
      </c>
    </row>
    <row r="1173">
      <c r="A1173" t="n">
        <v>40</v>
      </c>
      <c r="B1173" t="n">
        <v>42</v>
      </c>
      <c r="C1173">
        <f>SQRT((Scale_PCA_Mechanics!G41-Scale_PCA_Mechanics!G43)^2+(Scale_PCA_Mechanics!H41-Scale_PCA_Mechanics!H43)^2+(Scale_PCA_Mechanics!I41-Scale_PCA_Mechanics!I43)^2+(Scale_PCA_Mechanics!J41-Scale_PCA_Mechanics!J43)^2)</f>
        <v/>
      </c>
      <c r="D1173">
        <f>INDEX(KMeans_6_2!AA2:AA51,A1173)</f>
        <v/>
      </c>
      <c r="E1173">
        <f>INDEX(KMeans_6_2!AA2:AA51,B1173)</f>
        <v/>
      </c>
      <c r="O1173">
        <f>IF(OR(AND(D1173=1,E1173=2),AND(D1173=2,E1173=1)),C1173,"")</f>
        <v/>
      </c>
      <c r="P1173">
        <f>IF(OR(AND(D1173=1,E1173=3),AND(D1173=3,E1173=1)),C1173,"")</f>
        <v/>
      </c>
      <c r="Q1173">
        <f>IF(OR(AND(D1173=2,E1173=3),AND(D1173=3,E1173=2)),C1173,"")</f>
        <v/>
      </c>
    </row>
    <row r="1174">
      <c r="A1174" t="n">
        <v>40</v>
      </c>
      <c r="B1174" t="n">
        <v>43</v>
      </c>
      <c r="C1174">
        <f>SQRT((Scale_PCA_Mechanics!G41-Scale_PCA_Mechanics!G44)^2+(Scale_PCA_Mechanics!H41-Scale_PCA_Mechanics!H44)^2+(Scale_PCA_Mechanics!I41-Scale_PCA_Mechanics!I44)^2+(Scale_PCA_Mechanics!J41-Scale_PCA_Mechanics!J44)^2)</f>
        <v/>
      </c>
      <c r="D1174">
        <f>INDEX(KMeans_6_2!AA2:AA51,A1174)</f>
        <v/>
      </c>
      <c r="E1174">
        <f>INDEX(KMeans_6_2!AA2:AA51,B1174)</f>
        <v/>
      </c>
      <c r="O1174">
        <f>IF(OR(AND(D1174=1,E1174=2),AND(D1174=2,E1174=1)),C1174,"")</f>
        <v/>
      </c>
      <c r="P1174">
        <f>IF(OR(AND(D1174=1,E1174=3),AND(D1174=3,E1174=1)),C1174,"")</f>
        <v/>
      </c>
      <c r="Q1174">
        <f>IF(OR(AND(D1174=2,E1174=3),AND(D1174=3,E1174=2)),C1174,"")</f>
        <v/>
      </c>
    </row>
    <row r="1175">
      <c r="A1175" t="n">
        <v>40</v>
      </c>
      <c r="B1175" t="n">
        <v>44</v>
      </c>
      <c r="C1175">
        <f>SQRT((Scale_PCA_Mechanics!G41-Scale_PCA_Mechanics!G45)^2+(Scale_PCA_Mechanics!H41-Scale_PCA_Mechanics!H45)^2+(Scale_PCA_Mechanics!I41-Scale_PCA_Mechanics!I45)^2+(Scale_PCA_Mechanics!J41-Scale_PCA_Mechanics!J45)^2)</f>
        <v/>
      </c>
      <c r="D1175">
        <f>INDEX(KMeans_6_2!AA2:AA51,A1175)</f>
        <v/>
      </c>
      <c r="E1175">
        <f>INDEX(KMeans_6_2!AA2:AA51,B1175)</f>
        <v/>
      </c>
      <c r="O1175">
        <f>IF(OR(AND(D1175=1,E1175=2),AND(D1175=2,E1175=1)),C1175,"")</f>
        <v/>
      </c>
      <c r="P1175">
        <f>IF(OR(AND(D1175=1,E1175=3),AND(D1175=3,E1175=1)),C1175,"")</f>
        <v/>
      </c>
      <c r="Q1175">
        <f>IF(OR(AND(D1175=2,E1175=3),AND(D1175=3,E1175=2)),C1175,"")</f>
        <v/>
      </c>
    </row>
    <row r="1176">
      <c r="A1176" t="n">
        <v>40</v>
      </c>
      <c r="B1176" t="n">
        <v>45</v>
      </c>
      <c r="C1176">
        <f>SQRT((Scale_PCA_Mechanics!G41-Scale_PCA_Mechanics!G46)^2+(Scale_PCA_Mechanics!H41-Scale_PCA_Mechanics!H46)^2+(Scale_PCA_Mechanics!I41-Scale_PCA_Mechanics!I46)^2+(Scale_PCA_Mechanics!J41-Scale_PCA_Mechanics!J46)^2)</f>
        <v/>
      </c>
      <c r="D1176">
        <f>INDEX(KMeans_6_2!AA2:AA51,A1176)</f>
        <v/>
      </c>
      <c r="E1176">
        <f>INDEX(KMeans_6_2!AA2:AA51,B1176)</f>
        <v/>
      </c>
      <c r="O1176">
        <f>IF(OR(AND(D1176=1,E1176=2),AND(D1176=2,E1176=1)),C1176,"")</f>
        <v/>
      </c>
      <c r="P1176">
        <f>IF(OR(AND(D1176=1,E1176=3),AND(D1176=3,E1176=1)),C1176,"")</f>
        <v/>
      </c>
      <c r="Q1176">
        <f>IF(OR(AND(D1176=2,E1176=3),AND(D1176=3,E1176=2)),C1176,"")</f>
        <v/>
      </c>
    </row>
    <row r="1177">
      <c r="A1177" t="n">
        <v>40</v>
      </c>
      <c r="B1177" t="n">
        <v>46</v>
      </c>
      <c r="C1177">
        <f>SQRT((Scale_PCA_Mechanics!G41-Scale_PCA_Mechanics!G47)^2+(Scale_PCA_Mechanics!H41-Scale_PCA_Mechanics!H47)^2+(Scale_PCA_Mechanics!I41-Scale_PCA_Mechanics!I47)^2+(Scale_PCA_Mechanics!J41-Scale_PCA_Mechanics!J47)^2)</f>
        <v/>
      </c>
      <c r="D1177">
        <f>INDEX(KMeans_6_2!AA2:AA51,A1177)</f>
        <v/>
      </c>
      <c r="E1177">
        <f>INDEX(KMeans_6_2!AA2:AA51,B1177)</f>
        <v/>
      </c>
      <c r="O1177">
        <f>IF(OR(AND(D1177=1,E1177=2),AND(D1177=2,E1177=1)),C1177,"")</f>
        <v/>
      </c>
      <c r="P1177">
        <f>IF(OR(AND(D1177=1,E1177=3),AND(D1177=3,E1177=1)),C1177,"")</f>
        <v/>
      </c>
      <c r="Q1177">
        <f>IF(OR(AND(D1177=2,E1177=3),AND(D1177=3,E1177=2)),C1177,"")</f>
        <v/>
      </c>
    </row>
    <row r="1178">
      <c r="A1178" t="n">
        <v>40</v>
      </c>
      <c r="B1178" t="n">
        <v>47</v>
      </c>
      <c r="C1178">
        <f>SQRT((Scale_PCA_Mechanics!G41-Scale_PCA_Mechanics!G48)^2+(Scale_PCA_Mechanics!H41-Scale_PCA_Mechanics!H48)^2+(Scale_PCA_Mechanics!I41-Scale_PCA_Mechanics!I48)^2+(Scale_PCA_Mechanics!J41-Scale_PCA_Mechanics!J48)^2)</f>
        <v/>
      </c>
      <c r="D1178">
        <f>INDEX(KMeans_6_2!AA2:AA51,A1178)</f>
        <v/>
      </c>
      <c r="E1178">
        <f>INDEX(KMeans_6_2!AA2:AA51,B1178)</f>
        <v/>
      </c>
      <c r="O1178">
        <f>IF(OR(AND(D1178=1,E1178=2),AND(D1178=2,E1178=1)),C1178,"")</f>
        <v/>
      </c>
      <c r="P1178">
        <f>IF(OR(AND(D1178=1,E1178=3),AND(D1178=3,E1178=1)),C1178,"")</f>
        <v/>
      </c>
      <c r="Q1178">
        <f>IF(OR(AND(D1178=2,E1178=3),AND(D1178=3,E1178=2)),C1178,"")</f>
        <v/>
      </c>
    </row>
    <row r="1179">
      <c r="A1179" t="n">
        <v>40</v>
      </c>
      <c r="B1179" t="n">
        <v>48</v>
      </c>
      <c r="C1179">
        <f>SQRT((Scale_PCA_Mechanics!G41-Scale_PCA_Mechanics!G49)^2+(Scale_PCA_Mechanics!H41-Scale_PCA_Mechanics!H49)^2+(Scale_PCA_Mechanics!I41-Scale_PCA_Mechanics!I49)^2+(Scale_PCA_Mechanics!J41-Scale_PCA_Mechanics!J49)^2)</f>
        <v/>
      </c>
      <c r="D1179">
        <f>INDEX(KMeans_6_2!AA2:AA51,A1179)</f>
        <v/>
      </c>
      <c r="E1179">
        <f>INDEX(KMeans_6_2!AA2:AA51,B1179)</f>
        <v/>
      </c>
      <c r="O1179">
        <f>IF(OR(AND(D1179=1,E1179=2),AND(D1179=2,E1179=1)),C1179,"")</f>
        <v/>
      </c>
      <c r="P1179">
        <f>IF(OR(AND(D1179=1,E1179=3),AND(D1179=3,E1179=1)),C1179,"")</f>
        <v/>
      </c>
      <c r="Q1179">
        <f>IF(OR(AND(D1179=2,E1179=3),AND(D1179=3,E1179=2)),C1179,"")</f>
        <v/>
      </c>
    </row>
    <row r="1180">
      <c r="A1180" t="n">
        <v>40</v>
      </c>
      <c r="B1180" t="n">
        <v>49</v>
      </c>
      <c r="C1180">
        <f>SQRT((Scale_PCA_Mechanics!G41-Scale_PCA_Mechanics!G50)^2+(Scale_PCA_Mechanics!H41-Scale_PCA_Mechanics!H50)^2+(Scale_PCA_Mechanics!I41-Scale_PCA_Mechanics!I50)^2+(Scale_PCA_Mechanics!J41-Scale_PCA_Mechanics!J50)^2)</f>
        <v/>
      </c>
      <c r="D1180">
        <f>INDEX(KMeans_6_2!AA2:AA51,A1180)</f>
        <v/>
      </c>
      <c r="E1180">
        <f>INDEX(KMeans_6_2!AA2:AA51,B1180)</f>
        <v/>
      </c>
      <c r="O1180">
        <f>IF(OR(AND(D1180=1,E1180=2),AND(D1180=2,E1180=1)),C1180,"")</f>
        <v/>
      </c>
      <c r="P1180">
        <f>IF(OR(AND(D1180=1,E1180=3),AND(D1180=3,E1180=1)),C1180,"")</f>
        <v/>
      </c>
      <c r="Q1180">
        <f>IF(OR(AND(D1180=2,E1180=3),AND(D1180=3,E1180=2)),C1180,"")</f>
        <v/>
      </c>
    </row>
    <row r="1181">
      <c r="A1181" t="n">
        <v>40</v>
      </c>
      <c r="B1181" t="n">
        <v>50</v>
      </c>
      <c r="C1181">
        <f>SQRT((Scale_PCA_Mechanics!G41-Scale_PCA_Mechanics!G51)^2+(Scale_PCA_Mechanics!H41-Scale_PCA_Mechanics!H51)^2+(Scale_PCA_Mechanics!I41-Scale_PCA_Mechanics!I51)^2+(Scale_PCA_Mechanics!J41-Scale_PCA_Mechanics!J51)^2)</f>
        <v/>
      </c>
      <c r="D1181">
        <f>INDEX(KMeans_6_2!AA2:AA51,A1181)</f>
        <v/>
      </c>
      <c r="E1181">
        <f>INDEX(KMeans_6_2!AA2:AA51,B1181)</f>
        <v/>
      </c>
      <c r="O1181">
        <f>IF(OR(AND(D1181=1,E1181=2),AND(D1181=2,E1181=1)),C1181,"")</f>
        <v/>
      </c>
      <c r="P1181">
        <f>IF(OR(AND(D1181=1,E1181=3),AND(D1181=3,E1181=1)),C1181,"")</f>
        <v/>
      </c>
      <c r="Q1181">
        <f>IF(OR(AND(D1181=2,E1181=3),AND(D1181=3,E1181=2)),C1181,"")</f>
        <v/>
      </c>
    </row>
    <row r="1182">
      <c r="A1182" t="n">
        <v>41</v>
      </c>
      <c r="B1182" t="n">
        <v>42</v>
      </c>
      <c r="C1182">
        <f>SQRT((Scale_PCA_Mechanics!G42-Scale_PCA_Mechanics!G43)^2+(Scale_PCA_Mechanics!H42-Scale_PCA_Mechanics!H43)^2+(Scale_PCA_Mechanics!I42-Scale_PCA_Mechanics!I43)^2+(Scale_PCA_Mechanics!J42-Scale_PCA_Mechanics!J43)^2)</f>
        <v/>
      </c>
      <c r="D1182">
        <f>INDEX(KMeans_6_2!AA2:AA51,A1182)</f>
        <v/>
      </c>
      <c r="E1182">
        <f>INDEX(KMeans_6_2!AA2:AA51,B1182)</f>
        <v/>
      </c>
      <c r="O1182">
        <f>IF(OR(AND(D1182=1,E1182=2),AND(D1182=2,E1182=1)),C1182,"")</f>
        <v/>
      </c>
      <c r="P1182">
        <f>IF(OR(AND(D1182=1,E1182=3),AND(D1182=3,E1182=1)),C1182,"")</f>
        <v/>
      </c>
      <c r="Q1182">
        <f>IF(OR(AND(D1182=2,E1182=3),AND(D1182=3,E1182=2)),C1182,"")</f>
        <v/>
      </c>
    </row>
    <row r="1183">
      <c r="A1183" t="n">
        <v>41</v>
      </c>
      <c r="B1183" t="n">
        <v>43</v>
      </c>
      <c r="C1183">
        <f>SQRT((Scale_PCA_Mechanics!G42-Scale_PCA_Mechanics!G44)^2+(Scale_PCA_Mechanics!H42-Scale_PCA_Mechanics!H44)^2+(Scale_PCA_Mechanics!I42-Scale_PCA_Mechanics!I44)^2+(Scale_PCA_Mechanics!J42-Scale_PCA_Mechanics!J44)^2)</f>
        <v/>
      </c>
      <c r="D1183">
        <f>INDEX(KMeans_6_2!AA2:AA51,A1183)</f>
        <v/>
      </c>
      <c r="E1183">
        <f>INDEX(KMeans_6_2!AA2:AA51,B1183)</f>
        <v/>
      </c>
      <c r="O1183">
        <f>IF(OR(AND(D1183=1,E1183=2),AND(D1183=2,E1183=1)),C1183,"")</f>
        <v/>
      </c>
      <c r="P1183">
        <f>IF(OR(AND(D1183=1,E1183=3),AND(D1183=3,E1183=1)),C1183,"")</f>
        <v/>
      </c>
      <c r="Q1183">
        <f>IF(OR(AND(D1183=2,E1183=3),AND(D1183=3,E1183=2)),C1183,"")</f>
        <v/>
      </c>
    </row>
    <row r="1184">
      <c r="A1184" t="n">
        <v>41</v>
      </c>
      <c r="B1184" t="n">
        <v>44</v>
      </c>
      <c r="C1184">
        <f>SQRT((Scale_PCA_Mechanics!G42-Scale_PCA_Mechanics!G45)^2+(Scale_PCA_Mechanics!H42-Scale_PCA_Mechanics!H45)^2+(Scale_PCA_Mechanics!I42-Scale_PCA_Mechanics!I45)^2+(Scale_PCA_Mechanics!J42-Scale_PCA_Mechanics!J45)^2)</f>
        <v/>
      </c>
      <c r="D1184">
        <f>INDEX(KMeans_6_2!AA2:AA51,A1184)</f>
        <v/>
      </c>
      <c r="E1184">
        <f>INDEX(KMeans_6_2!AA2:AA51,B1184)</f>
        <v/>
      </c>
      <c r="O1184">
        <f>IF(OR(AND(D1184=1,E1184=2),AND(D1184=2,E1184=1)),C1184,"")</f>
        <v/>
      </c>
      <c r="P1184">
        <f>IF(OR(AND(D1184=1,E1184=3),AND(D1184=3,E1184=1)),C1184,"")</f>
        <v/>
      </c>
      <c r="Q1184">
        <f>IF(OR(AND(D1184=2,E1184=3),AND(D1184=3,E1184=2)),C1184,"")</f>
        <v/>
      </c>
    </row>
    <row r="1185">
      <c r="A1185" t="n">
        <v>41</v>
      </c>
      <c r="B1185" t="n">
        <v>45</v>
      </c>
      <c r="C1185">
        <f>SQRT((Scale_PCA_Mechanics!G42-Scale_PCA_Mechanics!G46)^2+(Scale_PCA_Mechanics!H42-Scale_PCA_Mechanics!H46)^2+(Scale_PCA_Mechanics!I42-Scale_PCA_Mechanics!I46)^2+(Scale_PCA_Mechanics!J42-Scale_PCA_Mechanics!J46)^2)</f>
        <v/>
      </c>
      <c r="D1185">
        <f>INDEX(KMeans_6_2!AA2:AA51,A1185)</f>
        <v/>
      </c>
      <c r="E1185">
        <f>INDEX(KMeans_6_2!AA2:AA51,B1185)</f>
        <v/>
      </c>
      <c r="O1185">
        <f>IF(OR(AND(D1185=1,E1185=2),AND(D1185=2,E1185=1)),C1185,"")</f>
        <v/>
      </c>
      <c r="P1185">
        <f>IF(OR(AND(D1185=1,E1185=3),AND(D1185=3,E1185=1)),C1185,"")</f>
        <v/>
      </c>
      <c r="Q1185">
        <f>IF(OR(AND(D1185=2,E1185=3),AND(D1185=3,E1185=2)),C1185,"")</f>
        <v/>
      </c>
    </row>
    <row r="1186">
      <c r="A1186" t="n">
        <v>41</v>
      </c>
      <c r="B1186" t="n">
        <v>46</v>
      </c>
      <c r="C1186">
        <f>SQRT((Scale_PCA_Mechanics!G42-Scale_PCA_Mechanics!G47)^2+(Scale_PCA_Mechanics!H42-Scale_PCA_Mechanics!H47)^2+(Scale_PCA_Mechanics!I42-Scale_PCA_Mechanics!I47)^2+(Scale_PCA_Mechanics!J42-Scale_PCA_Mechanics!J47)^2)</f>
        <v/>
      </c>
      <c r="D1186">
        <f>INDEX(KMeans_6_2!AA2:AA51,A1186)</f>
        <v/>
      </c>
      <c r="E1186">
        <f>INDEX(KMeans_6_2!AA2:AA51,B1186)</f>
        <v/>
      </c>
      <c r="O1186">
        <f>IF(OR(AND(D1186=1,E1186=2),AND(D1186=2,E1186=1)),C1186,"")</f>
        <v/>
      </c>
      <c r="P1186">
        <f>IF(OR(AND(D1186=1,E1186=3),AND(D1186=3,E1186=1)),C1186,"")</f>
        <v/>
      </c>
      <c r="Q1186">
        <f>IF(OR(AND(D1186=2,E1186=3),AND(D1186=3,E1186=2)),C1186,"")</f>
        <v/>
      </c>
    </row>
    <row r="1187">
      <c r="A1187" t="n">
        <v>41</v>
      </c>
      <c r="B1187" t="n">
        <v>47</v>
      </c>
      <c r="C1187">
        <f>SQRT((Scale_PCA_Mechanics!G42-Scale_PCA_Mechanics!G48)^2+(Scale_PCA_Mechanics!H42-Scale_PCA_Mechanics!H48)^2+(Scale_PCA_Mechanics!I42-Scale_PCA_Mechanics!I48)^2+(Scale_PCA_Mechanics!J42-Scale_PCA_Mechanics!J48)^2)</f>
        <v/>
      </c>
      <c r="D1187">
        <f>INDEX(KMeans_6_2!AA2:AA51,A1187)</f>
        <v/>
      </c>
      <c r="E1187">
        <f>INDEX(KMeans_6_2!AA2:AA51,B1187)</f>
        <v/>
      </c>
      <c r="O1187">
        <f>IF(OR(AND(D1187=1,E1187=2),AND(D1187=2,E1187=1)),C1187,"")</f>
        <v/>
      </c>
      <c r="P1187">
        <f>IF(OR(AND(D1187=1,E1187=3),AND(D1187=3,E1187=1)),C1187,"")</f>
        <v/>
      </c>
      <c r="Q1187">
        <f>IF(OR(AND(D1187=2,E1187=3),AND(D1187=3,E1187=2)),C1187,"")</f>
        <v/>
      </c>
    </row>
    <row r="1188">
      <c r="A1188" t="n">
        <v>41</v>
      </c>
      <c r="B1188" t="n">
        <v>48</v>
      </c>
      <c r="C1188">
        <f>SQRT((Scale_PCA_Mechanics!G42-Scale_PCA_Mechanics!G49)^2+(Scale_PCA_Mechanics!H42-Scale_PCA_Mechanics!H49)^2+(Scale_PCA_Mechanics!I42-Scale_PCA_Mechanics!I49)^2+(Scale_PCA_Mechanics!J42-Scale_PCA_Mechanics!J49)^2)</f>
        <v/>
      </c>
      <c r="D1188">
        <f>INDEX(KMeans_6_2!AA2:AA51,A1188)</f>
        <v/>
      </c>
      <c r="E1188">
        <f>INDEX(KMeans_6_2!AA2:AA51,B1188)</f>
        <v/>
      </c>
      <c r="O1188">
        <f>IF(OR(AND(D1188=1,E1188=2),AND(D1188=2,E1188=1)),C1188,"")</f>
        <v/>
      </c>
      <c r="P1188">
        <f>IF(OR(AND(D1188=1,E1188=3),AND(D1188=3,E1188=1)),C1188,"")</f>
        <v/>
      </c>
      <c r="Q1188">
        <f>IF(OR(AND(D1188=2,E1188=3),AND(D1188=3,E1188=2)),C1188,"")</f>
        <v/>
      </c>
    </row>
    <row r="1189">
      <c r="A1189" t="n">
        <v>41</v>
      </c>
      <c r="B1189" t="n">
        <v>49</v>
      </c>
      <c r="C1189">
        <f>SQRT((Scale_PCA_Mechanics!G42-Scale_PCA_Mechanics!G50)^2+(Scale_PCA_Mechanics!H42-Scale_PCA_Mechanics!H50)^2+(Scale_PCA_Mechanics!I42-Scale_PCA_Mechanics!I50)^2+(Scale_PCA_Mechanics!J42-Scale_PCA_Mechanics!J50)^2)</f>
        <v/>
      </c>
      <c r="D1189">
        <f>INDEX(KMeans_6_2!AA2:AA51,A1189)</f>
        <v/>
      </c>
      <c r="E1189">
        <f>INDEX(KMeans_6_2!AA2:AA51,B1189)</f>
        <v/>
      </c>
      <c r="O1189">
        <f>IF(OR(AND(D1189=1,E1189=2),AND(D1189=2,E1189=1)),C1189,"")</f>
        <v/>
      </c>
      <c r="P1189">
        <f>IF(OR(AND(D1189=1,E1189=3),AND(D1189=3,E1189=1)),C1189,"")</f>
        <v/>
      </c>
      <c r="Q1189">
        <f>IF(OR(AND(D1189=2,E1189=3),AND(D1189=3,E1189=2)),C1189,"")</f>
        <v/>
      </c>
    </row>
    <row r="1190">
      <c r="A1190" t="n">
        <v>41</v>
      </c>
      <c r="B1190" t="n">
        <v>50</v>
      </c>
      <c r="C1190">
        <f>SQRT((Scale_PCA_Mechanics!G42-Scale_PCA_Mechanics!G51)^2+(Scale_PCA_Mechanics!H42-Scale_PCA_Mechanics!H51)^2+(Scale_PCA_Mechanics!I42-Scale_PCA_Mechanics!I51)^2+(Scale_PCA_Mechanics!J42-Scale_PCA_Mechanics!J51)^2)</f>
        <v/>
      </c>
      <c r="D1190">
        <f>INDEX(KMeans_6_2!AA2:AA51,A1190)</f>
        <v/>
      </c>
      <c r="E1190">
        <f>INDEX(KMeans_6_2!AA2:AA51,B1190)</f>
        <v/>
      </c>
      <c r="O1190">
        <f>IF(OR(AND(D1190=1,E1190=2),AND(D1190=2,E1190=1)),C1190,"")</f>
        <v/>
      </c>
      <c r="P1190">
        <f>IF(OR(AND(D1190=1,E1190=3),AND(D1190=3,E1190=1)),C1190,"")</f>
        <v/>
      </c>
      <c r="Q1190">
        <f>IF(OR(AND(D1190=2,E1190=3),AND(D1190=3,E1190=2)),C1190,"")</f>
        <v/>
      </c>
    </row>
    <row r="1191">
      <c r="A1191" t="n">
        <v>42</v>
      </c>
      <c r="B1191" t="n">
        <v>43</v>
      </c>
      <c r="C1191">
        <f>SQRT((Scale_PCA_Mechanics!G43-Scale_PCA_Mechanics!G44)^2+(Scale_PCA_Mechanics!H43-Scale_PCA_Mechanics!H44)^2+(Scale_PCA_Mechanics!I43-Scale_PCA_Mechanics!I44)^2+(Scale_PCA_Mechanics!J43-Scale_PCA_Mechanics!J44)^2)</f>
        <v/>
      </c>
      <c r="D1191">
        <f>INDEX(KMeans_6_2!AA2:AA51,A1191)</f>
        <v/>
      </c>
      <c r="E1191">
        <f>INDEX(KMeans_6_2!AA2:AA51,B1191)</f>
        <v/>
      </c>
      <c r="O1191">
        <f>IF(OR(AND(D1191=1,E1191=2),AND(D1191=2,E1191=1)),C1191,"")</f>
        <v/>
      </c>
      <c r="P1191">
        <f>IF(OR(AND(D1191=1,E1191=3),AND(D1191=3,E1191=1)),C1191,"")</f>
        <v/>
      </c>
      <c r="Q1191">
        <f>IF(OR(AND(D1191=2,E1191=3),AND(D1191=3,E1191=2)),C1191,"")</f>
        <v/>
      </c>
    </row>
    <row r="1192">
      <c r="A1192" t="n">
        <v>42</v>
      </c>
      <c r="B1192" t="n">
        <v>44</v>
      </c>
      <c r="C1192">
        <f>SQRT((Scale_PCA_Mechanics!G43-Scale_PCA_Mechanics!G45)^2+(Scale_PCA_Mechanics!H43-Scale_PCA_Mechanics!H45)^2+(Scale_PCA_Mechanics!I43-Scale_PCA_Mechanics!I45)^2+(Scale_PCA_Mechanics!J43-Scale_PCA_Mechanics!J45)^2)</f>
        <v/>
      </c>
      <c r="D1192">
        <f>INDEX(KMeans_6_2!AA2:AA51,A1192)</f>
        <v/>
      </c>
      <c r="E1192">
        <f>INDEX(KMeans_6_2!AA2:AA51,B1192)</f>
        <v/>
      </c>
      <c r="O1192">
        <f>IF(OR(AND(D1192=1,E1192=2),AND(D1192=2,E1192=1)),C1192,"")</f>
        <v/>
      </c>
      <c r="P1192">
        <f>IF(OR(AND(D1192=1,E1192=3),AND(D1192=3,E1192=1)),C1192,"")</f>
        <v/>
      </c>
      <c r="Q1192">
        <f>IF(OR(AND(D1192=2,E1192=3),AND(D1192=3,E1192=2)),C1192,"")</f>
        <v/>
      </c>
    </row>
    <row r="1193">
      <c r="A1193" t="n">
        <v>42</v>
      </c>
      <c r="B1193" t="n">
        <v>45</v>
      </c>
      <c r="C1193">
        <f>SQRT((Scale_PCA_Mechanics!G43-Scale_PCA_Mechanics!G46)^2+(Scale_PCA_Mechanics!H43-Scale_PCA_Mechanics!H46)^2+(Scale_PCA_Mechanics!I43-Scale_PCA_Mechanics!I46)^2+(Scale_PCA_Mechanics!J43-Scale_PCA_Mechanics!J46)^2)</f>
        <v/>
      </c>
      <c r="D1193">
        <f>INDEX(KMeans_6_2!AA2:AA51,A1193)</f>
        <v/>
      </c>
      <c r="E1193">
        <f>INDEX(KMeans_6_2!AA2:AA51,B1193)</f>
        <v/>
      </c>
      <c r="O1193">
        <f>IF(OR(AND(D1193=1,E1193=2),AND(D1193=2,E1193=1)),C1193,"")</f>
        <v/>
      </c>
      <c r="P1193">
        <f>IF(OR(AND(D1193=1,E1193=3),AND(D1193=3,E1193=1)),C1193,"")</f>
        <v/>
      </c>
      <c r="Q1193">
        <f>IF(OR(AND(D1193=2,E1193=3),AND(D1193=3,E1193=2)),C1193,"")</f>
        <v/>
      </c>
    </row>
    <row r="1194">
      <c r="A1194" t="n">
        <v>42</v>
      </c>
      <c r="B1194" t="n">
        <v>46</v>
      </c>
      <c r="C1194">
        <f>SQRT((Scale_PCA_Mechanics!G43-Scale_PCA_Mechanics!G47)^2+(Scale_PCA_Mechanics!H43-Scale_PCA_Mechanics!H47)^2+(Scale_PCA_Mechanics!I43-Scale_PCA_Mechanics!I47)^2+(Scale_PCA_Mechanics!J43-Scale_PCA_Mechanics!J47)^2)</f>
        <v/>
      </c>
      <c r="D1194">
        <f>INDEX(KMeans_6_2!AA2:AA51,A1194)</f>
        <v/>
      </c>
      <c r="E1194">
        <f>INDEX(KMeans_6_2!AA2:AA51,B1194)</f>
        <v/>
      </c>
      <c r="O1194">
        <f>IF(OR(AND(D1194=1,E1194=2),AND(D1194=2,E1194=1)),C1194,"")</f>
        <v/>
      </c>
      <c r="P1194">
        <f>IF(OR(AND(D1194=1,E1194=3),AND(D1194=3,E1194=1)),C1194,"")</f>
        <v/>
      </c>
      <c r="Q1194">
        <f>IF(OR(AND(D1194=2,E1194=3),AND(D1194=3,E1194=2)),C1194,"")</f>
        <v/>
      </c>
    </row>
    <row r="1195">
      <c r="A1195" t="n">
        <v>42</v>
      </c>
      <c r="B1195" t="n">
        <v>47</v>
      </c>
      <c r="C1195">
        <f>SQRT((Scale_PCA_Mechanics!G43-Scale_PCA_Mechanics!G48)^2+(Scale_PCA_Mechanics!H43-Scale_PCA_Mechanics!H48)^2+(Scale_PCA_Mechanics!I43-Scale_PCA_Mechanics!I48)^2+(Scale_PCA_Mechanics!J43-Scale_PCA_Mechanics!J48)^2)</f>
        <v/>
      </c>
      <c r="D1195">
        <f>INDEX(KMeans_6_2!AA2:AA51,A1195)</f>
        <v/>
      </c>
      <c r="E1195">
        <f>INDEX(KMeans_6_2!AA2:AA51,B1195)</f>
        <v/>
      </c>
      <c r="O1195">
        <f>IF(OR(AND(D1195=1,E1195=2),AND(D1195=2,E1195=1)),C1195,"")</f>
        <v/>
      </c>
      <c r="P1195">
        <f>IF(OR(AND(D1195=1,E1195=3),AND(D1195=3,E1195=1)),C1195,"")</f>
        <v/>
      </c>
      <c r="Q1195">
        <f>IF(OR(AND(D1195=2,E1195=3),AND(D1195=3,E1195=2)),C1195,"")</f>
        <v/>
      </c>
    </row>
    <row r="1196">
      <c r="A1196" t="n">
        <v>42</v>
      </c>
      <c r="B1196" t="n">
        <v>48</v>
      </c>
      <c r="C1196">
        <f>SQRT((Scale_PCA_Mechanics!G43-Scale_PCA_Mechanics!G49)^2+(Scale_PCA_Mechanics!H43-Scale_PCA_Mechanics!H49)^2+(Scale_PCA_Mechanics!I43-Scale_PCA_Mechanics!I49)^2+(Scale_PCA_Mechanics!J43-Scale_PCA_Mechanics!J49)^2)</f>
        <v/>
      </c>
      <c r="D1196">
        <f>INDEX(KMeans_6_2!AA2:AA51,A1196)</f>
        <v/>
      </c>
      <c r="E1196">
        <f>INDEX(KMeans_6_2!AA2:AA51,B1196)</f>
        <v/>
      </c>
      <c r="O1196">
        <f>IF(OR(AND(D1196=1,E1196=2),AND(D1196=2,E1196=1)),C1196,"")</f>
        <v/>
      </c>
      <c r="P1196">
        <f>IF(OR(AND(D1196=1,E1196=3),AND(D1196=3,E1196=1)),C1196,"")</f>
        <v/>
      </c>
      <c r="Q1196">
        <f>IF(OR(AND(D1196=2,E1196=3),AND(D1196=3,E1196=2)),C1196,"")</f>
        <v/>
      </c>
    </row>
    <row r="1197">
      <c r="A1197" t="n">
        <v>42</v>
      </c>
      <c r="B1197" t="n">
        <v>49</v>
      </c>
      <c r="C1197">
        <f>SQRT((Scale_PCA_Mechanics!G43-Scale_PCA_Mechanics!G50)^2+(Scale_PCA_Mechanics!H43-Scale_PCA_Mechanics!H50)^2+(Scale_PCA_Mechanics!I43-Scale_PCA_Mechanics!I50)^2+(Scale_PCA_Mechanics!J43-Scale_PCA_Mechanics!J50)^2)</f>
        <v/>
      </c>
      <c r="D1197">
        <f>INDEX(KMeans_6_2!AA2:AA51,A1197)</f>
        <v/>
      </c>
      <c r="E1197">
        <f>INDEX(KMeans_6_2!AA2:AA51,B1197)</f>
        <v/>
      </c>
      <c r="O1197">
        <f>IF(OR(AND(D1197=1,E1197=2),AND(D1197=2,E1197=1)),C1197,"")</f>
        <v/>
      </c>
      <c r="P1197">
        <f>IF(OR(AND(D1197=1,E1197=3),AND(D1197=3,E1197=1)),C1197,"")</f>
        <v/>
      </c>
      <c r="Q1197">
        <f>IF(OR(AND(D1197=2,E1197=3),AND(D1197=3,E1197=2)),C1197,"")</f>
        <v/>
      </c>
    </row>
    <row r="1198">
      <c r="A1198" t="n">
        <v>42</v>
      </c>
      <c r="B1198" t="n">
        <v>50</v>
      </c>
      <c r="C1198">
        <f>SQRT((Scale_PCA_Mechanics!G43-Scale_PCA_Mechanics!G51)^2+(Scale_PCA_Mechanics!H43-Scale_PCA_Mechanics!H51)^2+(Scale_PCA_Mechanics!I43-Scale_PCA_Mechanics!I51)^2+(Scale_PCA_Mechanics!J43-Scale_PCA_Mechanics!J51)^2)</f>
        <v/>
      </c>
      <c r="D1198">
        <f>INDEX(KMeans_6_2!AA2:AA51,A1198)</f>
        <v/>
      </c>
      <c r="E1198">
        <f>INDEX(KMeans_6_2!AA2:AA51,B1198)</f>
        <v/>
      </c>
      <c r="O1198">
        <f>IF(OR(AND(D1198=1,E1198=2),AND(D1198=2,E1198=1)),C1198,"")</f>
        <v/>
      </c>
      <c r="P1198">
        <f>IF(OR(AND(D1198=1,E1198=3),AND(D1198=3,E1198=1)),C1198,"")</f>
        <v/>
      </c>
      <c r="Q1198">
        <f>IF(OR(AND(D1198=2,E1198=3),AND(D1198=3,E1198=2)),C1198,"")</f>
        <v/>
      </c>
    </row>
    <row r="1199">
      <c r="A1199" t="n">
        <v>43</v>
      </c>
      <c r="B1199" t="n">
        <v>44</v>
      </c>
      <c r="C1199">
        <f>SQRT((Scale_PCA_Mechanics!G44-Scale_PCA_Mechanics!G45)^2+(Scale_PCA_Mechanics!H44-Scale_PCA_Mechanics!H45)^2+(Scale_PCA_Mechanics!I44-Scale_PCA_Mechanics!I45)^2+(Scale_PCA_Mechanics!J44-Scale_PCA_Mechanics!J45)^2)</f>
        <v/>
      </c>
      <c r="D1199">
        <f>INDEX(KMeans_6_2!AA2:AA51,A1199)</f>
        <v/>
      </c>
      <c r="E1199">
        <f>INDEX(KMeans_6_2!AA2:AA51,B1199)</f>
        <v/>
      </c>
      <c r="O1199">
        <f>IF(OR(AND(D1199=1,E1199=2),AND(D1199=2,E1199=1)),C1199,"")</f>
        <v/>
      </c>
      <c r="P1199">
        <f>IF(OR(AND(D1199=1,E1199=3),AND(D1199=3,E1199=1)),C1199,"")</f>
        <v/>
      </c>
      <c r="Q1199">
        <f>IF(OR(AND(D1199=2,E1199=3),AND(D1199=3,E1199=2)),C1199,"")</f>
        <v/>
      </c>
    </row>
    <row r="1200">
      <c r="A1200" t="n">
        <v>43</v>
      </c>
      <c r="B1200" t="n">
        <v>45</v>
      </c>
      <c r="C1200">
        <f>SQRT((Scale_PCA_Mechanics!G44-Scale_PCA_Mechanics!G46)^2+(Scale_PCA_Mechanics!H44-Scale_PCA_Mechanics!H46)^2+(Scale_PCA_Mechanics!I44-Scale_PCA_Mechanics!I46)^2+(Scale_PCA_Mechanics!J44-Scale_PCA_Mechanics!J46)^2)</f>
        <v/>
      </c>
      <c r="D1200">
        <f>INDEX(KMeans_6_2!AA2:AA51,A1200)</f>
        <v/>
      </c>
      <c r="E1200">
        <f>INDEX(KMeans_6_2!AA2:AA51,B1200)</f>
        <v/>
      </c>
      <c r="O1200">
        <f>IF(OR(AND(D1200=1,E1200=2),AND(D1200=2,E1200=1)),C1200,"")</f>
        <v/>
      </c>
      <c r="P1200">
        <f>IF(OR(AND(D1200=1,E1200=3),AND(D1200=3,E1200=1)),C1200,"")</f>
        <v/>
      </c>
      <c r="Q1200">
        <f>IF(OR(AND(D1200=2,E1200=3),AND(D1200=3,E1200=2)),C1200,"")</f>
        <v/>
      </c>
    </row>
    <row r="1201">
      <c r="A1201" t="n">
        <v>43</v>
      </c>
      <c r="B1201" t="n">
        <v>46</v>
      </c>
      <c r="C1201">
        <f>SQRT((Scale_PCA_Mechanics!G44-Scale_PCA_Mechanics!G47)^2+(Scale_PCA_Mechanics!H44-Scale_PCA_Mechanics!H47)^2+(Scale_PCA_Mechanics!I44-Scale_PCA_Mechanics!I47)^2+(Scale_PCA_Mechanics!J44-Scale_PCA_Mechanics!J47)^2)</f>
        <v/>
      </c>
      <c r="D1201">
        <f>INDEX(KMeans_6_2!AA2:AA51,A1201)</f>
        <v/>
      </c>
      <c r="E1201">
        <f>INDEX(KMeans_6_2!AA2:AA51,B1201)</f>
        <v/>
      </c>
      <c r="O1201">
        <f>IF(OR(AND(D1201=1,E1201=2),AND(D1201=2,E1201=1)),C1201,"")</f>
        <v/>
      </c>
      <c r="P1201">
        <f>IF(OR(AND(D1201=1,E1201=3),AND(D1201=3,E1201=1)),C1201,"")</f>
        <v/>
      </c>
      <c r="Q1201">
        <f>IF(OR(AND(D1201=2,E1201=3),AND(D1201=3,E1201=2)),C1201,"")</f>
        <v/>
      </c>
    </row>
    <row r="1202">
      <c r="A1202" t="n">
        <v>43</v>
      </c>
      <c r="B1202" t="n">
        <v>47</v>
      </c>
      <c r="C1202">
        <f>SQRT((Scale_PCA_Mechanics!G44-Scale_PCA_Mechanics!G48)^2+(Scale_PCA_Mechanics!H44-Scale_PCA_Mechanics!H48)^2+(Scale_PCA_Mechanics!I44-Scale_PCA_Mechanics!I48)^2+(Scale_PCA_Mechanics!J44-Scale_PCA_Mechanics!J48)^2)</f>
        <v/>
      </c>
      <c r="D1202">
        <f>INDEX(KMeans_6_2!AA2:AA51,A1202)</f>
        <v/>
      </c>
      <c r="E1202">
        <f>INDEX(KMeans_6_2!AA2:AA51,B1202)</f>
        <v/>
      </c>
      <c r="O1202">
        <f>IF(OR(AND(D1202=1,E1202=2),AND(D1202=2,E1202=1)),C1202,"")</f>
        <v/>
      </c>
      <c r="P1202">
        <f>IF(OR(AND(D1202=1,E1202=3),AND(D1202=3,E1202=1)),C1202,"")</f>
        <v/>
      </c>
      <c r="Q1202">
        <f>IF(OR(AND(D1202=2,E1202=3),AND(D1202=3,E1202=2)),C1202,"")</f>
        <v/>
      </c>
    </row>
    <row r="1203">
      <c r="A1203" t="n">
        <v>43</v>
      </c>
      <c r="B1203" t="n">
        <v>48</v>
      </c>
      <c r="C1203">
        <f>SQRT((Scale_PCA_Mechanics!G44-Scale_PCA_Mechanics!G49)^2+(Scale_PCA_Mechanics!H44-Scale_PCA_Mechanics!H49)^2+(Scale_PCA_Mechanics!I44-Scale_PCA_Mechanics!I49)^2+(Scale_PCA_Mechanics!J44-Scale_PCA_Mechanics!J49)^2)</f>
        <v/>
      </c>
      <c r="D1203">
        <f>INDEX(KMeans_6_2!AA2:AA51,A1203)</f>
        <v/>
      </c>
      <c r="E1203">
        <f>INDEX(KMeans_6_2!AA2:AA51,B1203)</f>
        <v/>
      </c>
      <c r="O1203">
        <f>IF(OR(AND(D1203=1,E1203=2),AND(D1203=2,E1203=1)),C1203,"")</f>
        <v/>
      </c>
      <c r="P1203">
        <f>IF(OR(AND(D1203=1,E1203=3),AND(D1203=3,E1203=1)),C1203,"")</f>
        <v/>
      </c>
      <c r="Q1203">
        <f>IF(OR(AND(D1203=2,E1203=3),AND(D1203=3,E1203=2)),C1203,"")</f>
        <v/>
      </c>
    </row>
    <row r="1204">
      <c r="A1204" t="n">
        <v>43</v>
      </c>
      <c r="B1204" t="n">
        <v>49</v>
      </c>
      <c r="C1204">
        <f>SQRT((Scale_PCA_Mechanics!G44-Scale_PCA_Mechanics!G50)^2+(Scale_PCA_Mechanics!H44-Scale_PCA_Mechanics!H50)^2+(Scale_PCA_Mechanics!I44-Scale_PCA_Mechanics!I50)^2+(Scale_PCA_Mechanics!J44-Scale_PCA_Mechanics!J50)^2)</f>
        <v/>
      </c>
      <c r="D1204">
        <f>INDEX(KMeans_6_2!AA2:AA51,A1204)</f>
        <v/>
      </c>
      <c r="E1204">
        <f>INDEX(KMeans_6_2!AA2:AA51,B1204)</f>
        <v/>
      </c>
      <c r="O1204">
        <f>IF(OR(AND(D1204=1,E1204=2),AND(D1204=2,E1204=1)),C1204,"")</f>
        <v/>
      </c>
      <c r="P1204">
        <f>IF(OR(AND(D1204=1,E1204=3),AND(D1204=3,E1204=1)),C1204,"")</f>
        <v/>
      </c>
      <c r="Q1204">
        <f>IF(OR(AND(D1204=2,E1204=3),AND(D1204=3,E1204=2)),C1204,"")</f>
        <v/>
      </c>
    </row>
    <row r="1205">
      <c r="A1205" t="n">
        <v>43</v>
      </c>
      <c r="B1205" t="n">
        <v>50</v>
      </c>
      <c r="C1205">
        <f>SQRT((Scale_PCA_Mechanics!G44-Scale_PCA_Mechanics!G51)^2+(Scale_PCA_Mechanics!H44-Scale_PCA_Mechanics!H51)^2+(Scale_PCA_Mechanics!I44-Scale_PCA_Mechanics!I51)^2+(Scale_PCA_Mechanics!J44-Scale_PCA_Mechanics!J51)^2)</f>
        <v/>
      </c>
      <c r="D1205">
        <f>INDEX(KMeans_6_2!AA2:AA51,A1205)</f>
        <v/>
      </c>
      <c r="E1205">
        <f>INDEX(KMeans_6_2!AA2:AA51,B1205)</f>
        <v/>
      </c>
      <c r="O1205">
        <f>IF(OR(AND(D1205=1,E1205=2),AND(D1205=2,E1205=1)),C1205,"")</f>
        <v/>
      </c>
      <c r="P1205">
        <f>IF(OR(AND(D1205=1,E1205=3),AND(D1205=3,E1205=1)),C1205,"")</f>
        <v/>
      </c>
      <c r="Q1205">
        <f>IF(OR(AND(D1205=2,E1205=3),AND(D1205=3,E1205=2)),C1205,"")</f>
        <v/>
      </c>
    </row>
    <row r="1206">
      <c r="A1206" t="n">
        <v>44</v>
      </c>
      <c r="B1206" t="n">
        <v>45</v>
      </c>
      <c r="C1206">
        <f>SQRT((Scale_PCA_Mechanics!G45-Scale_PCA_Mechanics!G46)^2+(Scale_PCA_Mechanics!H45-Scale_PCA_Mechanics!H46)^2+(Scale_PCA_Mechanics!I45-Scale_PCA_Mechanics!I46)^2+(Scale_PCA_Mechanics!J45-Scale_PCA_Mechanics!J46)^2)</f>
        <v/>
      </c>
      <c r="D1206">
        <f>INDEX(KMeans_6_2!AA2:AA51,A1206)</f>
        <v/>
      </c>
      <c r="E1206">
        <f>INDEX(KMeans_6_2!AA2:AA51,B1206)</f>
        <v/>
      </c>
      <c r="O1206">
        <f>IF(OR(AND(D1206=1,E1206=2),AND(D1206=2,E1206=1)),C1206,"")</f>
        <v/>
      </c>
      <c r="P1206">
        <f>IF(OR(AND(D1206=1,E1206=3),AND(D1206=3,E1206=1)),C1206,"")</f>
        <v/>
      </c>
      <c r="Q1206">
        <f>IF(OR(AND(D1206=2,E1206=3),AND(D1206=3,E1206=2)),C1206,"")</f>
        <v/>
      </c>
    </row>
    <row r="1207">
      <c r="A1207" t="n">
        <v>44</v>
      </c>
      <c r="B1207" t="n">
        <v>46</v>
      </c>
      <c r="C1207">
        <f>SQRT((Scale_PCA_Mechanics!G45-Scale_PCA_Mechanics!G47)^2+(Scale_PCA_Mechanics!H45-Scale_PCA_Mechanics!H47)^2+(Scale_PCA_Mechanics!I45-Scale_PCA_Mechanics!I47)^2+(Scale_PCA_Mechanics!J45-Scale_PCA_Mechanics!J47)^2)</f>
        <v/>
      </c>
      <c r="D1207">
        <f>INDEX(KMeans_6_2!AA2:AA51,A1207)</f>
        <v/>
      </c>
      <c r="E1207">
        <f>INDEX(KMeans_6_2!AA2:AA51,B1207)</f>
        <v/>
      </c>
      <c r="O1207">
        <f>IF(OR(AND(D1207=1,E1207=2),AND(D1207=2,E1207=1)),C1207,"")</f>
        <v/>
      </c>
      <c r="P1207">
        <f>IF(OR(AND(D1207=1,E1207=3),AND(D1207=3,E1207=1)),C1207,"")</f>
        <v/>
      </c>
      <c r="Q1207">
        <f>IF(OR(AND(D1207=2,E1207=3),AND(D1207=3,E1207=2)),C1207,"")</f>
        <v/>
      </c>
    </row>
    <row r="1208">
      <c r="A1208" t="n">
        <v>44</v>
      </c>
      <c r="B1208" t="n">
        <v>47</v>
      </c>
      <c r="C1208">
        <f>SQRT((Scale_PCA_Mechanics!G45-Scale_PCA_Mechanics!G48)^2+(Scale_PCA_Mechanics!H45-Scale_PCA_Mechanics!H48)^2+(Scale_PCA_Mechanics!I45-Scale_PCA_Mechanics!I48)^2+(Scale_PCA_Mechanics!J45-Scale_PCA_Mechanics!J48)^2)</f>
        <v/>
      </c>
      <c r="D1208">
        <f>INDEX(KMeans_6_2!AA2:AA51,A1208)</f>
        <v/>
      </c>
      <c r="E1208">
        <f>INDEX(KMeans_6_2!AA2:AA51,B1208)</f>
        <v/>
      </c>
      <c r="O1208">
        <f>IF(OR(AND(D1208=1,E1208=2),AND(D1208=2,E1208=1)),C1208,"")</f>
        <v/>
      </c>
      <c r="P1208">
        <f>IF(OR(AND(D1208=1,E1208=3),AND(D1208=3,E1208=1)),C1208,"")</f>
        <v/>
      </c>
      <c r="Q1208">
        <f>IF(OR(AND(D1208=2,E1208=3),AND(D1208=3,E1208=2)),C1208,"")</f>
        <v/>
      </c>
    </row>
    <row r="1209">
      <c r="A1209" t="n">
        <v>44</v>
      </c>
      <c r="B1209" t="n">
        <v>48</v>
      </c>
      <c r="C1209">
        <f>SQRT((Scale_PCA_Mechanics!G45-Scale_PCA_Mechanics!G49)^2+(Scale_PCA_Mechanics!H45-Scale_PCA_Mechanics!H49)^2+(Scale_PCA_Mechanics!I45-Scale_PCA_Mechanics!I49)^2+(Scale_PCA_Mechanics!J45-Scale_PCA_Mechanics!J49)^2)</f>
        <v/>
      </c>
      <c r="D1209">
        <f>INDEX(KMeans_6_2!AA2:AA51,A1209)</f>
        <v/>
      </c>
      <c r="E1209">
        <f>INDEX(KMeans_6_2!AA2:AA51,B1209)</f>
        <v/>
      </c>
      <c r="O1209">
        <f>IF(OR(AND(D1209=1,E1209=2),AND(D1209=2,E1209=1)),C1209,"")</f>
        <v/>
      </c>
      <c r="P1209">
        <f>IF(OR(AND(D1209=1,E1209=3),AND(D1209=3,E1209=1)),C1209,"")</f>
        <v/>
      </c>
      <c r="Q1209">
        <f>IF(OR(AND(D1209=2,E1209=3),AND(D1209=3,E1209=2)),C1209,"")</f>
        <v/>
      </c>
    </row>
    <row r="1210">
      <c r="A1210" t="n">
        <v>44</v>
      </c>
      <c r="B1210" t="n">
        <v>49</v>
      </c>
      <c r="C1210">
        <f>SQRT((Scale_PCA_Mechanics!G45-Scale_PCA_Mechanics!G50)^2+(Scale_PCA_Mechanics!H45-Scale_PCA_Mechanics!H50)^2+(Scale_PCA_Mechanics!I45-Scale_PCA_Mechanics!I50)^2+(Scale_PCA_Mechanics!J45-Scale_PCA_Mechanics!J50)^2)</f>
        <v/>
      </c>
      <c r="D1210">
        <f>INDEX(KMeans_6_2!AA2:AA51,A1210)</f>
        <v/>
      </c>
      <c r="E1210">
        <f>INDEX(KMeans_6_2!AA2:AA51,B1210)</f>
        <v/>
      </c>
      <c r="O1210">
        <f>IF(OR(AND(D1210=1,E1210=2),AND(D1210=2,E1210=1)),C1210,"")</f>
        <v/>
      </c>
      <c r="P1210">
        <f>IF(OR(AND(D1210=1,E1210=3),AND(D1210=3,E1210=1)),C1210,"")</f>
        <v/>
      </c>
      <c r="Q1210">
        <f>IF(OR(AND(D1210=2,E1210=3),AND(D1210=3,E1210=2)),C1210,"")</f>
        <v/>
      </c>
    </row>
    <row r="1211">
      <c r="A1211" t="n">
        <v>44</v>
      </c>
      <c r="B1211" t="n">
        <v>50</v>
      </c>
      <c r="C1211">
        <f>SQRT((Scale_PCA_Mechanics!G45-Scale_PCA_Mechanics!G51)^2+(Scale_PCA_Mechanics!H45-Scale_PCA_Mechanics!H51)^2+(Scale_PCA_Mechanics!I45-Scale_PCA_Mechanics!I51)^2+(Scale_PCA_Mechanics!J45-Scale_PCA_Mechanics!J51)^2)</f>
        <v/>
      </c>
      <c r="D1211">
        <f>INDEX(KMeans_6_2!AA2:AA51,A1211)</f>
        <v/>
      </c>
      <c r="E1211">
        <f>INDEX(KMeans_6_2!AA2:AA51,B1211)</f>
        <v/>
      </c>
      <c r="O1211">
        <f>IF(OR(AND(D1211=1,E1211=2),AND(D1211=2,E1211=1)),C1211,"")</f>
        <v/>
      </c>
      <c r="P1211">
        <f>IF(OR(AND(D1211=1,E1211=3),AND(D1211=3,E1211=1)),C1211,"")</f>
        <v/>
      </c>
      <c r="Q1211">
        <f>IF(OR(AND(D1211=2,E1211=3),AND(D1211=3,E1211=2)),C1211,"")</f>
        <v/>
      </c>
    </row>
    <row r="1212">
      <c r="A1212" t="n">
        <v>45</v>
      </c>
      <c r="B1212" t="n">
        <v>46</v>
      </c>
      <c r="C1212">
        <f>SQRT((Scale_PCA_Mechanics!G46-Scale_PCA_Mechanics!G47)^2+(Scale_PCA_Mechanics!H46-Scale_PCA_Mechanics!H47)^2+(Scale_PCA_Mechanics!I46-Scale_PCA_Mechanics!I47)^2+(Scale_PCA_Mechanics!J46-Scale_PCA_Mechanics!J47)^2)</f>
        <v/>
      </c>
      <c r="D1212">
        <f>INDEX(KMeans_6_2!AA2:AA51,A1212)</f>
        <v/>
      </c>
      <c r="E1212">
        <f>INDEX(KMeans_6_2!AA2:AA51,B1212)</f>
        <v/>
      </c>
      <c r="O1212">
        <f>IF(OR(AND(D1212=1,E1212=2),AND(D1212=2,E1212=1)),C1212,"")</f>
        <v/>
      </c>
      <c r="P1212">
        <f>IF(OR(AND(D1212=1,E1212=3),AND(D1212=3,E1212=1)),C1212,"")</f>
        <v/>
      </c>
      <c r="Q1212">
        <f>IF(OR(AND(D1212=2,E1212=3),AND(D1212=3,E1212=2)),C1212,"")</f>
        <v/>
      </c>
    </row>
    <row r="1213">
      <c r="A1213" t="n">
        <v>45</v>
      </c>
      <c r="B1213" t="n">
        <v>47</v>
      </c>
      <c r="C1213">
        <f>SQRT((Scale_PCA_Mechanics!G46-Scale_PCA_Mechanics!G48)^2+(Scale_PCA_Mechanics!H46-Scale_PCA_Mechanics!H48)^2+(Scale_PCA_Mechanics!I46-Scale_PCA_Mechanics!I48)^2+(Scale_PCA_Mechanics!J46-Scale_PCA_Mechanics!J48)^2)</f>
        <v/>
      </c>
      <c r="D1213">
        <f>INDEX(KMeans_6_2!AA2:AA51,A1213)</f>
        <v/>
      </c>
      <c r="E1213">
        <f>INDEX(KMeans_6_2!AA2:AA51,B1213)</f>
        <v/>
      </c>
      <c r="O1213">
        <f>IF(OR(AND(D1213=1,E1213=2),AND(D1213=2,E1213=1)),C1213,"")</f>
        <v/>
      </c>
      <c r="P1213">
        <f>IF(OR(AND(D1213=1,E1213=3),AND(D1213=3,E1213=1)),C1213,"")</f>
        <v/>
      </c>
      <c r="Q1213">
        <f>IF(OR(AND(D1213=2,E1213=3),AND(D1213=3,E1213=2)),C1213,"")</f>
        <v/>
      </c>
    </row>
    <row r="1214">
      <c r="A1214" t="n">
        <v>45</v>
      </c>
      <c r="B1214" t="n">
        <v>48</v>
      </c>
      <c r="C1214">
        <f>SQRT((Scale_PCA_Mechanics!G46-Scale_PCA_Mechanics!G49)^2+(Scale_PCA_Mechanics!H46-Scale_PCA_Mechanics!H49)^2+(Scale_PCA_Mechanics!I46-Scale_PCA_Mechanics!I49)^2+(Scale_PCA_Mechanics!J46-Scale_PCA_Mechanics!J49)^2)</f>
        <v/>
      </c>
      <c r="D1214">
        <f>INDEX(KMeans_6_2!AA2:AA51,A1214)</f>
        <v/>
      </c>
      <c r="E1214">
        <f>INDEX(KMeans_6_2!AA2:AA51,B1214)</f>
        <v/>
      </c>
      <c r="O1214">
        <f>IF(OR(AND(D1214=1,E1214=2),AND(D1214=2,E1214=1)),C1214,"")</f>
        <v/>
      </c>
      <c r="P1214">
        <f>IF(OR(AND(D1214=1,E1214=3),AND(D1214=3,E1214=1)),C1214,"")</f>
        <v/>
      </c>
      <c r="Q1214">
        <f>IF(OR(AND(D1214=2,E1214=3),AND(D1214=3,E1214=2)),C1214,"")</f>
        <v/>
      </c>
    </row>
    <row r="1215">
      <c r="A1215" t="n">
        <v>45</v>
      </c>
      <c r="B1215" t="n">
        <v>49</v>
      </c>
      <c r="C1215">
        <f>SQRT((Scale_PCA_Mechanics!G46-Scale_PCA_Mechanics!G50)^2+(Scale_PCA_Mechanics!H46-Scale_PCA_Mechanics!H50)^2+(Scale_PCA_Mechanics!I46-Scale_PCA_Mechanics!I50)^2+(Scale_PCA_Mechanics!J46-Scale_PCA_Mechanics!J50)^2)</f>
        <v/>
      </c>
      <c r="D1215">
        <f>INDEX(KMeans_6_2!AA2:AA51,A1215)</f>
        <v/>
      </c>
      <c r="E1215">
        <f>INDEX(KMeans_6_2!AA2:AA51,B1215)</f>
        <v/>
      </c>
      <c r="O1215">
        <f>IF(OR(AND(D1215=1,E1215=2),AND(D1215=2,E1215=1)),C1215,"")</f>
        <v/>
      </c>
      <c r="P1215">
        <f>IF(OR(AND(D1215=1,E1215=3),AND(D1215=3,E1215=1)),C1215,"")</f>
        <v/>
      </c>
      <c r="Q1215">
        <f>IF(OR(AND(D1215=2,E1215=3),AND(D1215=3,E1215=2)),C1215,"")</f>
        <v/>
      </c>
    </row>
    <row r="1216">
      <c r="A1216" t="n">
        <v>45</v>
      </c>
      <c r="B1216" t="n">
        <v>50</v>
      </c>
      <c r="C1216">
        <f>SQRT((Scale_PCA_Mechanics!G46-Scale_PCA_Mechanics!G51)^2+(Scale_PCA_Mechanics!H46-Scale_PCA_Mechanics!H51)^2+(Scale_PCA_Mechanics!I46-Scale_PCA_Mechanics!I51)^2+(Scale_PCA_Mechanics!J46-Scale_PCA_Mechanics!J51)^2)</f>
        <v/>
      </c>
      <c r="D1216">
        <f>INDEX(KMeans_6_2!AA2:AA51,A1216)</f>
        <v/>
      </c>
      <c r="E1216">
        <f>INDEX(KMeans_6_2!AA2:AA51,B1216)</f>
        <v/>
      </c>
      <c r="O1216">
        <f>IF(OR(AND(D1216=1,E1216=2),AND(D1216=2,E1216=1)),C1216,"")</f>
        <v/>
      </c>
      <c r="P1216">
        <f>IF(OR(AND(D1216=1,E1216=3),AND(D1216=3,E1216=1)),C1216,"")</f>
        <v/>
      </c>
      <c r="Q1216">
        <f>IF(OR(AND(D1216=2,E1216=3),AND(D1216=3,E1216=2)),C1216,"")</f>
        <v/>
      </c>
    </row>
    <row r="1217">
      <c r="A1217" t="n">
        <v>46</v>
      </c>
      <c r="B1217" t="n">
        <v>47</v>
      </c>
      <c r="C1217">
        <f>SQRT((Scale_PCA_Mechanics!G47-Scale_PCA_Mechanics!G48)^2+(Scale_PCA_Mechanics!H47-Scale_PCA_Mechanics!H48)^2+(Scale_PCA_Mechanics!I47-Scale_PCA_Mechanics!I48)^2+(Scale_PCA_Mechanics!J47-Scale_PCA_Mechanics!J48)^2)</f>
        <v/>
      </c>
      <c r="D1217">
        <f>INDEX(KMeans_6_2!AA2:AA51,A1217)</f>
        <v/>
      </c>
      <c r="E1217">
        <f>INDEX(KMeans_6_2!AA2:AA51,B1217)</f>
        <v/>
      </c>
      <c r="O1217">
        <f>IF(OR(AND(D1217=1,E1217=2),AND(D1217=2,E1217=1)),C1217,"")</f>
        <v/>
      </c>
      <c r="P1217">
        <f>IF(OR(AND(D1217=1,E1217=3),AND(D1217=3,E1217=1)),C1217,"")</f>
        <v/>
      </c>
      <c r="Q1217">
        <f>IF(OR(AND(D1217=2,E1217=3),AND(D1217=3,E1217=2)),C1217,"")</f>
        <v/>
      </c>
    </row>
    <row r="1218">
      <c r="A1218" t="n">
        <v>46</v>
      </c>
      <c r="B1218" t="n">
        <v>48</v>
      </c>
      <c r="C1218">
        <f>SQRT((Scale_PCA_Mechanics!G47-Scale_PCA_Mechanics!G49)^2+(Scale_PCA_Mechanics!H47-Scale_PCA_Mechanics!H49)^2+(Scale_PCA_Mechanics!I47-Scale_PCA_Mechanics!I49)^2+(Scale_PCA_Mechanics!J47-Scale_PCA_Mechanics!J49)^2)</f>
        <v/>
      </c>
      <c r="D1218">
        <f>INDEX(KMeans_6_2!AA2:AA51,A1218)</f>
        <v/>
      </c>
      <c r="E1218">
        <f>INDEX(KMeans_6_2!AA2:AA51,B1218)</f>
        <v/>
      </c>
      <c r="O1218">
        <f>IF(OR(AND(D1218=1,E1218=2),AND(D1218=2,E1218=1)),C1218,"")</f>
        <v/>
      </c>
      <c r="P1218">
        <f>IF(OR(AND(D1218=1,E1218=3),AND(D1218=3,E1218=1)),C1218,"")</f>
        <v/>
      </c>
      <c r="Q1218">
        <f>IF(OR(AND(D1218=2,E1218=3),AND(D1218=3,E1218=2)),C1218,"")</f>
        <v/>
      </c>
    </row>
    <row r="1219">
      <c r="A1219" t="n">
        <v>46</v>
      </c>
      <c r="B1219" t="n">
        <v>49</v>
      </c>
      <c r="C1219">
        <f>SQRT((Scale_PCA_Mechanics!G47-Scale_PCA_Mechanics!G50)^2+(Scale_PCA_Mechanics!H47-Scale_PCA_Mechanics!H50)^2+(Scale_PCA_Mechanics!I47-Scale_PCA_Mechanics!I50)^2+(Scale_PCA_Mechanics!J47-Scale_PCA_Mechanics!J50)^2)</f>
        <v/>
      </c>
      <c r="D1219">
        <f>INDEX(KMeans_6_2!AA2:AA51,A1219)</f>
        <v/>
      </c>
      <c r="E1219">
        <f>INDEX(KMeans_6_2!AA2:AA51,B1219)</f>
        <v/>
      </c>
      <c r="O1219">
        <f>IF(OR(AND(D1219=1,E1219=2),AND(D1219=2,E1219=1)),C1219,"")</f>
        <v/>
      </c>
      <c r="P1219">
        <f>IF(OR(AND(D1219=1,E1219=3),AND(D1219=3,E1219=1)),C1219,"")</f>
        <v/>
      </c>
      <c r="Q1219">
        <f>IF(OR(AND(D1219=2,E1219=3),AND(D1219=3,E1219=2)),C1219,"")</f>
        <v/>
      </c>
    </row>
    <row r="1220">
      <c r="A1220" t="n">
        <v>46</v>
      </c>
      <c r="B1220" t="n">
        <v>50</v>
      </c>
      <c r="C1220">
        <f>SQRT((Scale_PCA_Mechanics!G47-Scale_PCA_Mechanics!G51)^2+(Scale_PCA_Mechanics!H47-Scale_PCA_Mechanics!H51)^2+(Scale_PCA_Mechanics!I47-Scale_PCA_Mechanics!I51)^2+(Scale_PCA_Mechanics!J47-Scale_PCA_Mechanics!J51)^2)</f>
        <v/>
      </c>
      <c r="D1220">
        <f>INDEX(KMeans_6_2!AA2:AA51,A1220)</f>
        <v/>
      </c>
      <c r="E1220">
        <f>INDEX(KMeans_6_2!AA2:AA51,B1220)</f>
        <v/>
      </c>
      <c r="O1220">
        <f>IF(OR(AND(D1220=1,E1220=2),AND(D1220=2,E1220=1)),C1220,"")</f>
        <v/>
      </c>
      <c r="P1220">
        <f>IF(OR(AND(D1220=1,E1220=3),AND(D1220=3,E1220=1)),C1220,"")</f>
        <v/>
      </c>
      <c r="Q1220">
        <f>IF(OR(AND(D1220=2,E1220=3),AND(D1220=3,E1220=2)),C1220,"")</f>
        <v/>
      </c>
    </row>
    <row r="1221">
      <c r="A1221" t="n">
        <v>47</v>
      </c>
      <c r="B1221" t="n">
        <v>48</v>
      </c>
      <c r="C1221">
        <f>SQRT((Scale_PCA_Mechanics!G48-Scale_PCA_Mechanics!G49)^2+(Scale_PCA_Mechanics!H48-Scale_PCA_Mechanics!H49)^2+(Scale_PCA_Mechanics!I48-Scale_PCA_Mechanics!I49)^2+(Scale_PCA_Mechanics!J48-Scale_PCA_Mechanics!J49)^2)</f>
        <v/>
      </c>
      <c r="D1221">
        <f>INDEX(KMeans_6_2!AA2:AA51,A1221)</f>
        <v/>
      </c>
      <c r="E1221">
        <f>INDEX(KMeans_6_2!AA2:AA51,B1221)</f>
        <v/>
      </c>
      <c r="O1221">
        <f>IF(OR(AND(D1221=1,E1221=2),AND(D1221=2,E1221=1)),C1221,"")</f>
        <v/>
      </c>
      <c r="P1221">
        <f>IF(OR(AND(D1221=1,E1221=3),AND(D1221=3,E1221=1)),C1221,"")</f>
        <v/>
      </c>
      <c r="Q1221">
        <f>IF(OR(AND(D1221=2,E1221=3),AND(D1221=3,E1221=2)),C1221,"")</f>
        <v/>
      </c>
    </row>
    <row r="1222">
      <c r="A1222" t="n">
        <v>47</v>
      </c>
      <c r="B1222" t="n">
        <v>49</v>
      </c>
      <c r="C1222">
        <f>SQRT((Scale_PCA_Mechanics!G48-Scale_PCA_Mechanics!G50)^2+(Scale_PCA_Mechanics!H48-Scale_PCA_Mechanics!H50)^2+(Scale_PCA_Mechanics!I48-Scale_PCA_Mechanics!I50)^2+(Scale_PCA_Mechanics!J48-Scale_PCA_Mechanics!J50)^2)</f>
        <v/>
      </c>
      <c r="D1222">
        <f>INDEX(KMeans_6_2!AA2:AA51,A1222)</f>
        <v/>
      </c>
      <c r="E1222">
        <f>INDEX(KMeans_6_2!AA2:AA51,B1222)</f>
        <v/>
      </c>
      <c r="O1222">
        <f>IF(OR(AND(D1222=1,E1222=2),AND(D1222=2,E1222=1)),C1222,"")</f>
        <v/>
      </c>
      <c r="P1222">
        <f>IF(OR(AND(D1222=1,E1222=3),AND(D1222=3,E1222=1)),C1222,"")</f>
        <v/>
      </c>
      <c r="Q1222">
        <f>IF(OR(AND(D1222=2,E1222=3),AND(D1222=3,E1222=2)),C1222,"")</f>
        <v/>
      </c>
    </row>
    <row r="1223">
      <c r="A1223" t="n">
        <v>47</v>
      </c>
      <c r="B1223" t="n">
        <v>50</v>
      </c>
      <c r="C1223">
        <f>SQRT((Scale_PCA_Mechanics!G48-Scale_PCA_Mechanics!G51)^2+(Scale_PCA_Mechanics!H48-Scale_PCA_Mechanics!H51)^2+(Scale_PCA_Mechanics!I48-Scale_PCA_Mechanics!I51)^2+(Scale_PCA_Mechanics!J48-Scale_PCA_Mechanics!J51)^2)</f>
        <v/>
      </c>
      <c r="D1223">
        <f>INDEX(KMeans_6_2!AA2:AA51,A1223)</f>
        <v/>
      </c>
      <c r="E1223">
        <f>INDEX(KMeans_6_2!AA2:AA51,B1223)</f>
        <v/>
      </c>
      <c r="O1223">
        <f>IF(OR(AND(D1223=1,E1223=2),AND(D1223=2,E1223=1)),C1223,"")</f>
        <v/>
      </c>
      <c r="P1223">
        <f>IF(OR(AND(D1223=1,E1223=3),AND(D1223=3,E1223=1)),C1223,"")</f>
        <v/>
      </c>
      <c r="Q1223">
        <f>IF(OR(AND(D1223=2,E1223=3),AND(D1223=3,E1223=2)),C1223,"")</f>
        <v/>
      </c>
    </row>
    <row r="1224">
      <c r="A1224" t="n">
        <v>48</v>
      </c>
      <c r="B1224" t="n">
        <v>49</v>
      </c>
      <c r="C1224">
        <f>SQRT((Scale_PCA_Mechanics!G49-Scale_PCA_Mechanics!G50)^2+(Scale_PCA_Mechanics!H49-Scale_PCA_Mechanics!H50)^2+(Scale_PCA_Mechanics!I49-Scale_PCA_Mechanics!I50)^2+(Scale_PCA_Mechanics!J49-Scale_PCA_Mechanics!J50)^2)</f>
        <v/>
      </c>
      <c r="D1224">
        <f>INDEX(KMeans_6_2!AA2:AA51,A1224)</f>
        <v/>
      </c>
      <c r="E1224">
        <f>INDEX(KMeans_6_2!AA2:AA51,B1224)</f>
        <v/>
      </c>
      <c r="O1224">
        <f>IF(OR(AND(D1224=1,E1224=2),AND(D1224=2,E1224=1)),C1224,"")</f>
        <v/>
      </c>
      <c r="P1224">
        <f>IF(OR(AND(D1224=1,E1224=3),AND(D1224=3,E1224=1)),C1224,"")</f>
        <v/>
      </c>
      <c r="Q1224">
        <f>IF(OR(AND(D1224=2,E1224=3),AND(D1224=3,E1224=2)),C1224,"")</f>
        <v/>
      </c>
    </row>
    <row r="1225">
      <c r="A1225" t="n">
        <v>48</v>
      </c>
      <c r="B1225" t="n">
        <v>50</v>
      </c>
      <c r="C1225">
        <f>SQRT((Scale_PCA_Mechanics!G49-Scale_PCA_Mechanics!G51)^2+(Scale_PCA_Mechanics!H49-Scale_PCA_Mechanics!H51)^2+(Scale_PCA_Mechanics!I49-Scale_PCA_Mechanics!I51)^2+(Scale_PCA_Mechanics!J49-Scale_PCA_Mechanics!J51)^2)</f>
        <v/>
      </c>
      <c r="D1225">
        <f>INDEX(KMeans_6_2!AA2:AA51,A1225)</f>
        <v/>
      </c>
      <c r="E1225">
        <f>INDEX(KMeans_6_2!AA2:AA51,B1225)</f>
        <v/>
      </c>
      <c r="O1225">
        <f>IF(OR(AND(D1225=1,E1225=2),AND(D1225=2,E1225=1)),C1225,"")</f>
        <v/>
      </c>
      <c r="P1225">
        <f>IF(OR(AND(D1225=1,E1225=3),AND(D1225=3,E1225=1)),C1225,"")</f>
        <v/>
      </c>
      <c r="Q1225">
        <f>IF(OR(AND(D1225=2,E1225=3),AND(D1225=3,E1225=2)),C1225,"")</f>
        <v/>
      </c>
    </row>
    <row r="1226">
      <c r="A1226" t="n">
        <v>49</v>
      </c>
      <c r="B1226" t="n">
        <v>50</v>
      </c>
      <c r="C1226">
        <f>SQRT((Scale_PCA_Mechanics!G50-Scale_PCA_Mechanics!G51)^2+(Scale_PCA_Mechanics!H50-Scale_PCA_Mechanics!H51)^2+(Scale_PCA_Mechanics!I50-Scale_PCA_Mechanics!I51)^2+(Scale_PCA_Mechanics!J50-Scale_PCA_Mechanics!J51)^2)</f>
        <v/>
      </c>
      <c r="D1226">
        <f>INDEX(KMeans_6_2!AA2:AA51,A1226)</f>
        <v/>
      </c>
      <c r="E1226">
        <f>INDEX(KMeans_6_2!AA2:AA51,B1226)</f>
        <v/>
      </c>
      <c r="O1226">
        <f>IF(OR(AND(D1226=1,E1226=2),AND(D1226=2,E1226=1)),C1226,"")</f>
        <v/>
      </c>
      <c r="P1226">
        <f>IF(OR(AND(D1226=1,E1226=3),AND(D1226=3,E1226=1)),C1226,"")</f>
        <v/>
      </c>
      <c r="Q1226">
        <f>IF(OR(AND(D1226=2,E1226=3),AND(D1226=3,E1226=2)),C1226,"")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0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id</t>
        </is>
      </c>
      <c r="B1" t="inlineStr">
        <is>
          <t>Limit</t>
        </is>
      </c>
      <c r="C1" t="inlineStr">
        <is>
          <t>Rating</t>
        </is>
      </c>
      <c r="D1" t="inlineStr">
        <is>
          <t>z_Limit</t>
        </is>
      </c>
      <c r="E1" t="inlineStr">
        <is>
          <t>z_Rating</t>
        </is>
      </c>
      <c r="F1" t="inlineStr">
        <is>
          <t>PC1_score</t>
        </is>
      </c>
    </row>
    <row r="2">
      <c r="A2" t="n">
        <v>1</v>
      </c>
      <c r="B2" t="n">
        <v>3606</v>
      </c>
      <c r="C2" t="n">
        <v>283</v>
      </c>
      <c r="D2">
        <f>(B2-$B$405)/$B$406</f>
        <v/>
      </c>
      <c r="E2">
        <f>(C2-$C$405)/$C$406</f>
        <v/>
      </c>
      <c r="F2">
        <f>D2*$I$5+E2*$I$6</f>
        <v/>
      </c>
      <c r="H2" t="inlineStr">
        <is>
          <t>corr_r</t>
        </is>
      </c>
      <c r="I2">
        <f>CORREL(D2:D401,E2:E401)</f>
        <v/>
      </c>
    </row>
    <row r="3">
      <c r="A3" t="n">
        <v>2</v>
      </c>
      <c r="B3" t="n">
        <v>6645</v>
      </c>
      <c r="C3" t="n">
        <v>483</v>
      </c>
      <c r="D3">
        <f>(B3-$B$405)/$B$406</f>
        <v/>
      </c>
      <c r="E3">
        <f>(C3-$C$405)/$C$406</f>
        <v/>
      </c>
      <c r="F3">
        <f>D3*$I$5+E3*$I$6</f>
        <v/>
      </c>
      <c r="H3" t="inlineStr">
        <is>
          <t>lambda1</t>
        </is>
      </c>
      <c r="I3">
        <f>1+ABS(I2)</f>
        <v/>
      </c>
    </row>
    <row r="4">
      <c r="A4" t="n">
        <v>3</v>
      </c>
      <c r="B4" t="n">
        <v>7075</v>
      </c>
      <c r="C4" t="n">
        <v>514</v>
      </c>
      <c r="D4">
        <f>(B4-$B$405)/$B$406</f>
        <v/>
      </c>
      <c r="E4">
        <f>(C4-$C$405)/$C$406</f>
        <v/>
      </c>
      <c r="F4">
        <f>D4*$I$5+E4*$I$6</f>
        <v/>
      </c>
      <c r="H4" t="inlineStr">
        <is>
          <t>lambda2</t>
        </is>
      </c>
      <c r="I4">
        <f>1-ABS(I2)</f>
        <v/>
      </c>
    </row>
    <row r="5">
      <c r="A5" t="n">
        <v>4</v>
      </c>
      <c r="B5" t="n">
        <v>9504</v>
      </c>
      <c r="C5" t="n">
        <v>681</v>
      </c>
      <c r="D5">
        <f>(B5-$B$405)/$B$406</f>
        <v/>
      </c>
      <c r="E5">
        <f>(C5-$C$405)/$C$406</f>
        <v/>
      </c>
      <c r="F5">
        <f>D5*$I$5+E5*$I$6</f>
        <v/>
      </c>
      <c r="H5" t="inlineStr">
        <is>
          <t>loading_limit_pc1</t>
        </is>
      </c>
      <c r="I5">
        <f>IF(I2&gt;=0,1/SQRT(2),1/SQRT(2))</f>
        <v/>
      </c>
    </row>
    <row r="6">
      <c r="A6" t="n">
        <v>5</v>
      </c>
      <c r="B6" t="n">
        <v>4897</v>
      </c>
      <c r="C6" t="n">
        <v>357</v>
      </c>
      <c r="D6">
        <f>(B6-$B$405)/$B$406</f>
        <v/>
      </c>
      <c r="E6">
        <f>(C6-$C$405)/$C$406</f>
        <v/>
      </c>
      <c r="F6">
        <f>D6*$I$5+E6*$I$6</f>
        <v/>
      </c>
      <c r="H6" t="inlineStr">
        <is>
          <t>loading_rating_pc1</t>
        </is>
      </c>
      <c r="I6">
        <f>IF(I2&gt;=0,1/SQRT(2),-1/SQRT(2))</f>
        <v/>
      </c>
    </row>
    <row r="7">
      <c r="A7" t="n">
        <v>6</v>
      </c>
      <c r="B7" t="n">
        <v>8047</v>
      </c>
      <c r="C7" t="n">
        <v>569</v>
      </c>
      <c r="D7">
        <f>(B7-$B$405)/$B$406</f>
        <v/>
      </c>
      <c r="E7">
        <f>(C7-$C$405)/$C$406</f>
        <v/>
      </c>
      <c r="F7">
        <f>D7*$I$5+E7*$I$6</f>
        <v/>
      </c>
      <c r="H7" t="inlineStr">
        <is>
          <t>PVE_PC1</t>
        </is>
      </c>
      <c r="I7">
        <f>I3/2</f>
        <v/>
      </c>
    </row>
    <row r="8">
      <c r="A8" t="n">
        <v>7</v>
      </c>
      <c r="B8" t="n">
        <v>3388</v>
      </c>
      <c r="C8" t="n">
        <v>259</v>
      </c>
      <c r="D8">
        <f>(B8-$B$405)/$B$406</f>
        <v/>
      </c>
      <c r="E8">
        <f>(C8-$C$405)/$C$406</f>
        <v/>
      </c>
      <c r="F8">
        <f>D8*$I$5+E8*$I$6</f>
        <v/>
      </c>
    </row>
    <row r="9">
      <c r="A9" t="n">
        <v>8</v>
      </c>
      <c r="B9" t="n">
        <v>7114</v>
      </c>
      <c r="C9" t="n">
        <v>512</v>
      </c>
      <c r="D9">
        <f>(B9-$B$405)/$B$406</f>
        <v/>
      </c>
      <c r="E9">
        <f>(C9-$C$405)/$C$406</f>
        <v/>
      </c>
      <c r="F9">
        <f>D9*$I$5+E9*$I$6</f>
        <v/>
      </c>
    </row>
    <row r="10">
      <c r="A10" t="n">
        <v>9</v>
      </c>
      <c r="B10" t="n">
        <v>3300</v>
      </c>
      <c r="C10" t="n">
        <v>266</v>
      </c>
      <c r="D10">
        <f>(B10-$B$405)/$B$406</f>
        <v/>
      </c>
      <c r="E10">
        <f>(C10-$C$405)/$C$406</f>
        <v/>
      </c>
      <c r="F10">
        <f>D10*$I$5+E10*$I$6</f>
        <v/>
      </c>
    </row>
    <row r="11">
      <c r="A11" t="n">
        <v>10</v>
      </c>
      <c r="B11" t="n">
        <v>6819</v>
      </c>
      <c r="C11" t="n">
        <v>491</v>
      </c>
      <c r="D11">
        <f>(B11-$B$405)/$B$406</f>
        <v/>
      </c>
      <c r="E11">
        <f>(C11-$C$405)/$C$406</f>
        <v/>
      </c>
      <c r="F11">
        <f>D11*$I$5+E11*$I$6</f>
        <v/>
      </c>
    </row>
    <row r="12">
      <c r="A12" t="n">
        <v>11</v>
      </c>
      <c r="B12" t="n">
        <v>8117</v>
      </c>
      <c r="C12" t="n">
        <v>589</v>
      </c>
      <c r="D12">
        <f>(B12-$B$405)/$B$406</f>
        <v/>
      </c>
      <c r="E12">
        <f>(C12-$C$405)/$C$406</f>
        <v/>
      </c>
      <c r="F12">
        <f>D12*$I$5+E12*$I$6</f>
        <v/>
      </c>
    </row>
    <row r="13">
      <c r="A13" t="n">
        <v>12</v>
      </c>
      <c r="B13" t="n">
        <v>1311</v>
      </c>
      <c r="C13" t="n">
        <v>138</v>
      </c>
      <c r="D13">
        <f>(B13-$B$405)/$B$406</f>
        <v/>
      </c>
      <c r="E13">
        <f>(C13-$C$405)/$C$406</f>
        <v/>
      </c>
      <c r="F13">
        <f>D13*$I$5+E13*$I$6</f>
        <v/>
      </c>
    </row>
    <row r="14">
      <c r="A14" t="n">
        <v>13</v>
      </c>
      <c r="B14" t="n">
        <v>5308</v>
      </c>
      <c r="C14" t="n">
        <v>394</v>
      </c>
      <c r="D14">
        <f>(B14-$B$405)/$B$406</f>
        <v/>
      </c>
      <c r="E14">
        <f>(C14-$C$405)/$C$406</f>
        <v/>
      </c>
      <c r="F14">
        <f>D14*$I$5+E14*$I$6</f>
        <v/>
      </c>
    </row>
    <row r="15">
      <c r="A15" t="n">
        <v>14</v>
      </c>
      <c r="B15" t="n">
        <v>6922</v>
      </c>
      <c r="C15" t="n">
        <v>511</v>
      </c>
      <c r="D15">
        <f>(B15-$B$405)/$B$406</f>
        <v/>
      </c>
      <c r="E15">
        <f>(C15-$C$405)/$C$406</f>
        <v/>
      </c>
      <c r="F15">
        <f>D15*$I$5+E15*$I$6</f>
        <v/>
      </c>
    </row>
    <row r="16">
      <c r="A16" t="n">
        <v>15</v>
      </c>
      <c r="B16" t="n">
        <v>3291</v>
      </c>
      <c r="C16" t="n">
        <v>269</v>
      </c>
      <c r="D16">
        <f>(B16-$B$405)/$B$406</f>
        <v/>
      </c>
      <c r="E16">
        <f>(C16-$C$405)/$C$406</f>
        <v/>
      </c>
      <c r="F16">
        <f>D16*$I$5+E16*$I$6</f>
        <v/>
      </c>
    </row>
    <row r="17">
      <c r="A17" t="n">
        <v>16</v>
      </c>
      <c r="B17" t="n">
        <v>2525</v>
      </c>
      <c r="C17" t="n">
        <v>200</v>
      </c>
      <c r="D17">
        <f>(B17-$B$405)/$B$406</f>
        <v/>
      </c>
      <c r="E17">
        <f>(C17-$C$405)/$C$406</f>
        <v/>
      </c>
      <c r="F17">
        <f>D17*$I$5+E17*$I$6</f>
        <v/>
      </c>
    </row>
    <row r="18">
      <c r="A18" t="n">
        <v>17</v>
      </c>
      <c r="B18" t="n">
        <v>3714</v>
      </c>
      <c r="C18" t="n">
        <v>286</v>
      </c>
      <c r="D18">
        <f>(B18-$B$405)/$B$406</f>
        <v/>
      </c>
      <c r="E18">
        <f>(C18-$C$405)/$C$406</f>
        <v/>
      </c>
      <c r="F18">
        <f>D18*$I$5+E18*$I$6</f>
        <v/>
      </c>
    </row>
    <row r="19">
      <c r="A19" t="n">
        <v>18</v>
      </c>
      <c r="B19" t="n">
        <v>4378</v>
      </c>
      <c r="C19" t="n">
        <v>339</v>
      </c>
      <c r="D19">
        <f>(B19-$B$405)/$B$406</f>
        <v/>
      </c>
      <c r="E19">
        <f>(C19-$C$405)/$C$406</f>
        <v/>
      </c>
      <c r="F19">
        <f>D19*$I$5+E19*$I$6</f>
        <v/>
      </c>
    </row>
    <row r="20">
      <c r="A20" t="n">
        <v>19</v>
      </c>
      <c r="B20" t="n">
        <v>6384</v>
      </c>
      <c r="C20" t="n">
        <v>448</v>
      </c>
      <c r="D20">
        <f>(B20-$B$405)/$B$406</f>
        <v/>
      </c>
      <c r="E20">
        <f>(C20-$C$405)/$C$406</f>
        <v/>
      </c>
      <c r="F20">
        <f>D20*$I$5+E20*$I$6</f>
        <v/>
      </c>
    </row>
    <row r="21">
      <c r="A21" t="n">
        <v>20</v>
      </c>
      <c r="B21" t="n">
        <v>6626</v>
      </c>
      <c r="C21" t="n">
        <v>479</v>
      </c>
      <c r="D21">
        <f>(B21-$B$405)/$B$406</f>
        <v/>
      </c>
      <c r="E21">
        <f>(C21-$C$405)/$C$406</f>
        <v/>
      </c>
      <c r="F21">
        <f>D21*$I$5+E21*$I$6</f>
        <v/>
      </c>
    </row>
    <row r="22">
      <c r="A22" t="n">
        <v>21</v>
      </c>
      <c r="B22" t="n">
        <v>2860</v>
      </c>
      <c r="C22" t="n">
        <v>235</v>
      </c>
      <c r="D22">
        <f>(B22-$B$405)/$B$406</f>
        <v/>
      </c>
      <c r="E22">
        <f>(C22-$C$405)/$C$406</f>
        <v/>
      </c>
      <c r="F22">
        <f>D22*$I$5+E22*$I$6</f>
        <v/>
      </c>
    </row>
    <row r="23">
      <c r="A23" t="n">
        <v>22</v>
      </c>
      <c r="B23" t="n">
        <v>6378</v>
      </c>
      <c r="C23" t="n">
        <v>458</v>
      </c>
      <c r="D23">
        <f>(B23-$B$405)/$B$406</f>
        <v/>
      </c>
      <c r="E23">
        <f>(C23-$C$405)/$C$406</f>
        <v/>
      </c>
      <c r="F23">
        <f>D23*$I$5+E23*$I$6</f>
        <v/>
      </c>
    </row>
    <row r="24">
      <c r="A24" t="n">
        <v>23</v>
      </c>
      <c r="B24" t="n">
        <v>2631</v>
      </c>
      <c r="C24" t="n">
        <v>213</v>
      </c>
      <c r="D24">
        <f>(B24-$B$405)/$B$406</f>
        <v/>
      </c>
      <c r="E24">
        <f>(C24-$C$405)/$C$406</f>
        <v/>
      </c>
      <c r="F24">
        <f>D24*$I$5+E24*$I$6</f>
        <v/>
      </c>
    </row>
    <row r="25">
      <c r="A25" t="n">
        <v>24</v>
      </c>
      <c r="B25" t="n">
        <v>5179</v>
      </c>
      <c r="C25" t="n">
        <v>398</v>
      </c>
      <c r="D25">
        <f>(B25-$B$405)/$B$406</f>
        <v/>
      </c>
      <c r="E25">
        <f>(C25-$C$405)/$C$406</f>
        <v/>
      </c>
      <c r="F25">
        <f>D25*$I$5+E25*$I$6</f>
        <v/>
      </c>
    </row>
    <row r="26">
      <c r="A26" t="n">
        <v>25</v>
      </c>
      <c r="B26" t="n">
        <v>1757</v>
      </c>
      <c r="C26" t="n">
        <v>156</v>
      </c>
      <c r="D26">
        <f>(B26-$B$405)/$B$406</f>
        <v/>
      </c>
      <c r="E26">
        <f>(C26-$C$405)/$C$406</f>
        <v/>
      </c>
      <c r="F26">
        <f>D26*$I$5+E26*$I$6</f>
        <v/>
      </c>
    </row>
    <row r="27">
      <c r="A27" t="n">
        <v>26</v>
      </c>
      <c r="B27" t="n">
        <v>4323</v>
      </c>
      <c r="C27" t="n">
        <v>326</v>
      </c>
      <c r="D27">
        <f>(B27-$B$405)/$B$406</f>
        <v/>
      </c>
      <c r="E27">
        <f>(C27-$C$405)/$C$406</f>
        <v/>
      </c>
      <c r="F27">
        <f>D27*$I$5+E27*$I$6</f>
        <v/>
      </c>
    </row>
    <row r="28">
      <c r="A28" t="n">
        <v>27</v>
      </c>
      <c r="B28" t="n">
        <v>3625</v>
      </c>
      <c r="C28" t="n">
        <v>289</v>
      </c>
      <c r="D28">
        <f>(B28-$B$405)/$B$406</f>
        <v/>
      </c>
      <c r="E28">
        <f>(C28-$C$405)/$C$406</f>
        <v/>
      </c>
      <c r="F28">
        <f>D28*$I$5+E28*$I$6</f>
        <v/>
      </c>
    </row>
    <row r="29">
      <c r="A29" t="n">
        <v>28</v>
      </c>
      <c r="B29" t="n">
        <v>4534</v>
      </c>
      <c r="C29" t="n">
        <v>333</v>
      </c>
      <c r="D29">
        <f>(B29-$B$405)/$B$406</f>
        <v/>
      </c>
      <c r="E29">
        <f>(C29-$C$405)/$C$406</f>
        <v/>
      </c>
      <c r="F29">
        <f>D29*$I$5+E29*$I$6</f>
        <v/>
      </c>
    </row>
    <row r="30">
      <c r="A30" t="n">
        <v>29</v>
      </c>
      <c r="B30" t="n">
        <v>13414</v>
      </c>
      <c r="C30" t="n">
        <v>949</v>
      </c>
      <c r="D30">
        <f>(B30-$B$405)/$B$406</f>
        <v/>
      </c>
      <c r="E30">
        <f>(C30-$C$405)/$C$406</f>
        <v/>
      </c>
      <c r="F30">
        <f>D30*$I$5+E30*$I$6</f>
        <v/>
      </c>
    </row>
    <row r="31">
      <c r="A31" t="n">
        <v>30</v>
      </c>
      <c r="B31" t="n">
        <v>5611</v>
      </c>
      <c r="C31" t="n">
        <v>411</v>
      </c>
      <c r="D31">
        <f>(B31-$B$405)/$B$406</f>
        <v/>
      </c>
      <c r="E31">
        <f>(C31-$C$405)/$C$406</f>
        <v/>
      </c>
      <c r="F31">
        <f>D31*$I$5+E31*$I$6</f>
        <v/>
      </c>
    </row>
    <row r="32">
      <c r="A32" t="n">
        <v>31</v>
      </c>
      <c r="B32" t="n">
        <v>5666</v>
      </c>
      <c r="C32" t="n">
        <v>413</v>
      </c>
      <c r="D32">
        <f>(B32-$B$405)/$B$406</f>
        <v/>
      </c>
      <c r="E32">
        <f>(C32-$C$405)/$C$406</f>
        <v/>
      </c>
      <c r="F32">
        <f>D32*$I$5+E32*$I$6</f>
        <v/>
      </c>
    </row>
    <row r="33">
      <c r="A33" t="n">
        <v>32</v>
      </c>
      <c r="B33" t="n">
        <v>2733</v>
      </c>
      <c r="C33" t="n">
        <v>210</v>
      </c>
      <c r="D33">
        <f>(B33-$B$405)/$B$406</f>
        <v/>
      </c>
      <c r="E33">
        <f>(C33-$C$405)/$C$406</f>
        <v/>
      </c>
      <c r="F33">
        <f>D33*$I$5+E33*$I$6</f>
        <v/>
      </c>
    </row>
    <row r="34">
      <c r="A34" t="n">
        <v>33</v>
      </c>
      <c r="B34" t="n">
        <v>7838</v>
      </c>
      <c r="C34" t="n">
        <v>563</v>
      </c>
      <c r="D34">
        <f>(B34-$B$405)/$B$406</f>
        <v/>
      </c>
      <c r="E34">
        <f>(C34-$C$405)/$C$406</f>
        <v/>
      </c>
      <c r="F34">
        <f>D34*$I$5+E34*$I$6</f>
        <v/>
      </c>
    </row>
    <row r="35">
      <c r="A35" t="n">
        <v>34</v>
      </c>
      <c r="B35" t="n">
        <v>1829</v>
      </c>
      <c r="C35" t="n">
        <v>162</v>
      </c>
      <c r="D35">
        <f>(B35-$B$405)/$B$406</f>
        <v/>
      </c>
      <c r="E35">
        <f>(C35-$C$405)/$C$406</f>
        <v/>
      </c>
      <c r="F35">
        <f>D35*$I$5+E35*$I$6</f>
        <v/>
      </c>
    </row>
    <row r="36">
      <c r="A36" t="n">
        <v>35</v>
      </c>
      <c r="B36" t="n">
        <v>2646</v>
      </c>
      <c r="C36" t="n">
        <v>199</v>
      </c>
      <c r="D36">
        <f>(B36-$B$405)/$B$406</f>
        <v/>
      </c>
      <c r="E36">
        <f>(C36-$C$405)/$C$406</f>
        <v/>
      </c>
      <c r="F36">
        <f>D36*$I$5+E36*$I$6</f>
        <v/>
      </c>
    </row>
    <row r="37">
      <c r="A37" t="n">
        <v>36</v>
      </c>
      <c r="B37" t="n">
        <v>2558</v>
      </c>
      <c r="C37" t="n">
        <v>220</v>
      </c>
      <c r="D37">
        <f>(B37-$B$405)/$B$406</f>
        <v/>
      </c>
      <c r="E37">
        <f>(C37-$C$405)/$C$406</f>
        <v/>
      </c>
      <c r="F37">
        <f>D37*$I$5+E37*$I$6</f>
        <v/>
      </c>
    </row>
    <row r="38">
      <c r="A38" t="n">
        <v>37</v>
      </c>
      <c r="B38" t="n">
        <v>6457</v>
      </c>
      <c r="C38" t="n">
        <v>455</v>
      </c>
      <c r="D38">
        <f>(B38-$B$405)/$B$406</f>
        <v/>
      </c>
      <c r="E38">
        <f>(C38-$C$405)/$C$406</f>
        <v/>
      </c>
      <c r="F38">
        <f>D38*$I$5+E38*$I$6</f>
        <v/>
      </c>
    </row>
    <row r="39">
      <c r="A39" t="n">
        <v>38</v>
      </c>
      <c r="B39" t="n">
        <v>6481</v>
      </c>
      <c r="C39" t="n">
        <v>462</v>
      </c>
      <c r="D39">
        <f>(B39-$B$405)/$B$406</f>
        <v/>
      </c>
      <c r="E39">
        <f>(C39-$C$405)/$C$406</f>
        <v/>
      </c>
      <c r="F39">
        <f>D39*$I$5+E39*$I$6</f>
        <v/>
      </c>
    </row>
    <row r="40">
      <c r="A40" t="n">
        <v>39</v>
      </c>
      <c r="B40" t="n">
        <v>3899</v>
      </c>
      <c r="C40" t="n">
        <v>300</v>
      </c>
      <c r="D40">
        <f>(B40-$B$405)/$B$406</f>
        <v/>
      </c>
      <c r="E40">
        <f>(C40-$C$405)/$C$406</f>
        <v/>
      </c>
      <c r="F40">
        <f>D40*$I$5+E40*$I$6</f>
        <v/>
      </c>
    </row>
    <row r="41">
      <c r="A41" t="n">
        <v>40</v>
      </c>
      <c r="B41" t="n">
        <v>3461</v>
      </c>
      <c r="C41" t="n">
        <v>264</v>
      </c>
      <c r="D41">
        <f>(B41-$B$405)/$B$406</f>
        <v/>
      </c>
      <c r="E41">
        <f>(C41-$C$405)/$C$406</f>
        <v/>
      </c>
      <c r="F41">
        <f>D41*$I$5+E41*$I$6</f>
        <v/>
      </c>
    </row>
    <row r="42">
      <c r="A42" t="n">
        <v>41</v>
      </c>
      <c r="B42" t="n">
        <v>3327</v>
      </c>
      <c r="C42" t="n">
        <v>253</v>
      </c>
      <c r="D42">
        <f>(B42-$B$405)/$B$406</f>
        <v/>
      </c>
      <c r="E42">
        <f>(C42-$C$405)/$C$406</f>
        <v/>
      </c>
      <c r="F42">
        <f>D42*$I$5+E42*$I$6</f>
        <v/>
      </c>
    </row>
    <row r="43">
      <c r="A43" t="n">
        <v>42</v>
      </c>
      <c r="B43" t="n">
        <v>7659</v>
      </c>
      <c r="C43" t="n">
        <v>538</v>
      </c>
      <c r="D43">
        <f>(B43-$B$405)/$B$406</f>
        <v/>
      </c>
      <c r="E43">
        <f>(C43-$C$405)/$C$406</f>
        <v/>
      </c>
      <c r="F43">
        <f>D43*$I$5+E43*$I$6</f>
        <v/>
      </c>
    </row>
    <row r="44">
      <c r="A44" t="n">
        <v>43</v>
      </c>
      <c r="B44" t="n">
        <v>4763</v>
      </c>
      <c r="C44" t="n">
        <v>351</v>
      </c>
      <c r="D44">
        <f>(B44-$B$405)/$B$406</f>
        <v/>
      </c>
      <c r="E44">
        <f>(C44-$C$405)/$C$406</f>
        <v/>
      </c>
      <c r="F44">
        <f>D44*$I$5+E44*$I$6</f>
        <v/>
      </c>
    </row>
    <row r="45">
      <c r="A45" t="n">
        <v>44</v>
      </c>
      <c r="B45" t="n">
        <v>6257</v>
      </c>
      <c r="C45" t="n">
        <v>445</v>
      </c>
      <c r="D45">
        <f>(B45-$B$405)/$B$406</f>
        <v/>
      </c>
      <c r="E45">
        <f>(C45-$C$405)/$C$406</f>
        <v/>
      </c>
      <c r="F45">
        <f>D45*$I$5+E45*$I$6</f>
        <v/>
      </c>
    </row>
    <row r="46">
      <c r="A46" t="n">
        <v>45</v>
      </c>
      <c r="B46" t="n">
        <v>6375</v>
      </c>
      <c r="C46" t="n">
        <v>469</v>
      </c>
      <c r="D46">
        <f>(B46-$B$405)/$B$406</f>
        <v/>
      </c>
      <c r="E46">
        <f>(C46-$C$405)/$C$406</f>
        <v/>
      </c>
      <c r="F46">
        <f>D46*$I$5+E46*$I$6</f>
        <v/>
      </c>
    </row>
    <row r="47">
      <c r="A47" t="n">
        <v>46</v>
      </c>
      <c r="B47" t="n">
        <v>7569</v>
      </c>
      <c r="C47" t="n">
        <v>564</v>
      </c>
      <c r="D47">
        <f>(B47-$B$405)/$B$406</f>
        <v/>
      </c>
      <c r="E47">
        <f>(C47-$C$405)/$C$406</f>
        <v/>
      </c>
      <c r="F47">
        <f>D47*$I$5+E47*$I$6</f>
        <v/>
      </c>
    </row>
    <row r="48">
      <c r="A48" t="n">
        <v>47</v>
      </c>
      <c r="B48" t="n">
        <v>5043</v>
      </c>
      <c r="C48" t="n">
        <v>376</v>
      </c>
      <c r="D48">
        <f>(B48-$B$405)/$B$406</f>
        <v/>
      </c>
      <c r="E48">
        <f>(C48-$C$405)/$C$406</f>
        <v/>
      </c>
      <c r="F48">
        <f>D48*$I$5+E48*$I$6</f>
        <v/>
      </c>
    </row>
    <row r="49">
      <c r="A49" t="n">
        <v>48</v>
      </c>
      <c r="B49" t="n">
        <v>4431</v>
      </c>
      <c r="C49" t="n">
        <v>320</v>
      </c>
      <c r="D49">
        <f>(B49-$B$405)/$B$406</f>
        <v/>
      </c>
      <c r="E49">
        <f>(C49-$C$405)/$C$406</f>
        <v/>
      </c>
      <c r="F49">
        <f>D49*$I$5+E49*$I$6</f>
        <v/>
      </c>
    </row>
    <row r="50">
      <c r="A50" t="n">
        <v>49</v>
      </c>
      <c r="B50" t="n">
        <v>2252</v>
      </c>
      <c r="C50" t="n">
        <v>205</v>
      </c>
      <c r="D50">
        <f>(B50-$B$405)/$B$406</f>
        <v/>
      </c>
      <c r="E50">
        <f>(C50-$C$405)/$C$406</f>
        <v/>
      </c>
      <c r="F50">
        <f>D50*$I$5+E50*$I$6</f>
        <v/>
      </c>
    </row>
    <row r="51">
      <c r="A51" t="n">
        <v>50</v>
      </c>
      <c r="B51" t="n">
        <v>4569</v>
      </c>
      <c r="C51" t="n">
        <v>354</v>
      </c>
      <c r="D51">
        <f>(B51-$B$405)/$B$406</f>
        <v/>
      </c>
      <c r="E51">
        <f>(C51-$C$405)/$C$406</f>
        <v/>
      </c>
      <c r="F51">
        <f>D51*$I$5+E51*$I$6</f>
        <v/>
      </c>
    </row>
    <row r="52">
      <c r="A52" t="n">
        <v>51</v>
      </c>
      <c r="B52" t="n">
        <v>5183</v>
      </c>
      <c r="C52" t="n">
        <v>376</v>
      </c>
      <c r="D52">
        <f>(B52-$B$405)/$B$406</f>
        <v/>
      </c>
      <c r="E52">
        <f>(C52-$C$405)/$C$406</f>
        <v/>
      </c>
      <c r="F52">
        <f>D52*$I$5+E52*$I$6</f>
        <v/>
      </c>
    </row>
    <row r="53">
      <c r="A53" t="n">
        <v>52</v>
      </c>
      <c r="B53" t="n">
        <v>3969</v>
      </c>
      <c r="C53" t="n">
        <v>301</v>
      </c>
      <c r="D53">
        <f>(B53-$B$405)/$B$406</f>
        <v/>
      </c>
      <c r="E53">
        <f>(C53-$C$405)/$C$406</f>
        <v/>
      </c>
      <c r="F53">
        <f>D53*$I$5+E53*$I$6</f>
        <v/>
      </c>
    </row>
    <row r="54">
      <c r="A54" t="n">
        <v>53</v>
      </c>
      <c r="B54" t="n">
        <v>5441</v>
      </c>
      <c r="C54" t="n">
        <v>394</v>
      </c>
      <c r="D54">
        <f>(B54-$B$405)/$B$406</f>
        <v/>
      </c>
      <c r="E54">
        <f>(C54-$C$405)/$C$406</f>
        <v/>
      </c>
      <c r="F54">
        <f>D54*$I$5+E54*$I$6</f>
        <v/>
      </c>
    </row>
    <row r="55">
      <c r="A55" t="n">
        <v>54</v>
      </c>
      <c r="B55" t="n">
        <v>5466</v>
      </c>
      <c r="C55" t="n">
        <v>413</v>
      </c>
      <c r="D55">
        <f>(B55-$B$405)/$B$406</f>
        <v/>
      </c>
      <c r="E55">
        <f>(C55-$C$405)/$C$406</f>
        <v/>
      </c>
      <c r="F55">
        <f>D55*$I$5+E55*$I$6</f>
        <v/>
      </c>
    </row>
    <row r="56">
      <c r="A56" t="n">
        <v>55</v>
      </c>
      <c r="B56" t="n">
        <v>1499</v>
      </c>
      <c r="C56" t="n">
        <v>138</v>
      </c>
      <c r="D56">
        <f>(B56-$B$405)/$B$406</f>
        <v/>
      </c>
      <c r="E56">
        <f>(C56-$C$405)/$C$406</f>
        <v/>
      </c>
      <c r="F56">
        <f>D56*$I$5+E56*$I$6</f>
        <v/>
      </c>
    </row>
    <row r="57">
      <c r="A57" t="n">
        <v>56</v>
      </c>
      <c r="B57" t="n">
        <v>1786</v>
      </c>
      <c r="C57" t="n">
        <v>154</v>
      </c>
      <c r="D57">
        <f>(B57-$B$405)/$B$406</f>
        <v/>
      </c>
      <c r="E57">
        <f>(C57-$C$405)/$C$406</f>
        <v/>
      </c>
      <c r="F57">
        <f>D57*$I$5+E57*$I$6</f>
        <v/>
      </c>
    </row>
    <row r="58">
      <c r="A58" t="n">
        <v>57</v>
      </c>
      <c r="B58" t="n">
        <v>4742</v>
      </c>
      <c r="C58" t="n">
        <v>372</v>
      </c>
      <c r="D58">
        <f>(B58-$B$405)/$B$406</f>
        <v/>
      </c>
      <c r="E58">
        <f>(C58-$C$405)/$C$406</f>
        <v/>
      </c>
      <c r="F58">
        <f>D58*$I$5+E58*$I$6</f>
        <v/>
      </c>
    </row>
    <row r="59">
      <c r="A59" t="n">
        <v>58</v>
      </c>
      <c r="B59" t="n">
        <v>4779</v>
      </c>
      <c r="C59" t="n">
        <v>367</v>
      </c>
      <c r="D59">
        <f>(B59-$B$405)/$B$406</f>
        <v/>
      </c>
      <c r="E59">
        <f>(C59-$C$405)/$C$406</f>
        <v/>
      </c>
      <c r="F59">
        <f>D59*$I$5+E59*$I$6</f>
        <v/>
      </c>
    </row>
    <row r="60">
      <c r="A60" t="n">
        <v>59</v>
      </c>
      <c r="B60" t="n">
        <v>3480</v>
      </c>
      <c r="C60" t="n">
        <v>281</v>
      </c>
      <c r="D60">
        <f>(B60-$B$405)/$B$406</f>
        <v/>
      </c>
      <c r="E60">
        <f>(C60-$C$405)/$C$406</f>
        <v/>
      </c>
      <c r="F60">
        <f>D60*$I$5+E60*$I$6</f>
        <v/>
      </c>
    </row>
    <row r="61">
      <c r="A61" t="n">
        <v>60</v>
      </c>
      <c r="B61" t="n">
        <v>5294</v>
      </c>
      <c r="C61" t="n">
        <v>390</v>
      </c>
      <c r="D61">
        <f>(B61-$B$405)/$B$406</f>
        <v/>
      </c>
      <c r="E61">
        <f>(C61-$C$405)/$C$406</f>
        <v/>
      </c>
      <c r="F61">
        <f>D61*$I$5+E61*$I$6</f>
        <v/>
      </c>
    </row>
    <row r="62">
      <c r="A62" t="n">
        <v>61</v>
      </c>
      <c r="B62" t="n">
        <v>5198</v>
      </c>
      <c r="C62" t="n">
        <v>364</v>
      </c>
      <c r="D62">
        <f>(B62-$B$405)/$B$406</f>
        <v/>
      </c>
      <c r="E62">
        <f>(C62-$C$405)/$C$406</f>
        <v/>
      </c>
      <c r="F62">
        <f>D62*$I$5+E62*$I$6</f>
        <v/>
      </c>
    </row>
    <row r="63">
      <c r="A63" t="n">
        <v>62</v>
      </c>
      <c r="B63" t="n">
        <v>3089</v>
      </c>
      <c r="C63" t="n">
        <v>254</v>
      </c>
      <c r="D63">
        <f>(B63-$B$405)/$B$406</f>
        <v/>
      </c>
      <c r="E63">
        <f>(C63-$C$405)/$C$406</f>
        <v/>
      </c>
      <c r="F63">
        <f>D63*$I$5+E63*$I$6</f>
        <v/>
      </c>
    </row>
    <row r="64">
      <c r="A64" t="n">
        <v>63</v>
      </c>
      <c r="B64" t="n">
        <v>1671</v>
      </c>
      <c r="C64" t="n">
        <v>160</v>
      </c>
      <c r="D64">
        <f>(B64-$B$405)/$B$406</f>
        <v/>
      </c>
      <c r="E64">
        <f>(C64-$C$405)/$C$406</f>
        <v/>
      </c>
      <c r="F64">
        <f>D64*$I$5+E64*$I$6</f>
        <v/>
      </c>
    </row>
    <row r="65">
      <c r="A65" t="n">
        <v>64</v>
      </c>
      <c r="B65" t="n">
        <v>2998</v>
      </c>
      <c r="C65" t="n">
        <v>251</v>
      </c>
      <c r="D65">
        <f>(B65-$B$405)/$B$406</f>
        <v/>
      </c>
      <c r="E65">
        <f>(C65-$C$405)/$C$406</f>
        <v/>
      </c>
      <c r="F65">
        <f>D65*$I$5+E65*$I$6</f>
        <v/>
      </c>
    </row>
    <row r="66">
      <c r="A66" t="n">
        <v>65</v>
      </c>
      <c r="B66" t="n">
        <v>2937</v>
      </c>
      <c r="C66" t="n">
        <v>223</v>
      </c>
      <c r="D66">
        <f>(B66-$B$405)/$B$406</f>
        <v/>
      </c>
      <c r="E66">
        <f>(C66-$C$405)/$C$406</f>
        <v/>
      </c>
      <c r="F66">
        <f>D66*$I$5+E66*$I$6</f>
        <v/>
      </c>
    </row>
    <row r="67">
      <c r="A67" t="n">
        <v>66</v>
      </c>
      <c r="B67" t="n">
        <v>4160</v>
      </c>
      <c r="C67" t="n">
        <v>320</v>
      </c>
      <c r="D67">
        <f>(B67-$B$405)/$B$406</f>
        <v/>
      </c>
      <c r="E67">
        <f>(C67-$C$405)/$C$406</f>
        <v/>
      </c>
      <c r="F67">
        <f>D67*$I$5+E67*$I$6</f>
        <v/>
      </c>
    </row>
    <row r="68">
      <c r="A68" t="n">
        <v>67</v>
      </c>
      <c r="B68" t="n">
        <v>9704</v>
      </c>
      <c r="C68" t="n">
        <v>694</v>
      </c>
      <c r="D68">
        <f>(B68-$B$405)/$B$406</f>
        <v/>
      </c>
      <c r="E68">
        <f>(C68-$C$405)/$C$406</f>
        <v/>
      </c>
      <c r="F68">
        <f>D68*$I$5+E68*$I$6</f>
        <v/>
      </c>
    </row>
    <row r="69">
      <c r="A69" t="n">
        <v>68</v>
      </c>
      <c r="B69" t="n">
        <v>5099</v>
      </c>
      <c r="C69" t="n">
        <v>380</v>
      </c>
      <c r="D69">
        <f>(B69-$B$405)/$B$406</f>
        <v/>
      </c>
      <c r="E69">
        <f>(C69-$C$405)/$C$406</f>
        <v/>
      </c>
      <c r="F69">
        <f>D69*$I$5+E69*$I$6</f>
        <v/>
      </c>
    </row>
    <row r="70">
      <c r="A70" t="n">
        <v>69</v>
      </c>
      <c r="B70" t="n">
        <v>5619</v>
      </c>
      <c r="C70" t="n">
        <v>418</v>
      </c>
      <c r="D70">
        <f>(B70-$B$405)/$B$406</f>
        <v/>
      </c>
      <c r="E70">
        <f>(C70-$C$405)/$C$406</f>
        <v/>
      </c>
      <c r="F70">
        <f>D70*$I$5+E70*$I$6</f>
        <v/>
      </c>
    </row>
    <row r="71">
      <c r="A71" t="n">
        <v>70</v>
      </c>
      <c r="B71" t="n">
        <v>6819</v>
      </c>
      <c r="C71" t="n">
        <v>505</v>
      </c>
      <c r="D71">
        <f>(B71-$B$405)/$B$406</f>
        <v/>
      </c>
      <c r="E71">
        <f>(C71-$C$405)/$C$406</f>
        <v/>
      </c>
      <c r="F71">
        <f>D71*$I$5+E71*$I$6</f>
        <v/>
      </c>
    </row>
    <row r="72">
      <c r="A72" t="n">
        <v>71</v>
      </c>
      <c r="B72" t="n">
        <v>3954</v>
      </c>
      <c r="C72" t="n">
        <v>318</v>
      </c>
      <c r="D72">
        <f>(B72-$B$405)/$B$406</f>
        <v/>
      </c>
      <c r="E72">
        <f>(C72-$C$405)/$C$406</f>
        <v/>
      </c>
      <c r="F72">
        <f>D72*$I$5+E72*$I$6</f>
        <v/>
      </c>
    </row>
    <row r="73">
      <c r="A73" t="n">
        <v>72</v>
      </c>
      <c r="B73" t="n">
        <v>7402</v>
      </c>
      <c r="C73" t="n">
        <v>538</v>
      </c>
      <c r="D73">
        <f>(B73-$B$405)/$B$406</f>
        <v/>
      </c>
      <c r="E73">
        <f>(C73-$C$405)/$C$406</f>
        <v/>
      </c>
      <c r="F73">
        <f>D73*$I$5+E73*$I$6</f>
        <v/>
      </c>
    </row>
    <row r="74">
      <c r="A74" t="n">
        <v>73</v>
      </c>
      <c r="B74" t="n">
        <v>4923</v>
      </c>
      <c r="C74" t="n">
        <v>355</v>
      </c>
      <c r="D74">
        <f>(B74-$B$405)/$B$406</f>
        <v/>
      </c>
      <c r="E74">
        <f>(C74-$C$405)/$C$406</f>
        <v/>
      </c>
      <c r="F74">
        <f>D74*$I$5+E74*$I$6</f>
        <v/>
      </c>
    </row>
    <row r="75">
      <c r="A75" t="n">
        <v>74</v>
      </c>
      <c r="B75" t="n">
        <v>4523</v>
      </c>
      <c r="C75" t="n">
        <v>338</v>
      </c>
      <c r="D75">
        <f>(B75-$B$405)/$B$406</f>
        <v/>
      </c>
      <c r="E75">
        <f>(C75-$C$405)/$C$406</f>
        <v/>
      </c>
      <c r="F75">
        <f>D75*$I$5+E75*$I$6</f>
        <v/>
      </c>
    </row>
    <row r="76">
      <c r="A76" t="n">
        <v>75</v>
      </c>
      <c r="B76" t="n">
        <v>5390</v>
      </c>
      <c r="C76" t="n">
        <v>418</v>
      </c>
      <c r="D76">
        <f>(B76-$B$405)/$B$406</f>
        <v/>
      </c>
      <c r="E76">
        <f>(C76-$C$405)/$C$406</f>
        <v/>
      </c>
      <c r="F76">
        <f>D76*$I$5+E76*$I$6</f>
        <v/>
      </c>
    </row>
    <row r="77">
      <c r="A77" t="n">
        <v>76</v>
      </c>
      <c r="B77" t="n">
        <v>3180</v>
      </c>
      <c r="C77" t="n">
        <v>224</v>
      </c>
      <c r="D77">
        <f>(B77-$B$405)/$B$406</f>
        <v/>
      </c>
      <c r="E77">
        <f>(C77-$C$405)/$C$406</f>
        <v/>
      </c>
      <c r="F77">
        <f>D77*$I$5+E77*$I$6</f>
        <v/>
      </c>
    </row>
    <row r="78">
      <c r="A78" t="n">
        <v>77</v>
      </c>
      <c r="B78" t="n">
        <v>3293</v>
      </c>
      <c r="C78" t="n">
        <v>251</v>
      </c>
      <c r="D78">
        <f>(B78-$B$405)/$B$406</f>
        <v/>
      </c>
      <c r="E78">
        <f>(C78-$C$405)/$C$406</f>
        <v/>
      </c>
      <c r="F78">
        <f>D78*$I$5+E78*$I$6</f>
        <v/>
      </c>
    </row>
    <row r="79">
      <c r="A79" t="n">
        <v>78</v>
      </c>
      <c r="B79" t="n">
        <v>3254</v>
      </c>
      <c r="C79" t="n">
        <v>253</v>
      </c>
      <c r="D79">
        <f>(B79-$B$405)/$B$406</f>
        <v/>
      </c>
      <c r="E79">
        <f>(C79-$C$405)/$C$406</f>
        <v/>
      </c>
      <c r="F79">
        <f>D79*$I$5+E79*$I$6</f>
        <v/>
      </c>
    </row>
    <row r="80">
      <c r="A80" t="n">
        <v>79</v>
      </c>
      <c r="B80" t="n">
        <v>6662</v>
      </c>
      <c r="C80" t="n">
        <v>468</v>
      </c>
      <c r="D80">
        <f>(B80-$B$405)/$B$406</f>
        <v/>
      </c>
      <c r="E80">
        <f>(C80-$C$405)/$C$406</f>
        <v/>
      </c>
      <c r="F80">
        <f>D80*$I$5+E80*$I$6</f>
        <v/>
      </c>
    </row>
    <row r="81">
      <c r="A81" t="n">
        <v>80</v>
      </c>
      <c r="B81" t="n">
        <v>2101</v>
      </c>
      <c r="C81" t="n">
        <v>171</v>
      </c>
      <c r="D81">
        <f>(B81-$B$405)/$B$406</f>
        <v/>
      </c>
      <c r="E81">
        <f>(C81-$C$405)/$C$406</f>
        <v/>
      </c>
      <c r="F81">
        <f>D81*$I$5+E81*$I$6</f>
        <v/>
      </c>
    </row>
    <row r="82">
      <c r="A82" t="n">
        <v>81</v>
      </c>
      <c r="B82" t="n">
        <v>3449</v>
      </c>
      <c r="C82" t="n">
        <v>288</v>
      </c>
      <c r="D82">
        <f>(B82-$B$405)/$B$406</f>
        <v/>
      </c>
      <c r="E82">
        <f>(C82-$C$405)/$C$406</f>
        <v/>
      </c>
      <c r="F82">
        <f>D82*$I$5+E82*$I$6</f>
        <v/>
      </c>
    </row>
    <row r="83">
      <c r="A83" t="n">
        <v>82</v>
      </c>
      <c r="B83" t="n">
        <v>4263</v>
      </c>
      <c r="C83" t="n">
        <v>317</v>
      </c>
      <c r="D83">
        <f>(B83-$B$405)/$B$406</f>
        <v/>
      </c>
      <c r="E83">
        <f>(C83-$C$405)/$C$406</f>
        <v/>
      </c>
      <c r="F83">
        <f>D83*$I$5+E83*$I$6</f>
        <v/>
      </c>
    </row>
    <row r="84">
      <c r="A84" t="n">
        <v>83</v>
      </c>
      <c r="B84" t="n">
        <v>4433</v>
      </c>
      <c r="C84" t="n">
        <v>344</v>
      </c>
      <c r="D84">
        <f>(B84-$B$405)/$B$406</f>
        <v/>
      </c>
      <c r="E84">
        <f>(C84-$C$405)/$C$406</f>
        <v/>
      </c>
      <c r="F84">
        <f>D84*$I$5+E84*$I$6</f>
        <v/>
      </c>
    </row>
    <row r="85">
      <c r="A85" t="n">
        <v>84</v>
      </c>
      <c r="B85" t="n">
        <v>1433</v>
      </c>
      <c r="C85" t="n">
        <v>122</v>
      </c>
      <c r="D85">
        <f>(B85-$B$405)/$B$406</f>
        <v/>
      </c>
      <c r="E85">
        <f>(C85-$C$405)/$C$406</f>
        <v/>
      </c>
      <c r="F85">
        <f>D85*$I$5+E85*$I$6</f>
        <v/>
      </c>
    </row>
    <row r="86">
      <c r="A86" t="n">
        <v>85</v>
      </c>
      <c r="B86" t="n">
        <v>2906</v>
      </c>
      <c r="C86" t="n">
        <v>232</v>
      </c>
      <c r="D86">
        <f>(B86-$B$405)/$B$406</f>
        <v/>
      </c>
      <c r="E86">
        <f>(C86-$C$405)/$C$406</f>
        <v/>
      </c>
      <c r="F86">
        <f>D86*$I$5+E86*$I$6</f>
        <v/>
      </c>
    </row>
    <row r="87">
      <c r="A87" t="n">
        <v>86</v>
      </c>
      <c r="B87" t="n">
        <v>12066</v>
      </c>
      <c r="C87" t="n">
        <v>828</v>
      </c>
      <c r="D87">
        <f>(B87-$B$405)/$B$406</f>
        <v/>
      </c>
      <c r="E87">
        <f>(C87-$C$405)/$C$406</f>
        <v/>
      </c>
      <c r="F87">
        <f>D87*$I$5+E87*$I$6</f>
        <v/>
      </c>
    </row>
    <row r="88">
      <c r="A88" t="n">
        <v>87</v>
      </c>
      <c r="B88" t="n">
        <v>6340</v>
      </c>
      <c r="C88" t="n">
        <v>448</v>
      </c>
      <c r="D88">
        <f>(B88-$B$405)/$B$406</f>
        <v/>
      </c>
      <c r="E88">
        <f>(C88-$C$405)/$C$406</f>
        <v/>
      </c>
      <c r="F88">
        <f>D88*$I$5+E88*$I$6</f>
        <v/>
      </c>
    </row>
    <row r="89">
      <c r="A89" t="n">
        <v>88</v>
      </c>
      <c r="B89" t="n">
        <v>2271</v>
      </c>
      <c r="C89" t="n">
        <v>182</v>
      </c>
      <c r="D89">
        <f>(B89-$B$405)/$B$406</f>
        <v/>
      </c>
      <c r="E89">
        <f>(C89-$C$405)/$C$406</f>
        <v/>
      </c>
      <c r="F89">
        <f>D89*$I$5+E89*$I$6</f>
        <v/>
      </c>
    </row>
    <row r="90">
      <c r="A90" t="n">
        <v>89</v>
      </c>
      <c r="B90" t="n">
        <v>4307</v>
      </c>
      <c r="C90" t="n">
        <v>352</v>
      </c>
      <c r="D90">
        <f>(B90-$B$405)/$B$406</f>
        <v/>
      </c>
      <c r="E90">
        <f>(C90-$C$405)/$C$406</f>
        <v/>
      </c>
      <c r="F90">
        <f>D90*$I$5+E90*$I$6</f>
        <v/>
      </c>
    </row>
    <row r="91">
      <c r="A91" t="n">
        <v>90</v>
      </c>
      <c r="B91" t="n">
        <v>7518</v>
      </c>
      <c r="C91" t="n">
        <v>543</v>
      </c>
      <c r="D91">
        <f>(B91-$B$405)/$B$406</f>
        <v/>
      </c>
      <c r="E91">
        <f>(C91-$C$405)/$C$406</f>
        <v/>
      </c>
      <c r="F91">
        <f>D91*$I$5+E91*$I$6</f>
        <v/>
      </c>
    </row>
    <row r="92">
      <c r="A92" t="n">
        <v>91</v>
      </c>
      <c r="B92" t="n">
        <v>5767</v>
      </c>
      <c r="C92" t="n">
        <v>431</v>
      </c>
      <c r="D92">
        <f>(B92-$B$405)/$B$406</f>
        <v/>
      </c>
      <c r="E92">
        <f>(C92-$C$405)/$C$406</f>
        <v/>
      </c>
      <c r="F92">
        <f>D92*$I$5+E92*$I$6</f>
        <v/>
      </c>
    </row>
    <row r="93">
      <c r="A93" t="n">
        <v>92</v>
      </c>
      <c r="B93" t="n">
        <v>6040</v>
      </c>
      <c r="C93" t="n">
        <v>456</v>
      </c>
      <c r="D93">
        <f>(B93-$B$405)/$B$406</f>
        <v/>
      </c>
      <c r="E93">
        <f>(C93-$C$405)/$C$406</f>
        <v/>
      </c>
      <c r="F93">
        <f>D93*$I$5+E93*$I$6</f>
        <v/>
      </c>
    </row>
    <row r="94">
      <c r="A94" t="n">
        <v>93</v>
      </c>
      <c r="B94" t="n">
        <v>2832</v>
      </c>
      <c r="C94" t="n">
        <v>249</v>
      </c>
      <c r="D94">
        <f>(B94-$B$405)/$B$406</f>
        <v/>
      </c>
      <c r="E94">
        <f>(C94-$C$405)/$C$406</f>
        <v/>
      </c>
      <c r="F94">
        <f>D94*$I$5+E94*$I$6</f>
        <v/>
      </c>
    </row>
    <row r="95">
      <c r="A95" t="n">
        <v>94</v>
      </c>
      <c r="B95" t="n">
        <v>5435</v>
      </c>
      <c r="C95" t="n">
        <v>388</v>
      </c>
      <c r="D95">
        <f>(B95-$B$405)/$B$406</f>
        <v/>
      </c>
      <c r="E95">
        <f>(C95-$C$405)/$C$406</f>
        <v/>
      </c>
      <c r="F95">
        <f>D95*$I$5+E95*$I$6</f>
        <v/>
      </c>
    </row>
    <row r="96">
      <c r="A96" t="n">
        <v>95</v>
      </c>
      <c r="B96" t="n">
        <v>3075</v>
      </c>
      <c r="C96" t="n">
        <v>245</v>
      </c>
      <c r="D96">
        <f>(B96-$B$405)/$B$406</f>
        <v/>
      </c>
      <c r="E96">
        <f>(C96-$C$405)/$C$406</f>
        <v/>
      </c>
      <c r="F96">
        <f>D96*$I$5+E96*$I$6</f>
        <v/>
      </c>
    </row>
    <row r="97">
      <c r="A97" t="n">
        <v>96</v>
      </c>
      <c r="B97" t="n">
        <v>855</v>
      </c>
      <c r="C97" t="n">
        <v>120</v>
      </c>
      <c r="D97">
        <f>(B97-$B$405)/$B$406</f>
        <v/>
      </c>
      <c r="E97">
        <f>(C97-$C$405)/$C$406</f>
        <v/>
      </c>
      <c r="F97">
        <f>D97*$I$5+E97*$I$6</f>
        <v/>
      </c>
    </row>
    <row r="98">
      <c r="A98" t="n">
        <v>97</v>
      </c>
      <c r="B98" t="n">
        <v>5382</v>
      </c>
      <c r="C98" t="n">
        <v>367</v>
      </c>
      <c r="D98">
        <f>(B98-$B$405)/$B$406</f>
        <v/>
      </c>
      <c r="E98">
        <f>(C98-$C$405)/$C$406</f>
        <v/>
      </c>
      <c r="F98">
        <f>D98*$I$5+E98*$I$6</f>
        <v/>
      </c>
    </row>
    <row r="99">
      <c r="A99" t="n">
        <v>98</v>
      </c>
      <c r="B99" t="n">
        <v>3388</v>
      </c>
      <c r="C99" t="n">
        <v>266</v>
      </c>
      <c r="D99">
        <f>(B99-$B$405)/$B$406</f>
        <v/>
      </c>
      <c r="E99">
        <f>(C99-$C$405)/$C$406</f>
        <v/>
      </c>
      <c r="F99">
        <f>D99*$I$5+E99*$I$6</f>
        <v/>
      </c>
    </row>
    <row r="100">
      <c r="A100" t="n">
        <v>99</v>
      </c>
      <c r="B100" t="n">
        <v>2963</v>
      </c>
      <c r="C100" t="n">
        <v>241</v>
      </c>
      <c r="D100">
        <f>(B100-$B$405)/$B$406</f>
        <v/>
      </c>
      <c r="E100">
        <f>(C100-$C$405)/$C$406</f>
        <v/>
      </c>
      <c r="F100">
        <f>D100*$I$5+E100*$I$6</f>
        <v/>
      </c>
    </row>
    <row r="101">
      <c r="A101" t="n">
        <v>100</v>
      </c>
      <c r="B101" t="n">
        <v>8494</v>
      </c>
      <c r="C101" t="n">
        <v>607</v>
      </c>
      <c r="D101">
        <f>(B101-$B$405)/$B$406</f>
        <v/>
      </c>
      <c r="E101">
        <f>(C101-$C$405)/$C$406</f>
        <v/>
      </c>
      <c r="F101">
        <f>D101*$I$5+E101*$I$6</f>
        <v/>
      </c>
    </row>
    <row r="102">
      <c r="A102" t="n">
        <v>101</v>
      </c>
      <c r="B102" t="n">
        <v>3736</v>
      </c>
      <c r="C102" t="n">
        <v>256</v>
      </c>
      <c r="D102">
        <f>(B102-$B$405)/$B$406</f>
        <v/>
      </c>
      <c r="E102">
        <f>(C102-$C$405)/$C$406</f>
        <v/>
      </c>
      <c r="F102">
        <f>D102*$I$5+E102*$I$6</f>
        <v/>
      </c>
    </row>
    <row r="103">
      <c r="A103" t="n">
        <v>102</v>
      </c>
      <c r="B103" t="n">
        <v>2433</v>
      </c>
      <c r="C103" t="n">
        <v>190</v>
      </c>
      <c r="D103">
        <f>(B103-$B$405)/$B$406</f>
        <v/>
      </c>
      <c r="E103">
        <f>(C103-$C$405)/$C$406</f>
        <v/>
      </c>
      <c r="F103">
        <f>D103*$I$5+E103*$I$6</f>
        <v/>
      </c>
    </row>
    <row r="104">
      <c r="A104" t="n">
        <v>103</v>
      </c>
      <c r="B104" t="n">
        <v>7582</v>
      </c>
      <c r="C104" t="n">
        <v>531</v>
      </c>
      <c r="D104">
        <f>(B104-$B$405)/$B$406</f>
        <v/>
      </c>
      <c r="E104">
        <f>(C104-$C$405)/$C$406</f>
        <v/>
      </c>
      <c r="F104">
        <f>D104*$I$5+E104*$I$6</f>
        <v/>
      </c>
    </row>
    <row r="105">
      <c r="A105" t="n">
        <v>104</v>
      </c>
      <c r="B105" t="n">
        <v>9540</v>
      </c>
      <c r="C105" t="n">
        <v>682</v>
      </c>
      <c r="D105">
        <f>(B105-$B$405)/$B$406</f>
        <v/>
      </c>
      <c r="E105">
        <f>(C105-$C$405)/$C$406</f>
        <v/>
      </c>
      <c r="F105">
        <f>D105*$I$5+E105*$I$6</f>
        <v/>
      </c>
    </row>
    <row r="106">
      <c r="A106" t="n">
        <v>105</v>
      </c>
      <c r="B106" t="n">
        <v>4768</v>
      </c>
      <c r="C106" t="n">
        <v>365</v>
      </c>
      <c r="D106">
        <f>(B106-$B$405)/$B$406</f>
        <v/>
      </c>
      <c r="E106">
        <f>(C106-$C$405)/$C$406</f>
        <v/>
      </c>
      <c r="F106">
        <f>D106*$I$5+E106*$I$6</f>
        <v/>
      </c>
    </row>
    <row r="107">
      <c r="A107" t="n">
        <v>106</v>
      </c>
      <c r="B107" t="n">
        <v>3182</v>
      </c>
      <c r="C107" t="n">
        <v>259</v>
      </c>
      <c r="D107">
        <f>(B107-$B$405)/$B$406</f>
        <v/>
      </c>
      <c r="E107">
        <f>(C107-$C$405)/$C$406</f>
        <v/>
      </c>
      <c r="F107">
        <f>D107*$I$5+E107*$I$6</f>
        <v/>
      </c>
    </row>
    <row r="108">
      <c r="A108" t="n">
        <v>107</v>
      </c>
      <c r="B108" t="n">
        <v>1337</v>
      </c>
      <c r="C108" t="n">
        <v>115</v>
      </c>
      <c r="D108">
        <f>(B108-$B$405)/$B$406</f>
        <v/>
      </c>
      <c r="E108">
        <f>(C108-$C$405)/$C$406</f>
        <v/>
      </c>
      <c r="F108">
        <f>D108*$I$5+E108*$I$6</f>
        <v/>
      </c>
    </row>
    <row r="109">
      <c r="A109" t="n">
        <v>108</v>
      </c>
      <c r="B109" t="n">
        <v>3189</v>
      </c>
      <c r="C109" t="n">
        <v>263</v>
      </c>
      <c r="D109">
        <f>(B109-$B$405)/$B$406</f>
        <v/>
      </c>
      <c r="E109">
        <f>(C109-$C$405)/$C$406</f>
        <v/>
      </c>
      <c r="F109">
        <f>D109*$I$5+E109*$I$6</f>
        <v/>
      </c>
    </row>
    <row r="110">
      <c r="A110" t="n">
        <v>109</v>
      </c>
      <c r="B110" t="n">
        <v>6033</v>
      </c>
      <c r="C110" t="n">
        <v>449</v>
      </c>
      <c r="D110">
        <f>(B110-$B$405)/$B$406</f>
        <v/>
      </c>
      <c r="E110">
        <f>(C110-$C$405)/$C$406</f>
        <v/>
      </c>
      <c r="F110">
        <f>D110*$I$5+E110*$I$6</f>
        <v/>
      </c>
    </row>
    <row r="111">
      <c r="A111" t="n">
        <v>110</v>
      </c>
      <c r="B111" t="n">
        <v>3261</v>
      </c>
      <c r="C111" t="n">
        <v>279</v>
      </c>
      <c r="D111">
        <f>(B111-$B$405)/$B$406</f>
        <v/>
      </c>
      <c r="E111">
        <f>(C111-$C$405)/$C$406</f>
        <v/>
      </c>
      <c r="F111">
        <f>D111*$I$5+E111*$I$6</f>
        <v/>
      </c>
    </row>
    <row r="112">
      <c r="A112" t="n">
        <v>111</v>
      </c>
      <c r="B112" t="n">
        <v>3271</v>
      </c>
      <c r="C112" t="n">
        <v>250</v>
      </c>
      <c r="D112">
        <f>(B112-$B$405)/$B$406</f>
        <v/>
      </c>
      <c r="E112">
        <f>(C112-$C$405)/$C$406</f>
        <v/>
      </c>
      <c r="F112">
        <f>D112*$I$5+E112*$I$6</f>
        <v/>
      </c>
    </row>
    <row r="113">
      <c r="A113" t="n">
        <v>112</v>
      </c>
      <c r="B113" t="n">
        <v>2959</v>
      </c>
      <c r="C113" t="n">
        <v>231</v>
      </c>
      <c r="D113">
        <f>(B113-$B$405)/$B$406</f>
        <v/>
      </c>
      <c r="E113">
        <f>(C113-$C$405)/$C$406</f>
        <v/>
      </c>
      <c r="F113">
        <f>D113*$I$5+E113*$I$6</f>
        <v/>
      </c>
    </row>
    <row r="114">
      <c r="A114" t="n">
        <v>113</v>
      </c>
      <c r="B114" t="n">
        <v>6637</v>
      </c>
      <c r="C114" t="n">
        <v>491</v>
      </c>
      <c r="D114">
        <f>(B114-$B$405)/$B$406</f>
        <v/>
      </c>
      <c r="E114">
        <f>(C114-$C$405)/$C$406</f>
        <v/>
      </c>
      <c r="F114">
        <f>D114*$I$5+E114*$I$6</f>
        <v/>
      </c>
    </row>
    <row r="115">
      <c r="A115" t="n">
        <v>114</v>
      </c>
      <c r="B115" t="n">
        <v>6386</v>
      </c>
      <c r="C115" t="n">
        <v>474</v>
      </c>
      <c r="D115">
        <f>(B115-$B$405)/$B$406</f>
        <v/>
      </c>
      <c r="E115">
        <f>(C115-$C$405)/$C$406</f>
        <v/>
      </c>
      <c r="F115">
        <f>D115*$I$5+E115*$I$6</f>
        <v/>
      </c>
    </row>
    <row r="116">
      <c r="A116" t="n">
        <v>115</v>
      </c>
      <c r="B116" t="n">
        <v>3326</v>
      </c>
      <c r="C116" t="n">
        <v>268</v>
      </c>
      <c r="D116">
        <f>(B116-$B$405)/$B$406</f>
        <v/>
      </c>
      <c r="E116">
        <f>(C116-$C$405)/$C$406</f>
        <v/>
      </c>
      <c r="F116">
        <f>D116*$I$5+E116*$I$6</f>
        <v/>
      </c>
    </row>
    <row r="117">
      <c r="A117" t="n">
        <v>116</v>
      </c>
      <c r="B117" t="n">
        <v>4828</v>
      </c>
      <c r="C117" t="n">
        <v>369</v>
      </c>
      <c r="D117">
        <f>(B117-$B$405)/$B$406</f>
        <v/>
      </c>
      <c r="E117">
        <f>(C117-$C$405)/$C$406</f>
        <v/>
      </c>
      <c r="F117">
        <f>D117*$I$5+E117*$I$6</f>
        <v/>
      </c>
    </row>
    <row r="118">
      <c r="A118" t="n">
        <v>117</v>
      </c>
      <c r="B118" t="n">
        <v>2117</v>
      </c>
      <c r="C118" t="n">
        <v>186</v>
      </c>
      <c r="D118">
        <f>(B118-$B$405)/$B$406</f>
        <v/>
      </c>
      <c r="E118">
        <f>(C118-$C$405)/$C$406</f>
        <v/>
      </c>
      <c r="F118">
        <f>D118*$I$5+E118*$I$6</f>
        <v/>
      </c>
    </row>
    <row r="119">
      <c r="A119" t="n">
        <v>118</v>
      </c>
      <c r="B119" t="n">
        <v>9113</v>
      </c>
      <c r="C119" t="n">
        <v>626</v>
      </c>
      <c r="D119">
        <f>(B119-$B$405)/$B$406</f>
        <v/>
      </c>
      <c r="E119">
        <f>(C119-$C$405)/$C$406</f>
        <v/>
      </c>
      <c r="F119">
        <f>D119*$I$5+E119*$I$6</f>
        <v/>
      </c>
    </row>
    <row r="120">
      <c r="A120" t="n">
        <v>119</v>
      </c>
      <c r="B120" t="n">
        <v>2161</v>
      </c>
      <c r="C120" t="n">
        <v>173</v>
      </c>
      <c r="D120">
        <f>(B120-$B$405)/$B$406</f>
        <v/>
      </c>
      <c r="E120">
        <f>(C120-$C$405)/$C$406</f>
        <v/>
      </c>
      <c r="F120">
        <f>D120*$I$5+E120*$I$6</f>
        <v/>
      </c>
    </row>
    <row r="121">
      <c r="A121" t="n">
        <v>120</v>
      </c>
      <c r="B121" t="n">
        <v>1410</v>
      </c>
      <c r="C121" t="n">
        <v>137</v>
      </c>
      <c r="D121">
        <f>(B121-$B$405)/$B$406</f>
        <v/>
      </c>
      <c r="E121">
        <f>(C121-$C$405)/$C$406</f>
        <v/>
      </c>
      <c r="F121">
        <f>D121*$I$5+E121*$I$6</f>
        <v/>
      </c>
    </row>
    <row r="122">
      <c r="A122" t="n">
        <v>121</v>
      </c>
      <c r="B122" t="n">
        <v>1402</v>
      </c>
      <c r="C122" t="n">
        <v>128</v>
      </c>
      <c r="D122">
        <f>(B122-$B$405)/$B$406</f>
        <v/>
      </c>
      <c r="E122">
        <f>(C122-$C$405)/$C$406</f>
        <v/>
      </c>
      <c r="F122">
        <f>D122*$I$5+E122*$I$6</f>
        <v/>
      </c>
    </row>
    <row r="123">
      <c r="A123" t="n">
        <v>122</v>
      </c>
      <c r="B123" t="n">
        <v>8157</v>
      </c>
      <c r="C123" t="n">
        <v>599</v>
      </c>
      <c r="D123">
        <f>(B123-$B$405)/$B$406</f>
        <v/>
      </c>
      <c r="E123">
        <f>(C123-$C$405)/$C$406</f>
        <v/>
      </c>
      <c r="F123">
        <f>D123*$I$5+E123*$I$6</f>
        <v/>
      </c>
    </row>
    <row r="124">
      <c r="A124" t="n">
        <v>123</v>
      </c>
      <c r="B124" t="n">
        <v>7056</v>
      </c>
      <c r="C124" t="n">
        <v>481</v>
      </c>
      <c r="D124">
        <f>(B124-$B$405)/$B$406</f>
        <v/>
      </c>
      <c r="E124">
        <f>(C124-$C$405)/$C$406</f>
        <v/>
      </c>
      <c r="F124">
        <f>D124*$I$5+E124*$I$6</f>
        <v/>
      </c>
    </row>
    <row r="125">
      <c r="A125" t="n">
        <v>124</v>
      </c>
      <c r="B125" t="n">
        <v>1300</v>
      </c>
      <c r="C125" t="n">
        <v>117</v>
      </c>
      <c r="D125">
        <f>(B125-$B$405)/$B$406</f>
        <v/>
      </c>
      <c r="E125">
        <f>(C125-$C$405)/$C$406</f>
        <v/>
      </c>
      <c r="F125">
        <f>D125*$I$5+E125*$I$6</f>
        <v/>
      </c>
    </row>
    <row r="126">
      <c r="A126" t="n">
        <v>125</v>
      </c>
      <c r="B126" t="n">
        <v>2529</v>
      </c>
      <c r="C126" t="n">
        <v>192</v>
      </c>
      <c r="D126">
        <f>(B126-$B$405)/$B$406</f>
        <v/>
      </c>
      <c r="E126">
        <f>(C126-$C$405)/$C$406</f>
        <v/>
      </c>
      <c r="F126">
        <f>D126*$I$5+E126*$I$6</f>
        <v/>
      </c>
    </row>
    <row r="127">
      <c r="A127" t="n">
        <v>126</v>
      </c>
      <c r="B127" t="n">
        <v>2531</v>
      </c>
      <c r="C127" t="n">
        <v>195</v>
      </c>
      <c r="D127">
        <f>(B127-$B$405)/$B$406</f>
        <v/>
      </c>
      <c r="E127">
        <f>(C127-$C$405)/$C$406</f>
        <v/>
      </c>
      <c r="F127">
        <f>D127*$I$5+E127*$I$6</f>
        <v/>
      </c>
    </row>
    <row r="128">
      <c r="A128" t="n">
        <v>127</v>
      </c>
      <c r="B128" t="n">
        <v>5533</v>
      </c>
      <c r="C128" t="n">
        <v>433</v>
      </c>
      <c r="D128">
        <f>(B128-$B$405)/$B$406</f>
        <v/>
      </c>
      <c r="E128">
        <f>(C128-$C$405)/$C$406</f>
        <v/>
      </c>
      <c r="F128">
        <f>D128*$I$5+E128*$I$6</f>
        <v/>
      </c>
    </row>
    <row r="129">
      <c r="A129" t="n">
        <v>128</v>
      </c>
      <c r="B129" t="n">
        <v>3411</v>
      </c>
      <c r="C129" t="n">
        <v>259</v>
      </c>
      <c r="D129">
        <f>(B129-$B$405)/$B$406</f>
        <v/>
      </c>
      <c r="E129">
        <f>(C129-$C$405)/$C$406</f>
        <v/>
      </c>
      <c r="F129">
        <f>D129*$I$5+E129*$I$6</f>
        <v/>
      </c>
    </row>
    <row r="130">
      <c r="A130" t="n">
        <v>129</v>
      </c>
      <c r="B130" t="n">
        <v>8376</v>
      </c>
      <c r="C130" t="n">
        <v>610</v>
      </c>
      <c r="D130">
        <f>(B130-$B$405)/$B$406</f>
        <v/>
      </c>
      <c r="E130">
        <f>(C130-$C$405)/$C$406</f>
        <v/>
      </c>
      <c r="F130">
        <f>D130*$I$5+E130*$I$6</f>
        <v/>
      </c>
    </row>
    <row r="131">
      <c r="A131" t="n">
        <v>130</v>
      </c>
      <c r="B131" t="n">
        <v>3461</v>
      </c>
      <c r="C131" t="n">
        <v>279</v>
      </c>
      <c r="D131">
        <f>(B131-$B$405)/$B$406</f>
        <v/>
      </c>
      <c r="E131">
        <f>(C131-$C$405)/$C$406</f>
        <v/>
      </c>
      <c r="F131">
        <f>D131*$I$5+E131*$I$6</f>
        <v/>
      </c>
    </row>
    <row r="132">
      <c r="A132" t="n">
        <v>131</v>
      </c>
      <c r="B132" t="n">
        <v>3821</v>
      </c>
      <c r="C132" t="n">
        <v>281</v>
      </c>
      <c r="D132">
        <f>(B132-$B$405)/$B$406</f>
        <v/>
      </c>
      <c r="E132">
        <f>(C132-$C$405)/$C$406</f>
        <v/>
      </c>
      <c r="F132">
        <f>D132*$I$5+E132*$I$6</f>
        <v/>
      </c>
    </row>
    <row r="133">
      <c r="A133" t="n">
        <v>132</v>
      </c>
      <c r="B133" t="n">
        <v>1568</v>
      </c>
      <c r="C133" t="n">
        <v>162</v>
      </c>
      <c r="D133">
        <f>(B133-$B$405)/$B$406</f>
        <v/>
      </c>
      <c r="E133">
        <f>(C133-$C$405)/$C$406</f>
        <v/>
      </c>
      <c r="F133">
        <f>D133*$I$5+E133*$I$6</f>
        <v/>
      </c>
    </row>
    <row r="134">
      <c r="A134" t="n">
        <v>133</v>
      </c>
      <c r="B134" t="n">
        <v>5443</v>
      </c>
      <c r="C134" t="n">
        <v>407</v>
      </c>
      <c r="D134">
        <f>(B134-$B$405)/$B$406</f>
        <v/>
      </c>
      <c r="E134">
        <f>(C134-$C$405)/$C$406</f>
        <v/>
      </c>
      <c r="F134">
        <f>D134*$I$5+E134*$I$6</f>
        <v/>
      </c>
    </row>
    <row r="135">
      <c r="A135" t="n">
        <v>134</v>
      </c>
      <c r="B135" t="n">
        <v>5829</v>
      </c>
      <c r="C135" t="n">
        <v>427</v>
      </c>
      <c r="D135">
        <f>(B135-$B$405)/$B$406</f>
        <v/>
      </c>
      <c r="E135">
        <f>(C135-$C$405)/$C$406</f>
        <v/>
      </c>
      <c r="F135">
        <f>D135*$I$5+E135*$I$6</f>
        <v/>
      </c>
    </row>
    <row r="136">
      <c r="A136" t="n">
        <v>135</v>
      </c>
      <c r="B136" t="n">
        <v>5835</v>
      </c>
      <c r="C136" t="n">
        <v>452</v>
      </c>
      <c r="D136">
        <f>(B136-$B$405)/$B$406</f>
        <v/>
      </c>
      <c r="E136">
        <f>(C136-$C$405)/$C$406</f>
        <v/>
      </c>
      <c r="F136">
        <f>D136*$I$5+E136*$I$6</f>
        <v/>
      </c>
    </row>
    <row r="137">
      <c r="A137" t="n">
        <v>136</v>
      </c>
      <c r="B137" t="n">
        <v>3500</v>
      </c>
      <c r="C137" t="n">
        <v>257</v>
      </c>
      <c r="D137">
        <f>(B137-$B$405)/$B$406</f>
        <v/>
      </c>
      <c r="E137">
        <f>(C137-$C$405)/$C$406</f>
        <v/>
      </c>
      <c r="F137">
        <f>D137*$I$5+E137*$I$6</f>
        <v/>
      </c>
    </row>
    <row r="138">
      <c r="A138" t="n">
        <v>137</v>
      </c>
      <c r="B138" t="n">
        <v>4116</v>
      </c>
      <c r="C138" t="n">
        <v>314</v>
      </c>
      <c r="D138">
        <f>(B138-$B$405)/$B$406</f>
        <v/>
      </c>
      <c r="E138">
        <f>(C138-$C$405)/$C$406</f>
        <v/>
      </c>
      <c r="F138">
        <f>D138*$I$5+E138*$I$6</f>
        <v/>
      </c>
    </row>
    <row r="139">
      <c r="A139" t="n">
        <v>138</v>
      </c>
      <c r="B139" t="n">
        <v>3613</v>
      </c>
      <c r="C139" t="n">
        <v>278</v>
      </c>
      <c r="D139">
        <f>(B139-$B$405)/$B$406</f>
        <v/>
      </c>
      <c r="E139">
        <f>(C139-$C$405)/$C$406</f>
        <v/>
      </c>
      <c r="F139">
        <f>D139*$I$5+E139*$I$6</f>
        <v/>
      </c>
    </row>
    <row r="140">
      <c r="A140" t="n">
        <v>139</v>
      </c>
      <c r="B140" t="n">
        <v>2073</v>
      </c>
      <c r="C140" t="n">
        <v>175</v>
      </c>
      <c r="D140">
        <f>(B140-$B$405)/$B$406</f>
        <v/>
      </c>
      <c r="E140">
        <f>(C140-$C$405)/$C$406</f>
        <v/>
      </c>
      <c r="F140">
        <f>D140*$I$5+E140*$I$6</f>
        <v/>
      </c>
    </row>
    <row r="141">
      <c r="A141" t="n">
        <v>140</v>
      </c>
      <c r="B141" t="n">
        <v>10384</v>
      </c>
      <c r="C141" t="n">
        <v>728</v>
      </c>
      <c r="D141">
        <f>(B141-$B$405)/$B$406</f>
        <v/>
      </c>
      <c r="E141">
        <f>(C141-$C$405)/$C$406</f>
        <v/>
      </c>
      <c r="F141">
        <f>D141*$I$5+E141*$I$6</f>
        <v/>
      </c>
    </row>
    <row r="142">
      <c r="A142" t="n">
        <v>141</v>
      </c>
      <c r="B142" t="n">
        <v>6045</v>
      </c>
      <c r="C142" t="n">
        <v>459</v>
      </c>
      <c r="D142">
        <f>(B142-$B$405)/$B$406</f>
        <v/>
      </c>
      <c r="E142">
        <f>(C142-$C$405)/$C$406</f>
        <v/>
      </c>
      <c r="F142">
        <f>D142*$I$5+E142*$I$6</f>
        <v/>
      </c>
    </row>
    <row r="143">
      <c r="A143" t="n">
        <v>142</v>
      </c>
      <c r="B143" t="n">
        <v>6754</v>
      </c>
      <c r="C143" t="n">
        <v>483</v>
      </c>
      <c r="D143">
        <f>(B143-$B$405)/$B$406</f>
        <v/>
      </c>
      <c r="E143">
        <f>(C143-$C$405)/$C$406</f>
        <v/>
      </c>
      <c r="F143">
        <f>D143*$I$5+E143*$I$6</f>
        <v/>
      </c>
    </row>
    <row r="144">
      <c r="A144" t="n">
        <v>143</v>
      </c>
      <c r="B144" t="n">
        <v>7416</v>
      </c>
      <c r="C144" t="n">
        <v>549</v>
      </c>
      <c r="D144">
        <f>(B144-$B$405)/$B$406</f>
        <v/>
      </c>
      <c r="E144">
        <f>(C144-$C$405)/$C$406</f>
        <v/>
      </c>
      <c r="F144">
        <f>D144*$I$5+E144*$I$6</f>
        <v/>
      </c>
    </row>
    <row r="145">
      <c r="A145" t="n">
        <v>144</v>
      </c>
      <c r="B145" t="n">
        <v>4896</v>
      </c>
      <c r="C145" t="n">
        <v>387</v>
      </c>
      <c r="D145">
        <f>(B145-$B$405)/$B$406</f>
        <v/>
      </c>
      <c r="E145">
        <f>(C145-$C$405)/$C$406</f>
        <v/>
      </c>
      <c r="F145">
        <f>D145*$I$5+E145*$I$6</f>
        <v/>
      </c>
    </row>
    <row r="146">
      <c r="A146" t="n">
        <v>145</v>
      </c>
      <c r="B146" t="n">
        <v>2748</v>
      </c>
      <c r="C146" t="n">
        <v>228</v>
      </c>
      <c r="D146">
        <f>(B146-$B$405)/$B$406</f>
        <v/>
      </c>
      <c r="E146">
        <f>(C146-$C$405)/$C$406</f>
        <v/>
      </c>
      <c r="F146">
        <f>D146*$I$5+E146*$I$6</f>
        <v/>
      </c>
    </row>
    <row r="147">
      <c r="A147" t="n">
        <v>146</v>
      </c>
      <c r="B147" t="n">
        <v>4673</v>
      </c>
      <c r="C147" t="n">
        <v>341</v>
      </c>
      <c r="D147">
        <f>(B147-$B$405)/$B$406</f>
        <v/>
      </c>
      <c r="E147">
        <f>(C147-$C$405)/$C$406</f>
        <v/>
      </c>
      <c r="F147">
        <f>D147*$I$5+E147*$I$6</f>
        <v/>
      </c>
    </row>
    <row r="148">
      <c r="A148" t="n">
        <v>147</v>
      </c>
      <c r="B148" t="n">
        <v>5110</v>
      </c>
      <c r="C148" t="n">
        <v>371</v>
      </c>
      <c r="D148">
        <f>(B148-$B$405)/$B$406</f>
        <v/>
      </c>
      <c r="E148">
        <f>(C148-$C$405)/$C$406</f>
        <v/>
      </c>
      <c r="F148">
        <f>D148*$I$5+E148*$I$6</f>
        <v/>
      </c>
    </row>
    <row r="149">
      <c r="A149" t="n">
        <v>148</v>
      </c>
      <c r="B149" t="n">
        <v>1501</v>
      </c>
      <c r="C149" t="n">
        <v>150</v>
      </c>
      <c r="D149">
        <f>(B149-$B$405)/$B$406</f>
        <v/>
      </c>
      <c r="E149">
        <f>(C149-$C$405)/$C$406</f>
        <v/>
      </c>
      <c r="F149">
        <f>D149*$I$5+E149*$I$6</f>
        <v/>
      </c>
    </row>
    <row r="150">
      <c r="A150" t="n">
        <v>149</v>
      </c>
      <c r="B150" t="n">
        <v>2420</v>
      </c>
      <c r="C150" t="n">
        <v>192</v>
      </c>
      <c r="D150">
        <f>(B150-$B$405)/$B$406</f>
        <v/>
      </c>
      <c r="E150">
        <f>(C150-$C$405)/$C$406</f>
        <v/>
      </c>
      <c r="F150">
        <f>D150*$I$5+E150*$I$6</f>
        <v/>
      </c>
    </row>
    <row r="151">
      <c r="A151" t="n">
        <v>150</v>
      </c>
      <c r="B151" t="n">
        <v>886</v>
      </c>
      <c r="C151" t="n">
        <v>121</v>
      </c>
      <c r="D151">
        <f>(B151-$B$405)/$B$406</f>
        <v/>
      </c>
      <c r="E151">
        <f>(C151-$C$405)/$C$406</f>
        <v/>
      </c>
      <c r="F151">
        <f>D151*$I$5+E151*$I$6</f>
        <v/>
      </c>
    </row>
    <row r="152">
      <c r="A152" t="n">
        <v>151</v>
      </c>
      <c r="B152" t="n">
        <v>5728</v>
      </c>
      <c r="C152" t="n">
        <v>435</v>
      </c>
      <c r="D152">
        <f>(B152-$B$405)/$B$406</f>
        <v/>
      </c>
      <c r="E152">
        <f>(C152-$C$405)/$C$406</f>
        <v/>
      </c>
      <c r="F152">
        <f>D152*$I$5+E152*$I$6</f>
        <v/>
      </c>
    </row>
    <row r="153">
      <c r="A153" t="n">
        <v>152</v>
      </c>
      <c r="B153" t="n">
        <v>4831</v>
      </c>
      <c r="C153" t="n">
        <v>353</v>
      </c>
      <c r="D153">
        <f>(B153-$B$405)/$B$406</f>
        <v/>
      </c>
      <c r="E153">
        <f>(C153-$C$405)/$C$406</f>
        <v/>
      </c>
      <c r="F153">
        <f>D153*$I$5+E153*$I$6</f>
        <v/>
      </c>
    </row>
    <row r="154">
      <c r="A154" t="n">
        <v>153</v>
      </c>
      <c r="B154" t="n">
        <v>2120</v>
      </c>
      <c r="C154" t="n">
        <v>184</v>
      </c>
      <c r="D154">
        <f>(B154-$B$405)/$B$406</f>
        <v/>
      </c>
      <c r="E154">
        <f>(C154-$C$405)/$C$406</f>
        <v/>
      </c>
      <c r="F154">
        <f>D154*$I$5+E154*$I$6</f>
        <v/>
      </c>
    </row>
    <row r="155">
      <c r="A155" t="n">
        <v>154</v>
      </c>
      <c r="B155" t="n">
        <v>4612</v>
      </c>
      <c r="C155" t="n">
        <v>344</v>
      </c>
      <c r="D155">
        <f>(B155-$B$405)/$B$406</f>
        <v/>
      </c>
      <c r="E155">
        <f>(C155-$C$405)/$C$406</f>
        <v/>
      </c>
      <c r="F155">
        <f>D155*$I$5+E155*$I$6</f>
        <v/>
      </c>
    </row>
    <row r="156">
      <c r="A156" t="n">
        <v>155</v>
      </c>
      <c r="B156" t="n">
        <v>3155</v>
      </c>
      <c r="C156" t="n">
        <v>235</v>
      </c>
      <c r="D156">
        <f>(B156-$B$405)/$B$406</f>
        <v/>
      </c>
      <c r="E156">
        <f>(C156-$C$405)/$C$406</f>
        <v/>
      </c>
      <c r="F156">
        <f>D156*$I$5+E156*$I$6</f>
        <v/>
      </c>
    </row>
    <row r="157">
      <c r="A157" t="n">
        <v>156</v>
      </c>
      <c r="B157" t="n">
        <v>1362</v>
      </c>
      <c r="C157" t="n">
        <v>143</v>
      </c>
      <c r="D157">
        <f>(B157-$B$405)/$B$406</f>
        <v/>
      </c>
      <c r="E157">
        <f>(C157-$C$405)/$C$406</f>
        <v/>
      </c>
      <c r="F157">
        <f>D157*$I$5+E157*$I$6</f>
        <v/>
      </c>
    </row>
    <row r="158">
      <c r="A158" t="n">
        <v>157</v>
      </c>
      <c r="B158" t="n">
        <v>4284</v>
      </c>
      <c r="C158" t="n">
        <v>338</v>
      </c>
      <c r="D158">
        <f>(B158-$B$405)/$B$406</f>
        <v/>
      </c>
      <c r="E158">
        <f>(C158-$C$405)/$C$406</f>
        <v/>
      </c>
      <c r="F158">
        <f>D158*$I$5+E158*$I$6</f>
        <v/>
      </c>
    </row>
    <row r="159">
      <c r="A159" t="n">
        <v>158</v>
      </c>
      <c r="B159" t="n">
        <v>5521</v>
      </c>
      <c r="C159" t="n">
        <v>406</v>
      </c>
      <c r="D159">
        <f>(B159-$B$405)/$B$406</f>
        <v/>
      </c>
      <c r="E159">
        <f>(C159-$C$405)/$C$406</f>
        <v/>
      </c>
      <c r="F159">
        <f>D159*$I$5+E159*$I$6</f>
        <v/>
      </c>
    </row>
    <row r="160">
      <c r="A160" t="n">
        <v>159</v>
      </c>
      <c r="B160" t="n">
        <v>5550</v>
      </c>
      <c r="C160" t="n">
        <v>406</v>
      </c>
      <c r="D160">
        <f>(B160-$B$405)/$B$406</f>
        <v/>
      </c>
      <c r="E160">
        <f>(C160-$C$405)/$C$406</f>
        <v/>
      </c>
      <c r="F160">
        <f>D160*$I$5+E160*$I$6</f>
        <v/>
      </c>
    </row>
    <row r="161">
      <c r="A161" t="n">
        <v>160</v>
      </c>
      <c r="B161" t="n">
        <v>3000</v>
      </c>
      <c r="C161" t="n">
        <v>235</v>
      </c>
      <c r="D161">
        <f>(B161-$B$405)/$B$406</f>
        <v/>
      </c>
      <c r="E161">
        <f>(C161-$C$405)/$C$406</f>
        <v/>
      </c>
      <c r="F161">
        <f>D161*$I$5+E161*$I$6</f>
        <v/>
      </c>
    </row>
    <row r="162">
      <c r="A162" t="n">
        <v>161</v>
      </c>
      <c r="B162" t="n">
        <v>4865</v>
      </c>
      <c r="C162" t="n">
        <v>381</v>
      </c>
      <c r="D162">
        <f>(B162-$B$405)/$B$406</f>
        <v/>
      </c>
      <c r="E162">
        <f>(C162-$C$405)/$C$406</f>
        <v/>
      </c>
      <c r="F162">
        <f>D162*$I$5+E162*$I$6</f>
        <v/>
      </c>
    </row>
    <row r="163">
      <c r="A163" t="n">
        <v>162</v>
      </c>
      <c r="B163" t="n">
        <v>1705</v>
      </c>
      <c r="C163" t="n">
        <v>160</v>
      </c>
      <c r="D163">
        <f>(B163-$B$405)/$B$406</f>
        <v/>
      </c>
      <c r="E163">
        <f>(C163-$C$405)/$C$406</f>
        <v/>
      </c>
      <c r="F163">
        <f>D163*$I$5+E163*$I$6</f>
        <v/>
      </c>
    </row>
    <row r="164">
      <c r="A164" t="n">
        <v>163</v>
      </c>
      <c r="B164" t="n">
        <v>7530</v>
      </c>
      <c r="C164" t="n">
        <v>515</v>
      </c>
      <c r="D164">
        <f>(B164-$B$405)/$B$406</f>
        <v/>
      </c>
      <c r="E164">
        <f>(C164-$C$405)/$C$406</f>
        <v/>
      </c>
      <c r="F164">
        <f>D164*$I$5+E164*$I$6</f>
        <v/>
      </c>
    </row>
    <row r="165">
      <c r="A165" t="n">
        <v>164</v>
      </c>
      <c r="B165" t="n">
        <v>2330</v>
      </c>
      <c r="C165" t="n">
        <v>203</v>
      </c>
      <c r="D165">
        <f>(B165-$B$405)/$B$406</f>
        <v/>
      </c>
      <c r="E165">
        <f>(C165-$C$405)/$C$406</f>
        <v/>
      </c>
      <c r="F165">
        <f>D165*$I$5+E165*$I$6</f>
        <v/>
      </c>
    </row>
    <row r="166">
      <c r="A166" t="n">
        <v>165</v>
      </c>
      <c r="B166" t="n">
        <v>5977</v>
      </c>
      <c r="C166" t="n">
        <v>429</v>
      </c>
      <c r="D166">
        <f>(B166-$B$405)/$B$406</f>
        <v/>
      </c>
      <c r="E166">
        <f>(C166-$C$405)/$C$406</f>
        <v/>
      </c>
      <c r="F166">
        <f>D166*$I$5+E166*$I$6</f>
        <v/>
      </c>
    </row>
    <row r="167">
      <c r="A167" t="n">
        <v>166</v>
      </c>
      <c r="B167" t="n">
        <v>4527</v>
      </c>
      <c r="C167" t="n">
        <v>367</v>
      </c>
      <c r="D167">
        <f>(B167-$B$405)/$B$406</f>
        <v/>
      </c>
      <c r="E167">
        <f>(C167-$C$405)/$C$406</f>
        <v/>
      </c>
      <c r="F167">
        <f>D167*$I$5+E167*$I$6</f>
        <v/>
      </c>
    </row>
    <row r="168">
      <c r="A168" t="n">
        <v>167</v>
      </c>
      <c r="B168" t="n">
        <v>2880</v>
      </c>
      <c r="C168" t="n">
        <v>214</v>
      </c>
      <c r="D168">
        <f>(B168-$B$405)/$B$406</f>
        <v/>
      </c>
      <c r="E168">
        <f>(C168-$C$405)/$C$406</f>
        <v/>
      </c>
      <c r="F168">
        <f>D168*$I$5+E168*$I$6</f>
        <v/>
      </c>
    </row>
    <row r="169">
      <c r="A169" t="n">
        <v>168</v>
      </c>
      <c r="B169" t="n">
        <v>2327</v>
      </c>
      <c r="C169" t="n">
        <v>178</v>
      </c>
      <c r="D169">
        <f>(B169-$B$405)/$B$406</f>
        <v/>
      </c>
      <c r="E169">
        <f>(C169-$C$405)/$C$406</f>
        <v/>
      </c>
      <c r="F169">
        <f>D169*$I$5+E169*$I$6</f>
        <v/>
      </c>
    </row>
    <row r="170">
      <c r="A170" t="n">
        <v>169</v>
      </c>
      <c r="B170" t="n">
        <v>2820</v>
      </c>
      <c r="C170" t="n">
        <v>219</v>
      </c>
      <c r="D170">
        <f>(B170-$B$405)/$B$406</f>
        <v/>
      </c>
      <c r="E170">
        <f>(C170-$C$405)/$C$406</f>
        <v/>
      </c>
      <c r="F170">
        <f>D170*$I$5+E170*$I$6</f>
        <v/>
      </c>
    </row>
    <row r="171">
      <c r="A171" t="n">
        <v>170</v>
      </c>
      <c r="B171" t="n">
        <v>6179</v>
      </c>
      <c r="C171" t="n">
        <v>459</v>
      </c>
      <c r="D171">
        <f>(B171-$B$405)/$B$406</f>
        <v/>
      </c>
      <c r="E171">
        <f>(C171-$C$405)/$C$406</f>
        <v/>
      </c>
      <c r="F171">
        <f>D171*$I$5+E171*$I$6</f>
        <v/>
      </c>
    </row>
    <row r="172">
      <c r="A172" t="n">
        <v>171</v>
      </c>
      <c r="B172" t="n">
        <v>2021</v>
      </c>
      <c r="C172" t="n">
        <v>167</v>
      </c>
      <c r="D172">
        <f>(B172-$B$405)/$B$406</f>
        <v/>
      </c>
      <c r="E172">
        <f>(C172-$C$405)/$C$406</f>
        <v/>
      </c>
      <c r="F172">
        <f>D172*$I$5+E172*$I$6</f>
        <v/>
      </c>
    </row>
    <row r="173">
      <c r="A173" t="n">
        <v>172</v>
      </c>
      <c r="B173" t="n">
        <v>4270</v>
      </c>
      <c r="C173" t="n">
        <v>299</v>
      </c>
      <c r="D173">
        <f>(B173-$B$405)/$B$406</f>
        <v/>
      </c>
      <c r="E173">
        <f>(C173-$C$405)/$C$406</f>
        <v/>
      </c>
      <c r="F173">
        <f>D173*$I$5+E173*$I$6</f>
        <v/>
      </c>
    </row>
    <row r="174">
      <c r="A174" t="n">
        <v>173</v>
      </c>
      <c r="B174" t="n">
        <v>4697</v>
      </c>
      <c r="C174" t="n">
        <v>344</v>
      </c>
      <c r="D174">
        <f>(B174-$B$405)/$B$406</f>
        <v/>
      </c>
      <c r="E174">
        <f>(C174-$C$405)/$C$406</f>
        <v/>
      </c>
      <c r="F174">
        <f>D174*$I$5+E174*$I$6</f>
        <v/>
      </c>
    </row>
    <row r="175">
      <c r="A175" t="n">
        <v>174</v>
      </c>
      <c r="B175" t="n">
        <v>4745</v>
      </c>
      <c r="C175" t="n">
        <v>339</v>
      </c>
      <c r="D175">
        <f>(B175-$B$405)/$B$406</f>
        <v/>
      </c>
      <c r="E175">
        <f>(C175-$C$405)/$C$406</f>
        <v/>
      </c>
      <c r="F175">
        <f>D175*$I$5+E175*$I$6</f>
        <v/>
      </c>
    </row>
    <row r="176">
      <c r="A176" t="n">
        <v>175</v>
      </c>
      <c r="B176" t="n">
        <v>10673</v>
      </c>
      <c r="C176" t="n">
        <v>750</v>
      </c>
      <c r="D176">
        <f>(B176-$B$405)/$B$406</f>
        <v/>
      </c>
      <c r="E176">
        <f>(C176-$C$405)/$C$406</f>
        <v/>
      </c>
      <c r="F176">
        <f>D176*$I$5+E176*$I$6</f>
        <v/>
      </c>
    </row>
    <row r="177">
      <c r="A177" t="n">
        <v>176</v>
      </c>
      <c r="B177" t="n">
        <v>2168</v>
      </c>
      <c r="C177" t="n">
        <v>206</v>
      </c>
      <c r="D177">
        <f>(B177-$B$405)/$B$406</f>
        <v/>
      </c>
      <c r="E177">
        <f>(C177-$C$405)/$C$406</f>
        <v/>
      </c>
      <c r="F177">
        <f>D177*$I$5+E177*$I$6</f>
        <v/>
      </c>
    </row>
    <row r="178">
      <c r="A178" t="n">
        <v>177</v>
      </c>
      <c r="B178" t="n">
        <v>2607</v>
      </c>
      <c r="C178" t="n">
        <v>221</v>
      </c>
      <c r="D178">
        <f>(B178-$B$405)/$B$406</f>
        <v/>
      </c>
      <c r="E178">
        <f>(C178-$C$405)/$C$406</f>
        <v/>
      </c>
      <c r="F178">
        <f>D178*$I$5+E178*$I$6</f>
        <v/>
      </c>
    </row>
    <row r="179">
      <c r="A179" t="n">
        <v>178</v>
      </c>
      <c r="B179" t="n">
        <v>3965</v>
      </c>
      <c r="C179" t="n">
        <v>292</v>
      </c>
      <c r="D179">
        <f>(B179-$B$405)/$B$406</f>
        <v/>
      </c>
      <c r="E179">
        <f>(C179-$C$405)/$C$406</f>
        <v/>
      </c>
      <c r="F179">
        <f>D179*$I$5+E179*$I$6</f>
        <v/>
      </c>
    </row>
    <row r="180">
      <c r="A180" t="n">
        <v>179</v>
      </c>
      <c r="B180" t="n">
        <v>4391</v>
      </c>
      <c r="C180" t="n">
        <v>316</v>
      </c>
      <c r="D180">
        <f>(B180-$B$405)/$B$406</f>
        <v/>
      </c>
      <c r="E180">
        <f>(C180-$C$405)/$C$406</f>
        <v/>
      </c>
      <c r="F180">
        <f>D180*$I$5+E180*$I$6</f>
        <v/>
      </c>
    </row>
    <row r="181">
      <c r="A181" t="n">
        <v>180</v>
      </c>
      <c r="B181" t="n">
        <v>7499</v>
      </c>
      <c r="C181" t="n">
        <v>560</v>
      </c>
      <c r="D181">
        <f>(B181-$B$405)/$B$406</f>
        <v/>
      </c>
      <c r="E181">
        <f>(C181-$C$405)/$C$406</f>
        <v/>
      </c>
      <c r="F181">
        <f>D181*$I$5+E181*$I$6</f>
        <v/>
      </c>
    </row>
    <row r="182">
      <c r="A182" t="n">
        <v>181</v>
      </c>
      <c r="B182" t="n">
        <v>3584</v>
      </c>
      <c r="C182" t="n">
        <v>294</v>
      </c>
      <c r="D182">
        <f>(B182-$B$405)/$B$406</f>
        <v/>
      </c>
      <c r="E182">
        <f>(C182-$C$405)/$C$406</f>
        <v/>
      </c>
      <c r="F182">
        <f>D182*$I$5+E182*$I$6</f>
        <v/>
      </c>
    </row>
    <row r="183">
      <c r="A183" t="n">
        <v>182</v>
      </c>
      <c r="B183" t="n">
        <v>5180</v>
      </c>
      <c r="C183" t="n">
        <v>382</v>
      </c>
      <c r="D183">
        <f>(B183-$B$405)/$B$406</f>
        <v/>
      </c>
      <c r="E183">
        <f>(C183-$C$405)/$C$406</f>
        <v/>
      </c>
      <c r="F183">
        <f>D183*$I$5+E183*$I$6</f>
        <v/>
      </c>
    </row>
    <row r="184">
      <c r="A184" t="n">
        <v>183</v>
      </c>
      <c r="B184" t="n">
        <v>6420</v>
      </c>
      <c r="C184" t="n">
        <v>459</v>
      </c>
      <c r="D184">
        <f>(B184-$B$405)/$B$406</f>
        <v/>
      </c>
      <c r="E184">
        <f>(C184-$C$405)/$C$406</f>
        <v/>
      </c>
      <c r="F184">
        <f>D184*$I$5+E184*$I$6</f>
        <v/>
      </c>
    </row>
    <row r="185">
      <c r="A185" t="n">
        <v>184</v>
      </c>
      <c r="B185" t="n">
        <v>4090</v>
      </c>
      <c r="C185" t="n">
        <v>335</v>
      </c>
      <c r="D185">
        <f>(B185-$B$405)/$B$406</f>
        <v/>
      </c>
      <c r="E185">
        <f>(C185-$C$405)/$C$406</f>
        <v/>
      </c>
      <c r="F185">
        <f>D185*$I$5+E185*$I$6</f>
        <v/>
      </c>
    </row>
    <row r="186">
      <c r="A186" t="n">
        <v>185</v>
      </c>
      <c r="B186" t="n">
        <v>11589</v>
      </c>
      <c r="C186" t="n">
        <v>805</v>
      </c>
      <c r="D186">
        <f>(B186-$B$405)/$B$406</f>
        <v/>
      </c>
      <c r="E186">
        <f>(C186-$C$405)/$C$406</f>
        <v/>
      </c>
      <c r="F186">
        <f>D186*$I$5+E186*$I$6</f>
        <v/>
      </c>
    </row>
    <row r="187">
      <c r="A187" t="n">
        <v>186</v>
      </c>
      <c r="B187" t="n">
        <v>4442</v>
      </c>
      <c r="C187" t="n">
        <v>316</v>
      </c>
      <c r="D187">
        <f>(B187-$B$405)/$B$406</f>
        <v/>
      </c>
      <c r="E187">
        <f>(C187-$C$405)/$C$406</f>
        <v/>
      </c>
      <c r="F187">
        <f>D187*$I$5+E187*$I$6</f>
        <v/>
      </c>
    </row>
    <row r="188">
      <c r="A188" t="n">
        <v>187</v>
      </c>
      <c r="B188" t="n">
        <v>3806</v>
      </c>
      <c r="C188" t="n">
        <v>309</v>
      </c>
      <c r="D188">
        <f>(B188-$B$405)/$B$406</f>
        <v/>
      </c>
      <c r="E188">
        <f>(C188-$C$405)/$C$406</f>
        <v/>
      </c>
      <c r="F188">
        <f>D188*$I$5+E188*$I$6</f>
        <v/>
      </c>
    </row>
    <row r="189">
      <c r="A189" t="n">
        <v>188</v>
      </c>
      <c r="B189" t="n">
        <v>2179</v>
      </c>
      <c r="C189" t="n">
        <v>167</v>
      </c>
      <c r="D189">
        <f>(B189-$B$405)/$B$406</f>
        <v/>
      </c>
      <c r="E189">
        <f>(C189-$C$405)/$C$406</f>
        <v/>
      </c>
      <c r="F189">
        <f>D189*$I$5+E189*$I$6</f>
        <v/>
      </c>
    </row>
    <row r="190">
      <c r="A190" t="n">
        <v>189</v>
      </c>
      <c r="B190" t="n">
        <v>7667</v>
      </c>
      <c r="C190" t="n">
        <v>554</v>
      </c>
      <c r="D190">
        <f>(B190-$B$405)/$B$406</f>
        <v/>
      </c>
      <c r="E190">
        <f>(C190-$C$405)/$C$406</f>
        <v/>
      </c>
      <c r="F190">
        <f>D190*$I$5+E190*$I$6</f>
        <v/>
      </c>
    </row>
    <row r="191">
      <c r="A191" t="n">
        <v>190</v>
      </c>
      <c r="B191" t="n">
        <v>4411</v>
      </c>
      <c r="C191" t="n">
        <v>326</v>
      </c>
      <c r="D191">
        <f>(B191-$B$405)/$B$406</f>
        <v/>
      </c>
      <c r="E191">
        <f>(C191-$C$405)/$C$406</f>
        <v/>
      </c>
      <c r="F191">
        <f>D191*$I$5+E191*$I$6</f>
        <v/>
      </c>
    </row>
    <row r="192">
      <c r="A192" t="n">
        <v>191</v>
      </c>
      <c r="B192" t="n">
        <v>5352</v>
      </c>
      <c r="C192" t="n">
        <v>385</v>
      </c>
      <c r="D192">
        <f>(B192-$B$405)/$B$406</f>
        <v/>
      </c>
      <c r="E192">
        <f>(C192-$C$405)/$C$406</f>
        <v/>
      </c>
      <c r="F192">
        <f>D192*$I$5+E192*$I$6</f>
        <v/>
      </c>
    </row>
    <row r="193">
      <c r="A193" t="n">
        <v>192</v>
      </c>
      <c r="B193" t="n">
        <v>9560</v>
      </c>
      <c r="C193" t="n">
        <v>701</v>
      </c>
      <c r="D193">
        <f>(B193-$B$405)/$B$406</f>
        <v/>
      </c>
      <c r="E193">
        <f>(C193-$C$405)/$C$406</f>
        <v/>
      </c>
      <c r="F193">
        <f>D193*$I$5+E193*$I$6</f>
        <v/>
      </c>
    </row>
    <row r="194">
      <c r="A194" t="n">
        <v>193</v>
      </c>
      <c r="B194" t="n">
        <v>3933</v>
      </c>
      <c r="C194" t="n">
        <v>287</v>
      </c>
      <c r="D194">
        <f>(B194-$B$405)/$B$406</f>
        <v/>
      </c>
      <c r="E194">
        <f>(C194-$C$405)/$C$406</f>
        <v/>
      </c>
      <c r="F194">
        <f>D194*$I$5+E194*$I$6</f>
        <v/>
      </c>
    </row>
    <row r="195">
      <c r="A195" t="n">
        <v>194</v>
      </c>
      <c r="B195" t="n">
        <v>10088</v>
      </c>
      <c r="C195" t="n">
        <v>730</v>
      </c>
      <c r="D195">
        <f>(B195-$B$405)/$B$406</f>
        <v/>
      </c>
      <c r="E195">
        <f>(C195-$C$405)/$C$406</f>
        <v/>
      </c>
      <c r="F195">
        <f>D195*$I$5+E195*$I$6</f>
        <v/>
      </c>
    </row>
    <row r="196">
      <c r="A196" t="n">
        <v>195</v>
      </c>
      <c r="B196" t="n">
        <v>2120</v>
      </c>
      <c r="C196" t="n">
        <v>181</v>
      </c>
      <c r="D196">
        <f>(B196-$B$405)/$B$406</f>
        <v/>
      </c>
      <c r="E196">
        <f>(C196-$C$405)/$C$406</f>
        <v/>
      </c>
      <c r="F196">
        <f>D196*$I$5+E196*$I$6</f>
        <v/>
      </c>
    </row>
    <row r="197">
      <c r="A197" t="n">
        <v>196</v>
      </c>
      <c r="B197" t="n">
        <v>5384</v>
      </c>
      <c r="C197" t="n">
        <v>398</v>
      </c>
      <c r="D197">
        <f>(B197-$B$405)/$B$406</f>
        <v/>
      </c>
      <c r="E197">
        <f>(C197-$C$405)/$C$406</f>
        <v/>
      </c>
      <c r="F197">
        <f>D197*$I$5+E197*$I$6</f>
        <v/>
      </c>
    </row>
    <row r="198">
      <c r="A198" t="n">
        <v>197</v>
      </c>
      <c r="B198" t="n">
        <v>7398</v>
      </c>
      <c r="C198" t="n">
        <v>517</v>
      </c>
      <c r="D198">
        <f>(B198-$B$405)/$B$406</f>
        <v/>
      </c>
      <c r="E198">
        <f>(C198-$C$405)/$C$406</f>
        <v/>
      </c>
      <c r="F198">
        <f>D198*$I$5+E198*$I$6</f>
        <v/>
      </c>
    </row>
    <row r="199">
      <c r="A199" t="n">
        <v>198</v>
      </c>
      <c r="B199" t="n">
        <v>3977</v>
      </c>
      <c r="C199" t="n">
        <v>304</v>
      </c>
      <c r="D199">
        <f>(B199-$B$405)/$B$406</f>
        <v/>
      </c>
      <c r="E199">
        <f>(C199-$C$405)/$C$406</f>
        <v/>
      </c>
      <c r="F199">
        <f>D199*$I$5+E199*$I$6</f>
        <v/>
      </c>
    </row>
    <row r="200">
      <c r="A200" t="n">
        <v>199</v>
      </c>
      <c r="B200" t="n">
        <v>2000</v>
      </c>
      <c r="C200" t="n">
        <v>169</v>
      </c>
      <c r="D200">
        <f>(B200-$B$405)/$B$406</f>
        <v/>
      </c>
      <c r="E200">
        <f>(C200-$C$405)/$C$406</f>
        <v/>
      </c>
      <c r="F200">
        <f>D200*$I$5+E200*$I$6</f>
        <v/>
      </c>
    </row>
    <row r="201">
      <c r="A201" t="n">
        <v>200</v>
      </c>
      <c r="B201" t="n">
        <v>4159</v>
      </c>
      <c r="C201" t="n">
        <v>310</v>
      </c>
      <c r="D201">
        <f>(B201-$B$405)/$B$406</f>
        <v/>
      </c>
      <c r="E201">
        <f>(C201-$C$405)/$C$406</f>
        <v/>
      </c>
      <c r="F201">
        <f>D201*$I$5+E201*$I$6</f>
        <v/>
      </c>
    </row>
    <row r="202">
      <c r="A202" t="n">
        <v>201</v>
      </c>
      <c r="B202" t="n">
        <v>5343</v>
      </c>
      <c r="C202" t="n">
        <v>383</v>
      </c>
      <c r="D202">
        <f>(B202-$B$405)/$B$406</f>
        <v/>
      </c>
      <c r="E202">
        <f>(C202-$C$405)/$C$406</f>
        <v/>
      </c>
      <c r="F202">
        <f>D202*$I$5+E202*$I$6</f>
        <v/>
      </c>
    </row>
    <row r="203">
      <c r="A203" t="n">
        <v>202</v>
      </c>
      <c r="B203" t="n">
        <v>7333</v>
      </c>
      <c r="C203" t="n">
        <v>529</v>
      </c>
      <c r="D203">
        <f>(B203-$B$405)/$B$406</f>
        <v/>
      </c>
      <c r="E203">
        <f>(C203-$C$405)/$C$406</f>
        <v/>
      </c>
      <c r="F203">
        <f>D203*$I$5+E203*$I$6</f>
        <v/>
      </c>
    </row>
    <row r="204">
      <c r="A204" t="n">
        <v>203</v>
      </c>
      <c r="B204" t="n">
        <v>1448</v>
      </c>
      <c r="C204" t="n">
        <v>145</v>
      </c>
      <c r="D204">
        <f>(B204-$B$405)/$B$406</f>
        <v/>
      </c>
      <c r="E204">
        <f>(C204-$C$405)/$C$406</f>
        <v/>
      </c>
      <c r="F204">
        <f>D204*$I$5+E204*$I$6</f>
        <v/>
      </c>
    </row>
    <row r="205">
      <c r="A205" t="n">
        <v>204</v>
      </c>
      <c r="B205" t="n">
        <v>6784</v>
      </c>
      <c r="C205" t="n">
        <v>499</v>
      </c>
      <c r="D205">
        <f>(B205-$B$405)/$B$406</f>
        <v/>
      </c>
      <c r="E205">
        <f>(C205-$C$405)/$C$406</f>
        <v/>
      </c>
      <c r="F205">
        <f>D205*$I$5+E205*$I$6</f>
        <v/>
      </c>
    </row>
    <row r="206">
      <c r="A206" t="n">
        <v>205</v>
      </c>
      <c r="B206" t="n">
        <v>5310</v>
      </c>
      <c r="C206" t="n">
        <v>392</v>
      </c>
      <c r="D206">
        <f>(B206-$B$405)/$B$406</f>
        <v/>
      </c>
      <c r="E206">
        <f>(C206-$C$405)/$C$406</f>
        <v/>
      </c>
      <c r="F206">
        <f>D206*$I$5+E206*$I$6</f>
        <v/>
      </c>
    </row>
    <row r="207">
      <c r="A207" t="n">
        <v>206</v>
      </c>
      <c r="B207" t="n">
        <v>3878</v>
      </c>
      <c r="C207" t="n">
        <v>321</v>
      </c>
      <c r="D207">
        <f>(B207-$B$405)/$B$406</f>
        <v/>
      </c>
      <c r="E207">
        <f>(C207-$C$405)/$C$406</f>
        <v/>
      </c>
      <c r="F207">
        <f>D207*$I$5+E207*$I$6</f>
        <v/>
      </c>
    </row>
    <row r="208">
      <c r="A208" t="n">
        <v>207</v>
      </c>
      <c r="B208" t="n">
        <v>2450</v>
      </c>
      <c r="C208" t="n">
        <v>180</v>
      </c>
      <c r="D208">
        <f>(B208-$B$405)/$B$406</f>
        <v/>
      </c>
      <c r="E208">
        <f>(C208-$C$405)/$C$406</f>
        <v/>
      </c>
      <c r="F208">
        <f>D208*$I$5+E208*$I$6</f>
        <v/>
      </c>
    </row>
    <row r="209">
      <c r="A209" t="n">
        <v>208</v>
      </c>
      <c r="B209" t="n">
        <v>4391</v>
      </c>
      <c r="C209" t="n">
        <v>358</v>
      </c>
      <c r="D209">
        <f>(B209-$B$405)/$B$406</f>
        <v/>
      </c>
      <c r="E209">
        <f>(C209-$C$405)/$C$406</f>
        <v/>
      </c>
      <c r="F209">
        <f>D209*$I$5+E209*$I$6</f>
        <v/>
      </c>
    </row>
    <row r="210">
      <c r="A210" t="n">
        <v>209</v>
      </c>
      <c r="B210" t="n">
        <v>4327</v>
      </c>
      <c r="C210" t="n">
        <v>320</v>
      </c>
      <c r="D210">
        <f>(B210-$B$405)/$B$406</f>
        <v/>
      </c>
      <c r="E210">
        <f>(C210-$C$405)/$C$406</f>
        <v/>
      </c>
      <c r="F210">
        <f>D210*$I$5+E210*$I$6</f>
        <v/>
      </c>
    </row>
    <row r="211">
      <c r="A211" t="n">
        <v>210</v>
      </c>
      <c r="B211" t="n">
        <v>9156</v>
      </c>
      <c r="C211" t="n">
        <v>642</v>
      </c>
      <c r="D211">
        <f>(B211-$B$405)/$B$406</f>
        <v/>
      </c>
      <c r="E211">
        <f>(C211-$C$405)/$C$406</f>
        <v/>
      </c>
      <c r="F211">
        <f>D211*$I$5+E211*$I$6</f>
        <v/>
      </c>
    </row>
    <row r="212">
      <c r="A212" t="n">
        <v>211</v>
      </c>
      <c r="B212" t="n">
        <v>3206</v>
      </c>
      <c r="C212" t="n">
        <v>243</v>
      </c>
      <c r="D212">
        <f>(B212-$B$405)/$B$406</f>
        <v/>
      </c>
      <c r="E212">
        <f>(C212-$C$405)/$C$406</f>
        <v/>
      </c>
      <c r="F212">
        <f>D212*$I$5+E212*$I$6</f>
        <v/>
      </c>
    </row>
    <row r="213">
      <c r="A213" t="n">
        <v>212</v>
      </c>
      <c r="B213" t="n">
        <v>5309</v>
      </c>
      <c r="C213" t="n">
        <v>397</v>
      </c>
      <c r="D213">
        <f>(B213-$B$405)/$B$406</f>
        <v/>
      </c>
      <c r="E213">
        <f>(C213-$C$405)/$C$406</f>
        <v/>
      </c>
      <c r="F213">
        <f>D213*$I$5+E213*$I$6</f>
        <v/>
      </c>
    </row>
    <row r="214">
      <c r="A214" t="n">
        <v>213</v>
      </c>
      <c r="B214" t="n">
        <v>4351</v>
      </c>
      <c r="C214" t="n">
        <v>323</v>
      </c>
      <c r="D214">
        <f>(B214-$B$405)/$B$406</f>
        <v/>
      </c>
      <c r="E214">
        <f>(C214-$C$405)/$C$406</f>
        <v/>
      </c>
      <c r="F214">
        <f>D214*$I$5+E214*$I$6</f>
        <v/>
      </c>
    </row>
    <row r="215">
      <c r="A215" t="n">
        <v>214</v>
      </c>
      <c r="B215" t="n">
        <v>5245</v>
      </c>
      <c r="C215" t="n">
        <v>383</v>
      </c>
      <c r="D215">
        <f>(B215-$B$405)/$B$406</f>
        <v/>
      </c>
      <c r="E215">
        <f>(C215-$C$405)/$C$406</f>
        <v/>
      </c>
      <c r="F215">
        <f>D215*$I$5+E215*$I$6</f>
        <v/>
      </c>
    </row>
    <row r="216">
      <c r="A216" t="n">
        <v>215</v>
      </c>
      <c r="B216" t="n">
        <v>5289</v>
      </c>
      <c r="C216" t="n">
        <v>410</v>
      </c>
      <c r="D216">
        <f>(B216-$B$405)/$B$406</f>
        <v/>
      </c>
      <c r="E216">
        <f>(C216-$C$405)/$C$406</f>
        <v/>
      </c>
      <c r="F216">
        <f>D216*$I$5+E216*$I$6</f>
        <v/>
      </c>
    </row>
    <row r="217">
      <c r="A217" t="n">
        <v>216</v>
      </c>
      <c r="B217" t="n">
        <v>4229</v>
      </c>
      <c r="C217" t="n">
        <v>337</v>
      </c>
      <c r="D217">
        <f>(B217-$B$405)/$B$406</f>
        <v/>
      </c>
      <c r="E217">
        <f>(C217-$C$405)/$C$406</f>
        <v/>
      </c>
      <c r="F217">
        <f>D217*$I$5+E217*$I$6</f>
        <v/>
      </c>
    </row>
    <row r="218">
      <c r="A218" t="n">
        <v>217</v>
      </c>
      <c r="B218" t="n">
        <v>2762</v>
      </c>
      <c r="C218" t="n">
        <v>215</v>
      </c>
      <c r="D218">
        <f>(B218-$B$405)/$B$406</f>
        <v/>
      </c>
      <c r="E218">
        <f>(C218-$C$405)/$C$406</f>
        <v/>
      </c>
      <c r="F218">
        <f>D218*$I$5+E218*$I$6</f>
        <v/>
      </c>
    </row>
    <row r="219">
      <c r="A219" t="n">
        <v>218</v>
      </c>
      <c r="B219" t="n">
        <v>5395</v>
      </c>
      <c r="C219" t="n">
        <v>392</v>
      </c>
      <c r="D219">
        <f>(B219-$B$405)/$B$406</f>
        <v/>
      </c>
      <c r="E219">
        <f>(C219-$C$405)/$C$406</f>
        <v/>
      </c>
      <c r="F219">
        <f>D219*$I$5+E219*$I$6</f>
        <v/>
      </c>
    </row>
    <row r="220">
      <c r="A220" t="n">
        <v>219</v>
      </c>
      <c r="B220" t="n">
        <v>1647</v>
      </c>
      <c r="C220" t="n">
        <v>149</v>
      </c>
      <c r="D220">
        <f>(B220-$B$405)/$B$406</f>
        <v/>
      </c>
      <c r="E220">
        <f>(C220-$C$405)/$C$406</f>
        <v/>
      </c>
      <c r="F220">
        <f>D220*$I$5+E220*$I$6</f>
        <v/>
      </c>
    </row>
    <row r="221">
      <c r="A221" t="n">
        <v>220</v>
      </c>
      <c r="B221" t="n">
        <v>5222</v>
      </c>
      <c r="C221" t="n">
        <v>370</v>
      </c>
      <c r="D221">
        <f>(B221-$B$405)/$B$406</f>
        <v/>
      </c>
      <c r="E221">
        <f>(C221-$C$405)/$C$406</f>
        <v/>
      </c>
      <c r="F221">
        <f>D221*$I$5+E221*$I$6</f>
        <v/>
      </c>
    </row>
    <row r="222">
      <c r="A222" t="n">
        <v>221</v>
      </c>
      <c r="B222" t="n">
        <v>5765</v>
      </c>
      <c r="C222" t="n">
        <v>437</v>
      </c>
      <c r="D222">
        <f>(B222-$B$405)/$B$406</f>
        <v/>
      </c>
      <c r="E222">
        <f>(C222-$C$405)/$C$406</f>
        <v/>
      </c>
      <c r="F222">
        <f>D222*$I$5+E222*$I$6</f>
        <v/>
      </c>
    </row>
    <row r="223">
      <c r="A223" t="n">
        <v>222</v>
      </c>
      <c r="B223" t="n">
        <v>8760</v>
      </c>
      <c r="C223" t="n">
        <v>633</v>
      </c>
      <c r="D223">
        <f>(B223-$B$405)/$B$406</f>
        <v/>
      </c>
      <c r="E223">
        <f>(C223-$C$405)/$C$406</f>
        <v/>
      </c>
      <c r="F223">
        <f>D223*$I$5+E223*$I$6</f>
        <v/>
      </c>
    </row>
    <row r="224">
      <c r="A224" t="n">
        <v>223</v>
      </c>
      <c r="B224" t="n">
        <v>6207</v>
      </c>
      <c r="C224" t="n">
        <v>451</v>
      </c>
      <c r="D224">
        <f>(B224-$B$405)/$B$406</f>
        <v/>
      </c>
      <c r="E224">
        <f>(C224-$C$405)/$C$406</f>
        <v/>
      </c>
      <c r="F224">
        <f>D224*$I$5+E224*$I$6</f>
        <v/>
      </c>
    </row>
    <row r="225">
      <c r="A225" t="n">
        <v>224</v>
      </c>
      <c r="B225" t="n">
        <v>4613</v>
      </c>
      <c r="C225" t="n">
        <v>344</v>
      </c>
      <c r="D225">
        <f>(B225-$B$405)/$B$406</f>
        <v/>
      </c>
      <c r="E225">
        <f>(C225-$C$405)/$C$406</f>
        <v/>
      </c>
      <c r="F225">
        <f>D225*$I$5+E225*$I$6</f>
        <v/>
      </c>
    </row>
    <row r="226">
      <c r="A226" t="n">
        <v>225</v>
      </c>
      <c r="B226" t="n">
        <v>7818</v>
      </c>
      <c r="C226" t="n">
        <v>584</v>
      </c>
      <c r="D226">
        <f>(B226-$B$405)/$B$406</f>
        <v/>
      </c>
      <c r="E226">
        <f>(C226-$C$405)/$C$406</f>
        <v/>
      </c>
      <c r="F226">
        <f>D226*$I$5+E226*$I$6</f>
        <v/>
      </c>
    </row>
    <row r="227">
      <c r="A227" t="n">
        <v>226</v>
      </c>
      <c r="B227" t="n">
        <v>5673</v>
      </c>
      <c r="C227" t="n">
        <v>411</v>
      </c>
      <c r="D227">
        <f>(B227-$B$405)/$B$406</f>
        <v/>
      </c>
      <c r="E227">
        <f>(C227-$C$405)/$C$406</f>
        <v/>
      </c>
      <c r="F227">
        <f>D227*$I$5+E227*$I$6</f>
        <v/>
      </c>
    </row>
    <row r="228">
      <c r="A228" t="n">
        <v>227</v>
      </c>
      <c r="B228" t="n">
        <v>6906</v>
      </c>
      <c r="C228" t="n">
        <v>527</v>
      </c>
      <c r="D228">
        <f>(B228-$B$405)/$B$406</f>
        <v/>
      </c>
      <c r="E228">
        <f>(C228-$C$405)/$C$406</f>
        <v/>
      </c>
      <c r="F228">
        <f>D228*$I$5+E228*$I$6</f>
        <v/>
      </c>
    </row>
    <row r="229">
      <c r="A229" t="n">
        <v>228</v>
      </c>
      <c r="B229" t="n">
        <v>5614</v>
      </c>
      <c r="C229" t="n">
        <v>430</v>
      </c>
      <c r="D229">
        <f>(B229-$B$405)/$B$406</f>
        <v/>
      </c>
      <c r="E229">
        <f>(C229-$C$405)/$C$406</f>
        <v/>
      </c>
      <c r="F229">
        <f>D229*$I$5+E229*$I$6</f>
        <v/>
      </c>
    </row>
    <row r="230">
      <c r="A230" t="n">
        <v>229</v>
      </c>
      <c r="B230" t="n">
        <v>4668</v>
      </c>
      <c r="C230" t="n">
        <v>341</v>
      </c>
      <c r="D230">
        <f>(B230-$B$405)/$B$406</f>
        <v/>
      </c>
      <c r="E230">
        <f>(C230-$C$405)/$C$406</f>
        <v/>
      </c>
      <c r="F230">
        <f>D230*$I$5+E230*$I$6</f>
        <v/>
      </c>
    </row>
    <row r="231">
      <c r="A231" t="n">
        <v>230</v>
      </c>
      <c r="B231" t="n">
        <v>7555</v>
      </c>
      <c r="C231" t="n">
        <v>547</v>
      </c>
      <c r="D231">
        <f>(B231-$B$405)/$B$406</f>
        <v/>
      </c>
      <c r="E231">
        <f>(C231-$C$405)/$C$406</f>
        <v/>
      </c>
      <c r="F231">
        <f>D231*$I$5+E231*$I$6</f>
        <v/>
      </c>
    </row>
    <row r="232">
      <c r="A232" t="n">
        <v>231</v>
      </c>
      <c r="B232" t="n">
        <v>5137</v>
      </c>
      <c r="C232" t="n">
        <v>387</v>
      </c>
      <c r="D232">
        <f>(B232-$B$405)/$B$406</f>
        <v/>
      </c>
      <c r="E232">
        <f>(C232-$C$405)/$C$406</f>
        <v/>
      </c>
      <c r="F232">
        <f>D232*$I$5+E232*$I$6</f>
        <v/>
      </c>
    </row>
    <row r="233">
      <c r="A233" t="n">
        <v>232</v>
      </c>
      <c r="B233" t="n">
        <v>4776</v>
      </c>
      <c r="C233" t="n">
        <v>378</v>
      </c>
      <c r="D233">
        <f>(B233-$B$405)/$B$406</f>
        <v/>
      </c>
      <c r="E233">
        <f>(C233-$C$405)/$C$406</f>
        <v/>
      </c>
      <c r="F233">
        <f>D233*$I$5+E233*$I$6</f>
        <v/>
      </c>
    </row>
    <row r="234">
      <c r="A234" t="n">
        <v>233</v>
      </c>
      <c r="B234" t="n">
        <v>4788</v>
      </c>
      <c r="C234" t="n">
        <v>360</v>
      </c>
      <c r="D234">
        <f>(B234-$B$405)/$B$406</f>
        <v/>
      </c>
      <c r="E234">
        <f>(C234-$C$405)/$C$406</f>
        <v/>
      </c>
      <c r="F234">
        <f>D234*$I$5+E234*$I$6</f>
        <v/>
      </c>
    </row>
    <row r="235">
      <c r="A235" t="n">
        <v>234</v>
      </c>
      <c r="B235" t="n">
        <v>2278</v>
      </c>
      <c r="C235" t="n">
        <v>187</v>
      </c>
      <c r="D235">
        <f>(B235-$B$405)/$B$406</f>
        <v/>
      </c>
      <c r="E235">
        <f>(C235-$C$405)/$C$406</f>
        <v/>
      </c>
      <c r="F235">
        <f>D235*$I$5+E235*$I$6</f>
        <v/>
      </c>
    </row>
    <row r="236">
      <c r="A236" t="n">
        <v>235</v>
      </c>
      <c r="B236" t="n">
        <v>8244</v>
      </c>
      <c r="C236" t="n">
        <v>579</v>
      </c>
      <c r="D236">
        <f>(B236-$B$405)/$B$406</f>
        <v/>
      </c>
      <c r="E236">
        <f>(C236-$C$405)/$C$406</f>
        <v/>
      </c>
      <c r="F236">
        <f>D236*$I$5+E236*$I$6</f>
        <v/>
      </c>
    </row>
    <row r="237">
      <c r="A237" t="n">
        <v>236</v>
      </c>
      <c r="B237" t="n">
        <v>2923</v>
      </c>
      <c r="C237" t="n">
        <v>232</v>
      </c>
      <c r="D237">
        <f>(B237-$B$405)/$B$406</f>
        <v/>
      </c>
      <c r="E237">
        <f>(C237-$C$405)/$C$406</f>
        <v/>
      </c>
      <c r="F237">
        <f>D237*$I$5+E237*$I$6</f>
        <v/>
      </c>
    </row>
    <row r="238">
      <c r="A238" t="n">
        <v>237</v>
      </c>
      <c r="B238" t="n">
        <v>4986</v>
      </c>
      <c r="C238" t="n">
        <v>369</v>
      </c>
      <c r="D238">
        <f>(B238-$B$405)/$B$406</f>
        <v/>
      </c>
      <c r="E238">
        <f>(C238-$C$405)/$C$406</f>
        <v/>
      </c>
      <c r="F238">
        <f>D238*$I$5+E238*$I$6</f>
        <v/>
      </c>
    </row>
    <row r="239">
      <c r="A239" t="n">
        <v>238</v>
      </c>
      <c r="B239" t="n">
        <v>5149</v>
      </c>
      <c r="C239" t="n">
        <v>388</v>
      </c>
      <c r="D239">
        <f>(B239-$B$405)/$B$406</f>
        <v/>
      </c>
      <c r="E239">
        <f>(C239-$C$405)/$C$406</f>
        <v/>
      </c>
      <c r="F239">
        <f>D239*$I$5+E239*$I$6</f>
        <v/>
      </c>
    </row>
    <row r="240">
      <c r="A240" t="n">
        <v>239</v>
      </c>
      <c r="B240" t="n">
        <v>2910</v>
      </c>
      <c r="C240" t="n">
        <v>236</v>
      </c>
      <c r="D240">
        <f>(B240-$B$405)/$B$406</f>
        <v/>
      </c>
      <c r="E240">
        <f>(C240-$C$405)/$C$406</f>
        <v/>
      </c>
      <c r="F240">
        <f>D240*$I$5+E240*$I$6</f>
        <v/>
      </c>
    </row>
    <row r="241">
      <c r="A241" t="n">
        <v>240</v>
      </c>
      <c r="B241" t="n">
        <v>3557</v>
      </c>
      <c r="C241" t="n">
        <v>263</v>
      </c>
      <c r="D241">
        <f>(B241-$B$405)/$B$406</f>
        <v/>
      </c>
      <c r="E241">
        <f>(C241-$C$405)/$C$406</f>
        <v/>
      </c>
      <c r="F241">
        <f>D241*$I$5+E241*$I$6</f>
        <v/>
      </c>
    </row>
    <row r="242">
      <c r="A242" t="n">
        <v>241</v>
      </c>
      <c r="B242" t="n">
        <v>3351</v>
      </c>
      <c r="C242" t="n">
        <v>262</v>
      </c>
      <c r="D242">
        <f>(B242-$B$405)/$B$406</f>
        <v/>
      </c>
      <c r="E242">
        <f>(C242-$C$405)/$C$406</f>
        <v/>
      </c>
      <c r="F242">
        <f>D242*$I$5+E242*$I$6</f>
        <v/>
      </c>
    </row>
    <row r="243">
      <c r="A243" t="n">
        <v>242</v>
      </c>
      <c r="B243" t="n">
        <v>906</v>
      </c>
      <c r="C243" t="n">
        <v>103</v>
      </c>
      <c r="D243">
        <f>(B243-$B$405)/$B$406</f>
        <v/>
      </c>
      <c r="E243">
        <f>(C243-$C$405)/$C$406</f>
        <v/>
      </c>
      <c r="F243">
        <f>D243*$I$5+E243*$I$6</f>
        <v/>
      </c>
    </row>
    <row r="244">
      <c r="A244" t="n">
        <v>243</v>
      </c>
      <c r="B244" t="n">
        <v>1233</v>
      </c>
      <c r="C244" t="n">
        <v>128</v>
      </c>
      <c r="D244">
        <f>(B244-$B$405)/$B$406</f>
        <v/>
      </c>
      <c r="E244">
        <f>(C244-$C$405)/$C$406</f>
        <v/>
      </c>
      <c r="F244">
        <f>D244*$I$5+E244*$I$6</f>
        <v/>
      </c>
    </row>
    <row r="245">
      <c r="A245" t="n">
        <v>244</v>
      </c>
      <c r="B245" t="n">
        <v>6617</v>
      </c>
      <c r="C245" t="n">
        <v>460</v>
      </c>
      <c r="D245">
        <f>(B245-$B$405)/$B$406</f>
        <v/>
      </c>
      <c r="E245">
        <f>(C245-$C$405)/$C$406</f>
        <v/>
      </c>
      <c r="F245">
        <f>D245*$I$5+E245*$I$6</f>
        <v/>
      </c>
    </row>
    <row r="246">
      <c r="A246" t="n">
        <v>245</v>
      </c>
      <c r="B246" t="n">
        <v>1787</v>
      </c>
      <c r="C246" t="n">
        <v>147</v>
      </c>
      <c r="D246">
        <f>(B246-$B$405)/$B$406</f>
        <v/>
      </c>
      <c r="E246">
        <f>(C246-$C$405)/$C$406</f>
        <v/>
      </c>
      <c r="F246">
        <f>D246*$I$5+E246*$I$6</f>
        <v/>
      </c>
    </row>
    <row r="247">
      <c r="A247" t="n">
        <v>246</v>
      </c>
      <c r="B247" t="n">
        <v>2001</v>
      </c>
      <c r="C247" t="n">
        <v>189</v>
      </c>
      <c r="D247">
        <f>(B247-$B$405)/$B$406</f>
        <v/>
      </c>
      <c r="E247">
        <f>(C247-$C$405)/$C$406</f>
        <v/>
      </c>
      <c r="F247">
        <f>D247*$I$5+E247*$I$6</f>
        <v/>
      </c>
    </row>
    <row r="248">
      <c r="A248" t="n">
        <v>247</v>
      </c>
      <c r="B248" t="n">
        <v>3211</v>
      </c>
      <c r="C248" t="n">
        <v>265</v>
      </c>
      <c r="D248">
        <f>(B248-$B$405)/$B$406</f>
        <v/>
      </c>
      <c r="E248">
        <f>(C248-$C$405)/$C$406</f>
        <v/>
      </c>
      <c r="F248">
        <f>D248*$I$5+E248*$I$6</f>
        <v/>
      </c>
    </row>
    <row r="249">
      <c r="A249" t="n">
        <v>248</v>
      </c>
      <c r="B249" t="n">
        <v>2220</v>
      </c>
      <c r="C249" t="n">
        <v>188</v>
      </c>
      <c r="D249">
        <f>(B249-$B$405)/$B$406</f>
        <v/>
      </c>
      <c r="E249">
        <f>(C249-$C$405)/$C$406</f>
        <v/>
      </c>
      <c r="F249">
        <f>D249*$I$5+E249*$I$6</f>
        <v/>
      </c>
    </row>
    <row r="250">
      <c r="A250" t="n">
        <v>249</v>
      </c>
      <c r="B250" t="n">
        <v>905</v>
      </c>
      <c r="C250" t="n">
        <v>93</v>
      </c>
      <c r="D250">
        <f>(B250-$B$405)/$B$406</f>
        <v/>
      </c>
      <c r="E250">
        <f>(C250-$C$405)/$C$406</f>
        <v/>
      </c>
      <c r="F250">
        <f>D250*$I$5+E250*$I$6</f>
        <v/>
      </c>
    </row>
    <row r="251">
      <c r="A251" t="n">
        <v>250</v>
      </c>
      <c r="B251" t="n">
        <v>1551</v>
      </c>
      <c r="C251" t="n">
        <v>134</v>
      </c>
      <c r="D251">
        <f>(B251-$B$405)/$B$406</f>
        <v/>
      </c>
      <c r="E251">
        <f>(C251-$C$405)/$C$406</f>
        <v/>
      </c>
      <c r="F251">
        <f>D251*$I$5+E251*$I$6</f>
        <v/>
      </c>
    </row>
    <row r="252">
      <c r="A252" t="n">
        <v>251</v>
      </c>
      <c r="B252" t="n">
        <v>2430</v>
      </c>
      <c r="C252" t="n">
        <v>191</v>
      </c>
      <c r="D252">
        <f>(B252-$B$405)/$B$406</f>
        <v/>
      </c>
      <c r="E252">
        <f>(C252-$C$405)/$C$406</f>
        <v/>
      </c>
      <c r="F252">
        <f>D252*$I$5+E252*$I$6</f>
        <v/>
      </c>
    </row>
    <row r="253">
      <c r="A253" t="n">
        <v>252</v>
      </c>
      <c r="B253" t="n">
        <v>3202</v>
      </c>
      <c r="C253" t="n">
        <v>267</v>
      </c>
      <c r="D253">
        <f>(B253-$B$405)/$B$406</f>
        <v/>
      </c>
      <c r="E253">
        <f>(C253-$C$405)/$C$406</f>
        <v/>
      </c>
      <c r="F253">
        <f>D253*$I$5+E253*$I$6</f>
        <v/>
      </c>
    </row>
    <row r="254">
      <c r="A254" t="n">
        <v>253</v>
      </c>
      <c r="B254" t="n">
        <v>8603</v>
      </c>
      <c r="C254" t="n">
        <v>621</v>
      </c>
      <c r="D254">
        <f>(B254-$B$405)/$B$406</f>
        <v/>
      </c>
      <c r="E254">
        <f>(C254-$C$405)/$C$406</f>
        <v/>
      </c>
      <c r="F254">
        <f>D254*$I$5+E254*$I$6</f>
        <v/>
      </c>
    </row>
    <row r="255">
      <c r="A255" t="n">
        <v>254</v>
      </c>
      <c r="B255" t="n">
        <v>5182</v>
      </c>
      <c r="C255" t="n">
        <v>402</v>
      </c>
      <c r="D255">
        <f>(B255-$B$405)/$B$406</f>
        <v/>
      </c>
      <c r="E255">
        <f>(C255-$C$405)/$C$406</f>
        <v/>
      </c>
      <c r="F255">
        <f>D255*$I$5+E255*$I$6</f>
        <v/>
      </c>
    </row>
    <row r="256">
      <c r="A256" t="n">
        <v>255</v>
      </c>
      <c r="B256" t="n">
        <v>6386</v>
      </c>
      <c r="C256" t="n">
        <v>469</v>
      </c>
      <c r="D256">
        <f>(B256-$B$405)/$B$406</f>
        <v/>
      </c>
      <c r="E256">
        <f>(C256-$C$405)/$C$406</f>
        <v/>
      </c>
      <c r="F256">
        <f>D256*$I$5+E256*$I$6</f>
        <v/>
      </c>
    </row>
    <row r="257">
      <c r="A257" t="n">
        <v>256</v>
      </c>
      <c r="B257" t="n">
        <v>4221</v>
      </c>
      <c r="C257" t="n">
        <v>304</v>
      </c>
      <c r="D257">
        <f>(B257-$B$405)/$B$406</f>
        <v/>
      </c>
      <c r="E257">
        <f>(C257-$C$405)/$C$406</f>
        <v/>
      </c>
      <c r="F257">
        <f>D257*$I$5+E257*$I$6</f>
        <v/>
      </c>
    </row>
    <row r="258">
      <c r="A258" t="n">
        <v>257</v>
      </c>
      <c r="B258" t="n">
        <v>1774</v>
      </c>
      <c r="C258" t="n">
        <v>135</v>
      </c>
      <c r="D258">
        <f>(B258-$B$405)/$B$406</f>
        <v/>
      </c>
      <c r="E258">
        <f>(C258-$C$405)/$C$406</f>
        <v/>
      </c>
      <c r="F258">
        <f>D258*$I$5+E258*$I$6</f>
        <v/>
      </c>
    </row>
    <row r="259">
      <c r="A259" t="n">
        <v>258</v>
      </c>
      <c r="B259" t="n">
        <v>2493</v>
      </c>
      <c r="C259" t="n">
        <v>186</v>
      </c>
      <c r="D259">
        <f>(B259-$B$405)/$B$406</f>
        <v/>
      </c>
      <c r="E259">
        <f>(C259-$C$405)/$C$406</f>
        <v/>
      </c>
      <c r="F259">
        <f>D259*$I$5+E259*$I$6</f>
        <v/>
      </c>
    </row>
    <row r="260">
      <c r="A260" t="n">
        <v>259</v>
      </c>
      <c r="B260" t="n">
        <v>2561</v>
      </c>
      <c r="C260" t="n">
        <v>215</v>
      </c>
      <c r="D260">
        <f>(B260-$B$405)/$B$406</f>
        <v/>
      </c>
      <c r="E260">
        <f>(C260-$C$405)/$C$406</f>
        <v/>
      </c>
      <c r="F260">
        <f>D260*$I$5+E260*$I$6</f>
        <v/>
      </c>
    </row>
    <row r="261">
      <c r="A261" t="n">
        <v>260</v>
      </c>
      <c r="B261" t="n">
        <v>6196</v>
      </c>
      <c r="C261" t="n">
        <v>450</v>
      </c>
      <c r="D261">
        <f>(B261-$B$405)/$B$406</f>
        <v/>
      </c>
      <c r="E261">
        <f>(C261-$C$405)/$C$406</f>
        <v/>
      </c>
      <c r="F261">
        <f>D261*$I$5+E261*$I$6</f>
        <v/>
      </c>
    </row>
    <row r="262">
      <c r="A262" t="n">
        <v>261</v>
      </c>
      <c r="B262" t="n">
        <v>5184</v>
      </c>
      <c r="C262" t="n">
        <v>383</v>
      </c>
      <c r="D262">
        <f>(B262-$B$405)/$B$406</f>
        <v/>
      </c>
      <c r="E262">
        <f>(C262-$C$405)/$C$406</f>
        <v/>
      </c>
      <c r="F262">
        <f>D262*$I$5+E262*$I$6</f>
        <v/>
      </c>
    </row>
    <row r="263">
      <c r="A263" t="n">
        <v>262</v>
      </c>
      <c r="B263" t="n">
        <v>9310</v>
      </c>
      <c r="C263" t="n">
        <v>665</v>
      </c>
      <c r="D263">
        <f>(B263-$B$405)/$B$406</f>
        <v/>
      </c>
      <c r="E263">
        <f>(C263-$C$405)/$C$406</f>
        <v/>
      </c>
      <c r="F263">
        <f>D263*$I$5+E263*$I$6</f>
        <v/>
      </c>
    </row>
    <row r="264">
      <c r="A264" t="n">
        <v>263</v>
      </c>
      <c r="B264" t="n">
        <v>4049</v>
      </c>
      <c r="C264" t="n">
        <v>296</v>
      </c>
      <c r="D264">
        <f>(B264-$B$405)/$B$406</f>
        <v/>
      </c>
      <c r="E264">
        <f>(C264-$C$405)/$C$406</f>
        <v/>
      </c>
      <c r="F264">
        <f>D264*$I$5+E264*$I$6</f>
        <v/>
      </c>
    </row>
    <row r="265">
      <c r="A265" t="n">
        <v>264</v>
      </c>
      <c r="B265" t="n">
        <v>3536</v>
      </c>
      <c r="C265" t="n">
        <v>270</v>
      </c>
      <c r="D265">
        <f>(B265-$B$405)/$B$406</f>
        <v/>
      </c>
      <c r="E265">
        <f>(C265-$C$405)/$C$406</f>
        <v/>
      </c>
      <c r="F265">
        <f>D265*$I$5+E265*$I$6</f>
        <v/>
      </c>
    </row>
    <row r="266">
      <c r="A266" t="n">
        <v>265</v>
      </c>
      <c r="B266" t="n">
        <v>5107</v>
      </c>
      <c r="C266" t="n">
        <v>380</v>
      </c>
      <c r="D266">
        <f>(B266-$B$405)/$B$406</f>
        <v/>
      </c>
      <c r="E266">
        <f>(C266-$C$405)/$C$406</f>
        <v/>
      </c>
      <c r="F266">
        <f>D266*$I$5+E266*$I$6</f>
        <v/>
      </c>
    </row>
    <row r="267">
      <c r="A267" t="n">
        <v>266</v>
      </c>
      <c r="B267" t="n">
        <v>5013</v>
      </c>
      <c r="C267" t="n">
        <v>379</v>
      </c>
      <c r="D267">
        <f>(B267-$B$405)/$B$406</f>
        <v/>
      </c>
      <c r="E267">
        <f>(C267-$C$405)/$C$406</f>
        <v/>
      </c>
      <c r="F267">
        <f>D267*$I$5+E267*$I$6</f>
        <v/>
      </c>
    </row>
    <row r="268">
      <c r="A268" t="n">
        <v>267</v>
      </c>
      <c r="B268" t="n">
        <v>4952</v>
      </c>
      <c r="C268" t="n">
        <v>360</v>
      </c>
      <c r="D268">
        <f>(B268-$B$405)/$B$406</f>
        <v/>
      </c>
      <c r="E268">
        <f>(C268-$C$405)/$C$406</f>
        <v/>
      </c>
      <c r="F268">
        <f>D268*$I$5+E268*$I$6</f>
        <v/>
      </c>
    </row>
    <row r="269">
      <c r="A269" t="n">
        <v>268</v>
      </c>
      <c r="B269" t="n">
        <v>5833</v>
      </c>
      <c r="C269" t="n">
        <v>433</v>
      </c>
      <c r="D269">
        <f>(B269-$B$405)/$B$406</f>
        <v/>
      </c>
      <c r="E269">
        <f>(C269-$C$405)/$C$406</f>
        <v/>
      </c>
      <c r="F269">
        <f>D269*$I$5+E269*$I$6</f>
        <v/>
      </c>
    </row>
    <row r="270">
      <c r="A270" t="n">
        <v>269</v>
      </c>
      <c r="B270" t="n">
        <v>1349</v>
      </c>
      <c r="C270" t="n">
        <v>142</v>
      </c>
      <c r="D270">
        <f>(B270-$B$405)/$B$406</f>
        <v/>
      </c>
      <c r="E270">
        <f>(C270-$C$405)/$C$406</f>
        <v/>
      </c>
      <c r="F270">
        <f>D270*$I$5+E270*$I$6</f>
        <v/>
      </c>
    </row>
    <row r="271">
      <c r="A271" t="n">
        <v>270</v>
      </c>
      <c r="B271" t="n">
        <v>5565</v>
      </c>
      <c r="C271" t="n">
        <v>410</v>
      </c>
      <c r="D271">
        <f>(B271-$B$405)/$B$406</f>
        <v/>
      </c>
      <c r="E271">
        <f>(C271-$C$405)/$C$406</f>
        <v/>
      </c>
      <c r="F271">
        <f>D271*$I$5+E271*$I$6</f>
        <v/>
      </c>
    </row>
    <row r="272">
      <c r="A272" t="n">
        <v>271</v>
      </c>
      <c r="B272" t="n">
        <v>3085</v>
      </c>
      <c r="C272" t="n">
        <v>217</v>
      </c>
      <c r="D272">
        <f>(B272-$B$405)/$B$406</f>
        <v/>
      </c>
      <c r="E272">
        <f>(C272-$C$405)/$C$406</f>
        <v/>
      </c>
      <c r="F272">
        <f>D272*$I$5+E272*$I$6</f>
        <v/>
      </c>
    </row>
    <row r="273">
      <c r="A273" t="n">
        <v>272</v>
      </c>
      <c r="B273" t="n">
        <v>4866</v>
      </c>
      <c r="C273" t="n">
        <v>347</v>
      </c>
      <c r="D273">
        <f>(B273-$B$405)/$B$406</f>
        <v/>
      </c>
      <c r="E273">
        <f>(C273-$C$405)/$C$406</f>
        <v/>
      </c>
      <c r="F273">
        <f>D273*$I$5+E273*$I$6</f>
        <v/>
      </c>
    </row>
    <row r="274">
      <c r="A274" t="n">
        <v>273</v>
      </c>
      <c r="B274" t="n">
        <v>3690</v>
      </c>
      <c r="C274" t="n">
        <v>299</v>
      </c>
      <c r="D274">
        <f>(B274-$B$405)/$B$406</f>
        <v/>
      </c>
      <c r="E274">
        <f>(C274-$C$405)/$C$406</f>
        <v/>
      </c>
      <c r="F274">
        <f>D274*$I$5+E274*$I$6</f>
        <v/>
      </c>
    </row>
    <row r="275">
      <c r="A275" t="n">
        <v>274</v>
      </c>
      <c r="B275" t="n">
        <v>4706</v>
      </c>
      <c r="C275" t="n">
        <v>353</v>
      </c>
      <c r="D275">
        <f>(B275-$B$405)/$B$406</f>
        <v/>
      </c>
      <c r="E275">
        <f>(C275-$C$405)/$C$406</f>
        <v/>
      </c>
      <c r="F275">
        <f>D275*$I$5+E275*$I$6</f>
        <v/>
      </c>
    </row>
    <row r="276">
      <c r="A276" t="n">
        <v>275</v>
      </c>
      <c r="B276" t="n">
        <v>5869</v>
      </c>
      <c r="C276" t="n">
        <v>439</v>
      </c>
      <c r="D276">
        <f>(B276-$B$405)/$B$406</f>
        <v/>
      </c>
      <c r="E276">
        <f>(C276-$C$405)/$C$406</f>
        <v/>
      </c>
      <c r="F276">
        <f>D276*$I$5+E276*$I$6</f>
        <v/>
      </c>
    </row>
    <row r="277">
      <c r="A277" t="n">
        <v>276</v>
      </c>
      <c r="B277" t="n">
        <v>8732</v>
      </c>
      <c r="C277" t="n">
        <v>636</v>
      </c>
      <c r="D277">
        <f>(B277-$B$405)/$B$406</f>
        <v/>
      </c>
      <c r="E277">
        <f>(C277-$C$405)/$C$406</f>
        <v/>
      </c>
      <c r="F277">
        <f>D277*$I$5+E277*$I$6</f>
        <v/>
      </c>
    </row>
    <row r="278">
      <c r="A278" t="n">
        <v>277</v>
      </c>
      <c r="B278" t="n">
        <v>3476</v>
      </c>
      <c r="C278" t="n">
        <v>257</v>
      </c>
      <c r="D278">
        <f>(B278-$B$405)/$B$406</f>
        <v/>
      </c>
      <c r="E278">
        <f>(C278-$C$405)/$C$406</f>
        <v/>
      </c>
      <c r="F278">
        <f>D278*$I$5+E278*$I$6</f>
        <v/>
      </c>
    </row>
    <row r="279">
      <c r="A279" t="n">
        <v>278</v>
      </c>
      <c r="B279" t="n">
        <v>5000</v>
      </c>
      <c r="C279" t="n">
        <v>353</v>
      </c>
      <c r="D279">
        <f>(B279-$B$405)/$B$406</f>
        <v/>
      </c>
      <c r="E279">
        <f>(C279-$C$405)/$C$406</f>
        <v/>
      </c>
      <c r="F279">
        <f>D279*$I$5+E279*$I$6</f>
        <v/>
      </c>
    </row>
    <row r="280">
      <c r="A280" t="n">
        <v>279</v>
      </c>
      <c r="B280" t="n">
        <v>6982</v>
      </c>
      <c r="C280" t="n">
        <v>518</v>
      </c>
      <c r="D280">
        <f>(B280-$B$405)/$B$406</f>
        <v/>
      </c>
      <c r="E280">
        <f>(C280-$C$405)/$C$406</f>
        <v/>
      </c>
      <c r="F280">
        <f>D280*$I$5+E280*$I$6</f>
        <v/>
      </c>
    </row>
    <row r="281">
      <c r="A281" t="n">
        <v>280</v>
      </c>
      <c r="B281" t="n">
        <v>3063</v>
      </c>
      <c r="C281" t="n">
        <v>248</v>
      </c>
      <c r="D281">
        <f>(B281-$B$405)/$B$406</f>
        <v/>
      </c>
      <c r="E281">
        <f>(C281-$C$405)/$C$406</f>
        <v/>
      </c>
      <c r="F281">
        <f>D281*$I$5+E281*$I$6</f>
        <v/>
      </c>
    </row>
    <row r="282">
      <c r="A282" t="n">
        <v>281</v>
      </c>
      <c r="B282" t="n">
        <v>5319</v>
      </c>
      <c r="C282" t="n">
        <v>377</v>
      </c>
      <c r="D282">
        <f>(B282-$B$405)/$B$406</f>
        <v/>
      </c>
      <c r="E282">
        <f>(C282-$C$405)/$C$406</f>
        <v/>
      </c>
      <c r="F282">
        <f>D282*$I$5+E282*$I$6</f>
        <v/>
      </c>
    </row>
    <row r="283">
      <c r="A283" t="n">
        <v>282</v>
      </c>
      <c r="B283" t="n">
        <v>1852</v>
      </c>
      <c r="C283" t="n">
        <v>183</v>
      </c>
      <c r="D283">
        <f>(B283-$B$405)/$B$406</f>
        <v/>
      </c>
      <c r="E283">
        <f>(C283-$C$405)/$C$406</f>
        <v/>
      </c>
      <c r="F283">
        <f>D283*$I$5+E283*$I$6</f>
        <v/>
      </c>
    </row>
    <row r="284">
      <c r="A284" t="n">
        <v>283</v>
      </c>
      <c r="B284" t="n">
        <v>8100</v>
      </c>
      <c r="C284" t="n">
        <v>581</v>
      </c>
      <c r="D284">
        <f>(B284-$B$405)/$B$406</f>
        <v/>
      </c>
      <c r="E284">
        <f>(C284-$C$405)/$C$406</f>
        <v/>
      </c>
      <c r="F284">
        <f>D284*$I$5+E284*$I$6</f>
        <v/>
      </c>
    </row>
    <row r="285">
      <c r="A285" t="n">
        <v>284</v>
      </c>
      <c r="B285" t="n">
        <v>6396</v>
      </c>
      <c r="C285" t="n">
        <v>485</v>
      </c>
      <c r="D285">
        <f>(B285-$B$405)/$B$406</f>
        <v/>
      </c>
      <c r="E285">
        <f>(C285-$C$405)/$C$406</f>
        <v/>
      </c>
      <c r="F285">
        <f>D285*$I$5+E285*$I$6</f>
        <v/>
      </c>
    </row>
    <row r="286">
      <c r="A286" t="n">
        <v>285</v>
      </c>
      <c r="B286" t="n">
        <v>2047</v>
      </c>
      <c r="C286" t="n">
        <v>167</v>
      </c>
      <c r="D286">
        <f>(B286-$B$405)/$B$406</f>
        <v/>
      </c>
      <c r="E286">
        <f>(C286-$C$405)/$C$406</f>
        <v/>
      </c>
      <c r="F286">
        <f>D286*$I$5+E286*$I$6</f>
        <v/>
      </c>
    </row>
    <row r="287">
      <c r="A287" t="n">
        <v>286</v>
      </c>
      <c r="B287" t="n">
        <v>1626</v>
      </c>
      <c r="C287" t="n">
        <v>156</v>
      </c>
      <c r="D287">
        <f>(B287-$B$405)/$B$406</f>
        <v/>
      </c>
      <c r="E287">
        <f>(C287-$C$405)/$C$406</f>
        <v/>
      </c>
      <c r="F287">
        <f>D287*$I$5+E287*$I$6</f>
        <v/>
      </c>
    </row>
    <row r="288">
      <c r="A288" t="n">
        <v>287</v>
      </c>
      <c r="B288" t="n">
        <v>1552</v>
      </c>
      <c r="C288" t="n">
        <v>142</v>
      </c>
      <c r="D288">
        <f>(B288-$B$405)/$B$406</f>
        <v/>
      </c>
      <c r="E288">
        <f>(C288-$C$405)/$C$406</f>
        <v/>
      </c>
      <c r="F288">
        <f>D288*$I$5+E288*$I$6</f>
        <v/>
      </c>
    </row>
    <row r="289">
      <c r="A289" t="n">
        <v>288</v>
      </c>
      <c r="B289" t="n">
        <v>3098</v>
      </c>
      <c r="C289" t="n">
        <v>272</v>
      </c>
      <c r="D289">
        <f>(B289-$B$405)/$B$406</f>
        <v/>
      </c>
      <c r="E289">
        <f>(C289-$C$405)/$C$406</f>
        <v/>
      </c>
      <c r="F289">
        <f>D289*$I$5+E289*$I$6</f>
        <v/>
      </c>
    </row>
    <row r="290">
      <c r="A290" t="n">
        <v>289</v>
      </c>
      <c r="B290" t="n">
        <v>5274</v>
      </c>
      <c r="C290" t="n">
        <v>387</v>
      </c>
      <c r="D290">
        <f>(B290-$B$405)/$B$406</f>
        <v/>
      </c>
      <c r="E290">
        <f>(C290-$C$405)/$C$406</f>
        <v/>
      </c>
      <c r="F290">
        <f>D290*$I$5+E290*$I$6</f>
        <v/>
      </c>
    </row>
    <row r="291">
      <c r="A291" t="n">
        <v>290</v>
      </c>
      <c r="B291" t="n">
        <v>3907</v>
      </c>
      <c r="C291" t="n">
        <v>296</v>
      </c>
      <c r="D291">
        <f>(B291-$B$405)/$B$406</f>
        <v/>
      </c>
      <c r="E291">
        <f>(C291-$C$405)/$C$406</f>
        <v/>
      </c>
      <c r="F291">
        <f>D291*$I$5+E291*$I$6</f>
        <v/>
      </c>
    </row>
    <row r="292">
      <c r="A292" t="n">
        <v>291</v>
      </c>
      <c r="B292" t="n">
        <v>3235</v>
      </c>
      <c r="C292" t="n">
        <v>268</v>
      </c>
      <c r="D292">
        <f>(B292-$B$405)/$B$406</f>
        <v/>
      </c>
      <c r="E292">
        <f>(C292-$C$405)/$C$406</f>
        <v/>
      </c>
      <c r="F292">
        <f>D292*$I$5+E292*$I$6</f>
        <v/>
      </c>
    </row>
    <row r="293">
      <c r="A293" t="n">
        <v>292</v>
      </c>
      <c r="B293" t="n">
        <v>3665</v>
      </c>
      <c r="C293" t="n">
        <v>287</v>
      </c>
      <c r="D293">
        <f>(B293-$B$405)/$B$406</f>
        <v/>
      </c>
      <c r="E293">
        <f>(C293-$C$405)/$C$406</f>
        <v/>
      </c>
      <c r="F293">
        <f>D293*$I$5+E293*$I$6</f>
        <v/>
      </c>
    </row>
    <row r="294">
      <c r="A294" t="n">
        <v>293</v>
      </c>
      <c r="B294" t="n">
        <v>5096</v>
      </c>
      <c r="C294" t="n">
        <v>380</v>
      </c>
      <c r="D294">
        <f>(B294-$B$405)/$B$406</f>
        <v/>
      </c>
      <c r="E294">
        <f>(C294-$C$405)/$C$406</f>
        <v/>
      </c>
      <c r="F294">
        <f>D294*$I$5+E294*$I$6</f>
        <v/>
      </c>
    </row>
    <row r="295">
      <c r="A295" t="n">
        <v>294</v>
      </c>
      <c r="B295" t="n">
        <v>11200</v>
      </c>
      <c r="C295" t="n">
        <v>817</v>
      </c>
      <c r="D295">
        <f>(B295-$B$405)/$B$406</f>
        <v/>
      </c>
      <c r="E295">
        <f>(C295-$C$405)/$C$406</f>
        <v/>
      </c>
      <c r="F295">
        <f>D295*$I$5+E295*$I$6</f>
        <v/>
      </c>
    </row>
    <row r="296">
      <c r="A296" t="n">
        <v>295</v>
      </c>
      <c r="B296" t="n">
        <v>2532</v>
      </c>
      <c r="C296" t="n">
        <v>205</v>
      </c>
      <c r="D296">
        <f>(B296-$B$405)/$B$406</f>
        <v/>
      </c>
      <c r="E296">
        <f>(C296-$C$405)/$C$406</f>
        <v/>
      </c>
      <c r="F296">
        <f>D296*$I$5+E296*$I$6</f>
        <v/>
      </c>
    </row>
    <row r="297">
      <c r="A297" t="n">
        <v>296</v>
      </c>
      <c r="B297" t="n">
        <v>1389</v>
      </c>
      <c r="C297" t="n">
        <v>149</v>
      </c>
      <c r="D297">
        <f>(B297-$B$405)/$B$406</f>
        <v/>
      </c>
      <c r="E297">
        <f>(C297-$C$405)/$C$406</f>
        <v/>
      </c>
      <c r="F297">
        <f>D297*$I$5+E297*$I$6</f>
        <v/>
      </c>
    </row>
    <row r="298">
      <c r="A298" t="n">
        <v>297</v>
      </c>
      <c r="B298" t="n">
        <v>5140</v>
      </c>
      <c r="C298" t="n">
        <v>370</v>
      </c>
      <c r="D298">
        <f>(B298-$B$405)/$B$406</f>
        <v/>
      </c>
      <c r="E298">
        <f>(C298-$C$405)/$C$406</f>
        <v/>
      </c>
      <c r="F298">
        <f>D298*$I$5+E298*$I$6</f>
        <v/>
      </c>
    </row>
    <row r="299">
      <c r="A299" t="n">
        <v>298</v>
      </c>
      <c r="B299" t="n">
        <v>4381</v>
      </c>
      <c r="C299" t="n">
        <v>321</v>
      </c>
      <c r="D299">
        <f>(B299-$B$405)/$B$406</f>
        <v/>
      </c>
      <c r="E299">
        <f>(C299-$C$405)/$C$406</f>
        <v/>
      </c>
      <c r="F299">
        <f>D299*$I$5+E299*$I$6</f>
        <v/>
      </c>
    </row>
    <row r="300">
      <c r="A300" t="n">
        <v>299</v>
      </c>
      <c r="B300" t="n">
        <v>2672</v>
      </c>
      <c r="C300" t="n">
        <v>204</v>
      </c>
      <c r="D300">
        <f>(B300-$B$405)/$B$406</f>
        <v/>
      </c>
      <c r="E300">
        <f>(C300-$C$405)/$C$406</f>
        <v/>
      </c>
      <c r="F300">
        <f>D300*$I$5+E300*$I$6</f>
        <v/>
      </c>
    </row>
    <row r="301">
      <c r="A301" t="n">
        <v>300</v>
      </c>
      <c r="B301" t="n">
        <v>5051</v>
      </c>
      <c r="C301" t="n">
        <v>372</v>
      </c>
      <c r="D301">
        <f>(B301-$B$405)/$B$406</f>
        <v/>
      </c>
      <c r="E301">
        <f>(C301-$C$405)/$C$406</f>
        <v/>
      </c>
      <c r="F301">
        <f>D301*$I$5+E301*$I$6</f>
        <v/>
      </c>
    </row>
    <row r="302">
      <c r="A302" t="n">
        <v>301</v>
      </c>
      <c r="B302" t="n">
        <v>4632</v>
      </c>
      <c r="C302" t="n">
        <v>355</v>
      </c>
      <c r="D302">
        <f>(B302-$B$405)/$B$406</f>
        <v/>
      </c>
      <c r="E302">
        <f>(C302-$C$405)/$C$406</f>
        <v/>
      </c>
      <c r="F302">
        <f>D302*$I$5+E302*$I$6</f>
        <v/>
      </c>
    </row>
    <row r="303">
      <c r="A303" t="n">
        <v>302</v>
      </c>
      <c r="B303" t="n">
        <v>3526</v>
      </c>
      <c r="C303" t="n">
        <v>289</v>
      </c>
      <c r="D303">
        <f>(B303-$B$405)/$B$406</f>
        <v/>
      </c>
      <c r="E303">
        <f>(C303-$C$405)/$C$406</f>
        <v/>
      </c>
      <c r="F303">
        <f>D303*$I$5+E303*$I$6</f>
        <v/>
      </c>
    </row>
    <row r="304">
      <c r="A304" t="n">
        <v>303</v>
      </c>
      <c r="B304" t="n">
        <v>4964</v>
      </c>
      <c r="C304" t="n">
        <v>365</v>
      </c>
      <c r="D304">
        <f>(B304-$B$405)/$B$406</f>
        <v/>
      </c>
      <c r="E304">
        <f>(C304-$C$405)/$C$406</f>
        <v/>
      </c>
      <c r="F304">
        <f>D304*$I$5+E304*$I$6</f>
        <v/>
      </c>
    </row>
    <row r="305">
      <c r="A305" t="n">
        <v>304</v>
      </c>
      <c r="B305" t="n">
        <v>4970</v>
      </c>
      <c r="C305" t="n">
        <v>352</v>
      </c>
      <c r="D305">
        <f>(B305-$B$405)/$B$406</f>
        <v/>
      </c>
      <c r="E305">
        <f>(C305-$C$405)/$C$406</f>
        <v/>
      </c>
      <c r="F305">
        <f>D305*$I$5+E305*$I$6</f>
        <v/>
      </c>
    </row>
    <row r="306">
      <c r="A306" t="n">
        <v>305</v>
      </c>
      <c r="B306" t="n">
        <v>7506</v>
      </c>
      <c r="C306" t="n">
        <v>536</v>
      </c>
      <c r="D306">
        <f>(B306-$B$405)/$B$406</f>
        <v/>
      </c>
      <c r="E306">
        <f>(C306-$C$405)/$C$406</f>
        <v/>
      </c>
      <c r="F306">
        <f>D306*$I$5+E306*$I$6</f>
        <v/>
      </c>
    </row>
    <row r="307">
      <c r="A307" t="n">
        <v>306</v>
      </c>
      <c r="B307" t="n">
        <v>1924</v>
      </c>
      <c r="C307" t="n">
        <v>165</v>
      </c>
      <c r="D307">
        <f>(B307-$B$405)/$B$406</f>
        <v/>
      </c>
      <c r="E307">
        <f>(C307-$C$405)/$C$406</f>
        <v/>
      </c>
      <c r="F307">
        <f>D307*$I$5+E307*$I$6</f>
        <v/>
      </c>
    </row>
    <row r="308">
      <c r="A308" t="n">
        <v>307</v>
      </c>
      <c r="B308" t="n">
        <v>3762</v>
      </c>
      <c r="C308" t="n">
        <v>287</v>
      </c>
      <c r="D308">
        <f>(B308-$B$405)/$B$406</f>
        <v/>
      </c>
      <c r="E308">
        <f>(C308-$C$405)/$C$406</f>
        <v/>
      </c>
      <c r="F308">
        <f>D308*$I$5+E308*$I$6</f>
        <v/>
      </c>
    </row>
    <row r="309">
      <c r="A309" t="n">
        <v>308</v>
      </c>
      <c r="B309" t="n">
        <v>3874</v>
      </c>
      <c r="C309" t="n">
        <v>298</v>
      </c>
      <c r="D309">
        <f>(B309-$B$405)/$B$406</f>
        <v/>
      </c>
      <c r="E309">
        <f>(C309-$C$405)/$C$406</f>
        <v/>
      </c>
      <c r="F309">
        <f>D309*$I$5+E309*$I$6</f>
        <v/>
      </c>
    </row>
    <row r="310">
      <c r="A310" t="n">
        <v>309</v>
      </c>
      <c r="B310" t="n">
        <v>4640</v>
      </c>
      <c r="C310" t="n">
        <v>332</v>
      </c>
      <c r="D310">
        <f>(B310-$B$405)/$B$406</f>
        <v/>
      </c>
      <c r="E310">
        <f>(C310-$C$405)/$C$406</f>
        <v/>
      </c>
      <c r="F310">
        <f>D310*$I$5+E310*$I$6</f>
        <v/>
      </c>
    </row>
    <row r="311">
      <c r="A311" t="n">
        <v>310</v>
      </c>
      <c r="B311" t="n">
        <v>7010</v>
      </c>
      <c r="C311" t="n">
        <v>494</v>
      </c>
      <c r="D311">
        <f>(B311-$B$405)/$B$406</f>
        <v/>
      </c>
      <c r="E311">
        <f>(C311-$C$405)/$C$406</f>
        <v/>
      </c>
      <c r="F311">
        <f>D311*$I$5+E311*$I$6</f>
        <v/>
      </c>
    </row>
    <row r="312">
      <c r="A312" t="n">
        <v>311</v>
      </c>
      <c r="B312" t="n">
        <v>4891</v>
      </c>
      <c r="C312" t="n">
        <v>369</v>
      </c>
      <c r="D312">
        <f>(B312-$B$405)/$B$406</f>
        <v/>
      </c>
      <c r="E312">
        <f>(C312-$C$405)/$C$406</f>
        <v/>
      </c>
      <c r="F312">
        <f>D312*$I$5+E312*$I$6</f>
        <v/>
      </c>
    </row>
    <row r="313">
      <c r="A313" t="n">
        <v>312</v>
      </c>
      <c r="B313" t="n">
        <v>5429</v>
      </c>
      <c r="C313" t="n">
        <v>396</v>
      </c>
      <c r="D313">
        <f>(B313-$B$405)/$B$406</f>
        <v/>
      </c>
      <c r="E313">
        <f>(C313-$C$405)/$C$406</f>
        <v/>
      </c>
      <c r="F313">
        <f>D313*$I$5+E313*$I$6</f>
        <v/>
      </c>
    </row>
    <row r="314">
      <c r="A314" t="n">
        <v>313</v>
      </c>
      <c r="B314" t="n">
        <v>5227</v>
      </c>
      <c r="C314" t="n">
        <v>386</v>
      </c>
      <c r="D314">
        <f>(B314-$B$405)/$B$406</f>
        <v/>
      </c>
      <c r="E314">
        <f>(C314-$C$405)/$C$406</f>
        <v/>
      </c>
      <c r="F314">
        <f>D314*$I$5+E314*$I$6</f>
        <v/>
      </c>
    </row>
    <row r="315">
      <c r="A315" t="n">
        <v>314</v>
      </c>
      <c r="B315" t="n">
        <v>7685</v>
      </c>
      <c r="C315" t="n">
        <v>534</v>
      </c>
      <c r="D315">
        <f>(B315-$B$405)/$B$406</f>
        <v/>
      </c>
      <c r="E315">
        <f>(C315-$C$405)/$C$406</f>
        <v/>
      </c>
      <c r="F315">
        <f>D315*$I$5+E315*$I$6</f>
        <v/>
      </c>
    </row>
    <row r="316">
      <c r="A316" t="n">
        <v>315</v>
      </c>
      <c r="B316" t="n">
        <v>9272</v>
      </c>
      <c r="C316" t="n">
        <v>656</v>
      </c>
      <c r="D316">
        <f>(B316-$B$405)/$B$406</f>
        <v/>
      </c>
      <c r="E316">
        <f>(C316-$C$405)/$C$406</f>
        <v/>
      </c>
      <c r="F316">
        <f>D316*$I$5+E316*$I$6</f>
        <v/>
      </c>
    </row>
    <row r="317">
      <c r="A317" t="n">
        <v>316</v>
      </c>
      <c r="B317" t="n">
        <v>3907</v>
      </c>
      <c r="C317" t="n">
        <v>296</v>
      </c>
      <c r="D317">
        <f>(B317-$B$405)/$B$406</f>
        <v/>
      </c>
      <c r="E317">
        <f>(C317-$C$405)/$C$406</f>
        <v/>
      </c>
      <c r="F317">
        <f>D317*$I$5+E317*$I$6</f>
        <v/>
      </c>
    </row>
    <row r="318">
      <c r="A318" t="n">
        <v>317</v>
      </c>
      <c r="B318" t="n">
        <v>7306</v>
      </c>
      <c r="C318" t="n">
        <v>522</v>
      </c>
      <c r="D318">
        <f>(B318-$B$405)/$B$406</f>
        <v/>
      </c>
      <c r="E318">
        <f>(C318-$C$405)/$C$406</f>
        <v/>
      </c>
      <c r="F318">
        <f>D318*$I$5+E318*$I$6</f>
        <v/>
      </c>
    </row>
    <row r="319">
      <c r="A319" t="n">
        <v>318</v>
      </c>
      <c r="B319" t="n">
        <v>4712</v>
      </c>
      <c r="C319" t="n">
        <v>340</v>
      </c>
      <c r="D319">
        <f>(B319-$B$405)/$B$406</f>
        <v/>
      </c>
      <c r="E319">
        <f>(C319-$C$405)/$C$406</f>
        <v/>
      </c>
      <c r="F319">
        <f>D319*$I$5+E319*$I$6</f>
        <v/>
      </c>
    </row>
    <row r="320">
      <c r="A320" t="n">
        <v>319</v>
      </c>
      <c r="B320" t="n">
        <v>1485</v>
      </c>
      <c r="C320" t="n">
        <v>129</v>
      </c>
      <c r="D320">
        <f>(B320-$B$405)/$B$406</f>
        <v/>
      </c>
      <c r="E320">
        <f>(C320-$C$405)/$C$406</f>
        <v/>
      </c>
      <c r="F320">
        <f>D320*$I$5+E320*$I$6</f>
        <v/>
      </c>
    </row>
    <row r="321">
      <c r="A321" t="n">
        <v>320</v>
      </c>
      <c r="B321" t="n">
        <v>2586</v>
      </c>
      <c r="C321" t="n">
        <v>229</v>
      </c>
      <c r="D321">
        <f>(B321-$B$405)/$B$406</f>
        <v/>
      </c>
      <c r="E321">
        <f>(C321-$C$405)/$C$406</f>
        <v/>
      </c>
      <c r="F321">
        <f>D321*$I$5+E321*$I$6</f>
        <v/>
      </c>
    </row>
    <row r="322">
      <c r="A322" t="n">
        <v>321</v>
      </c>
      <c r="B322" t="n">
        <v>1160</v>
      </c>
      <c r="C322" t="n">
        <v>126</v>
      </c>
      <c r="D322">
        <f>(B322-$B$405)/$B$406</f>
        <v/>
      </c>
      <c r="E322">
        <f>(C322-$C$405)/$C$406</f>
        <v/>
      </c>
      <c r="F322">
        <f>D322*$I$5+E322*$I$6</f>
        <v/>
      </c>
    </row>
    <row r="323">
      <c r="A323" t="n">
        <v>322</v>
      </c>
      <c r="B323" t="n">
        <v>3096</v>
      </c>
      <c r="C323" t="n">
        <v>236</v>
      </c>
      <c r="D323">
        <f>(B323-$B$405)/$B$406</f>
        <v/>
      </c>
      <c r="E323">
        <f>(C323-$C$405)/$C$406</f>
        <v/>
      </c>
      <c r="F323">
        <f>D323*$I$5+E323*$I$6</f>
        <v/>
      </c>
    </row>
    <row r="324">
      <c r="A324" t="n">
        <v>323</v>
      </c>
      <c r="B324" t="n">
        <v>3484</v>
      </c>
      <c r="C324" t="n">
        <v>282</v>
      </c>
      <c r="D324">
        <f>(B324-$B$405)/$B$406</f>
        <v/>
      </c>
      <c r="E324">
        <f>(C324-$C$405)/$C$406</f>
        <v/>
      </c>
      <c r="F324">
        <f>D324*$I$5+E324*$I$6</f>
        <v/>
      </c>
    </row>
    <row r="325">
      <c r="A325" t="n">
        <v>324</v>
      </c>
      <c r="B325" t="n">
        <v>13913</v>
      </c>
      <c r="C325" t="n">
        <v>982</v>
      </c>
      <c r="D325">
        <f>(B325-$B$405)/$B$406</f>
        <v/>
      </c>
      <c r="E325">
        <f>(C325-$C$405)/$C$406</f>
        <v/>
      </c>
      <c r="F325">
        <f>D325*$I$5+E325*$I$6</f>
        <v/>
      </c>
    </row>
    <row r="326">
      <c r="A326" t="n">
        <v>325</v>
      </c>
      <c r="B326" t="n">
        <v>2863</v>
      </c>
      <c r="C326" t="n">
        <v>223</v>
      </c>
      <c r="D326">
        <f>(B326-$B$405)/$B$406</f>
        <v/>
      </c>
      <c r="E326">
        <f>(C326-$C$405)/$C$406</f>
        <v/>
      </c>
      <c r="F326">
        <f>D326*$I$5+E326*$I$6</f>
        <v/>
      </c>
    </row>
    <row r="327">
      <c r="A327" t="n">
        <v>326</v>
      </c>
      <c r="B327" t="n">
        <v>5072</v>
      </c>
      <c r="C327" t="n">
        <v>364</v>
      </c>
      <c r="D327">
        <f>(B327-$B$405)/$B$406</f>
        <v/>
      </c>
      <c r="E327">
        <f>(C327-$C$405)/$C$406</f>
        <v/>
      </c>
      <c r="F327">
        <f>D327*$I$5+E327*$I$6</f>
        <v/>
      </c>
    </row>
    <row r="328">
      <c r="A328" t="n">
        <v>327</v>
      </c>
      <c r="B328" t="n">
        <v>10230</v>
      </c>
      <c r="C328" t="n">
        <v>721</v>
      </c>
      <c r="D328">
        <f>(B328-$B$405)/$B$406</f>
        <v/>
      </c>
      <c r="E328">
        <f>(C328-$C$405)/$C$406</f>
        <v/>
      </c>
      <c r="F328">
        <f>D328*$I$5+E328*$I$6</f>
        <v/>
      </c>
    </row>
    <row r="329">
      <c r="A329" t="n">
        <v>328</v>
      </c>
      <c r="B329" t="n">
        <v>6662</v>
      </c>
      <c r="C329" t="n">
        <v>508</v>
      </c>
      <c r="D329">
        <f>(B329-$B$405)/$B$406</f>
        <v/>
      </c>
      <c r="E329">
        <f>(C329-$C$405)/$C$406</f>
        <v/>
      </c>
      <c r="F329">
        <f>D329*$I$5+E329*$I$6</f>
        <v/>
      </c>
    </row>
    <row r="330">
      <c r="A330" t="n">
        <v>329</v>
      </c>
      <c r="B330" t="n">
        <v>3673</v>
      </c>
      <c r="C330" t="n">
        <v>297</v>
      </c>
      <c r="D330">
        <f>(B330-$B$405)/$B$406</f>
        <v/>
      </c>
      <c r="E330">
        <f>(C330-$C$405)/$C$406</f>
        <v/>
      </c>
      <c r="F330">
        <f>D330*$I$5+E330*$I$6</f>
        <v/>
      </c>
    </row>
    <row r="331">
      <c r="A331" t="n">
        <v>330</v>
      </c>
      <c r="B331" t="n">
        <v>7576</v>
      </c>
      <c r="C331" t="n">
        <v>527</v>
      </c>
      <c r="D331">
        <f>(B331-$B$405)/$B$406</f>
        <v/>
      </c>
      <c r="E331">
        <f>(C331-$C$405)/$C$406</f>
        <v/>
      </c>
      <c r="F331">
        <f>D331*$I$5+E331*$I$6</f>
        <v/>
      </c>
    </row>
    <row r="332">
      <c r="A332" t="n">
        <v>331</v>
      </c>
      <c r="B332" t="n">
        <v>4543</v>
      </c>
      <c r="C332" t="n">
        <v>329</v>
      </c>
      <c r="D332">
        <f>(B332-$B$405)/$B$406</f>
        <v/>
      </c>
      <c r="E332">
        <f>(C332-$C$405)/$C$406</f>
        <v/>
      </c>
      <c r="F332">
        <f>D332*$I$5+E332*$I$6</f>
        <v/>
      </c>
    </row>
    <row r="333">
      <c r="A333" t="n">
        <v>332</v>
      </c>
      <c r="B333" t="n">
        <v>3976</v>
      </c>
      <c r="C333" t="n">
        <v>291</v>
      </c>
      <c r="D333">
        <f>(B333-$B$405)/$B$406</f>
        <v/>
      </c>
      <c r="E333">
        <f>(C333-$C$405)/$C$406</f>
        <v/>
      </c>
      <c r="F333">
        <f>D333*$I$5+E333*$I$6</f>
        <v/>
      </c>
    </row>
    <row r="334">
      <c r="A334" t="n">
        <v>333</v>
      </c>
      <c r="B334" t="n">
        <v>5228</v>
      </c>
      <c r="C334" t="n">
        <v>377</v>
      </c>
      <c r="D334">
        <f>(B334-$B$405)/$B$406</f>
        <v/>
      </c>
      <c r="E334">
        <f>(C334-$C$405)/$C$406</f>
        <v/>
      </c>
      <c r="F334">
        <f>D334*$I$5+E334*$I$6</f>
        <v/>
      </c>
    </row>
    <row r="335">
      <c r="A335" t="n">
        <v>334</v>
      </c>
      <c r="B335" t="n">
        <v>3402</v>
      </c>
      <c r="C335" t="n">
        <v>261</v>
      </c>
      <c r="D335">
        <f>(B335-$B$405)/$B$406</f>
        <v/>
      </c>
      <c r="E335">
        <f>(C335-$C$405)/$C$406</f>
        <v/>
      </c>
      <c r="F335">
        <f>D335*$I$5+E335*$I$6</f>
        <v/>
      </c>
    </row>
    <row r="336">
      <c r="A336" t="n">
        <v>335</v>
      </c>
      <c r="B336" t="n">
        <v>4756</v>
      </c>
      <c r="C336" t="n">
        <v>351</v>
      </c>
      <c r="D336">
        <f>(B336-$B$405)/$B$406</f>
        <v/>
      </c>
      <c r="E336">
        <f>(C336-$C$405)/$C$406</f>
        <v/>
      </c>
      <c r="F336">
        <f>D336*$I$5+E336*$I$6</f>
        <v/>
      </c>
    </row>
    <row r="337">
      <c r="A337" t="n">
        <v>336</v>
      </c>
      <c r="B337" t="n">
        <v>3409</v>
      </c>
      <c r="C337" t="n">
        <v>270</v>
      </c>
      <c r="D337">
        <f>(B337-$B$405)/$B$406</f>
        <v/>
      </c>
      <c r="E337">
        <f>(C337-$C$405)/$C$406</f>
        <v/>
      </c>
      <c r="F337">
        <f>D337*$I$5+E337*$I$6</f>
        <v/>
      </c>
    </row>
    <row r="338">
      <c r="A338" t="n">
        <v>337</v>
      </c>
      <c r="B338" t="n">
        <v>5884</v>
      </c>
      <c r="C338" t="n">
        <v>438</v>
      </c>
      <c r="D338">
        <f>(B338-$B$405)/$B$406</f>
        <v/>
      </c>
      <c r="E338">
        <f>(C338-$C$405)/$C$406</f>
        <v/>
      </c>
      <c r="F338">
        <f>D338*$I$5+E338*$I$6</f>
        <v/>
      </c>
    </row>
    <row r="339">
      <c r="A339" t="n">
        <v>338</v>
      </c>
      <c r="B339" t="n">
        <v>855</v>
      </c>
      <c r="C339" t="n">
        <v>119</v>
      </c>
      <c r="D339">
        <f>(B339-$B$405)/$B$406</f>
        <v/>
      </c>
      <c r="E339">
        <f>(C339-$C$405)/$C$406</f>
        <v/>
      </c>
      <c r="F339">
        <f>D339*$I$5+E339*$I$6</f>
        <v/>
      </c>
    </row>
    <row r="340">
      <c r="A340" t="n">
        <v>339</v>
      </c>
      <c r="B340" t="n">
        <v>5303</v>
      </c>
      <c r="C340" t="n">
        <v>377</v>
      </c>
      <c r="D340">
        <f>(B340-$B$405)/$B$406</f>
        <v/>
      </c>
      <c r="E340">
        <f>(C340-$C$405)/$C$406</f>
        <v/>
      </c>
      <c r="F340">
        <f>D340*$I$5+E340*$I$6</f>
        <v/>
      </c>
    </row>
    <row r="341">
      <c r="A341" t="n">
        <v>340</v>
      </c>
      <c r="B341" t="n">
        <v>10278</v>
      </c>
      <c r="C341" t="n">
        <v>707</v>
      </c>
      <c r="D341">
        <f>(B341-$B$405)/$B$406</f>
        <v/>
      </c>
      <c r="E341">
        <f>(C341-$C$405)/$C$406</f>
        <v/>
      </c>
      <c r="F341">
        <f>D341*$I$5+E341*$I$6</f>
        <v/>
      </c>
    </row>
    <row r="342">
      <c r="A342" t="n">
        <v>341</v>
      </c>
      <c r="B342" t="n">
        <v>3807</v>
      </c>
      <c r="C342" t="n">
        <v>301</v>
      </c>
      <c r="D342">
        <f>(B342-$B$405)/$B$406</f>
        <v/>
      </c>
      <c r="E342">
        <f>(C342-$C$405)/$C$406</f>
        <v/>
      </c>
      <c r="F342">
        <f>D342*$I$5+E342*$I$6</f>
        <v/>
      </c>
    </row>
    <row r="343">
      <c r="A343" t="n">
        <v>342</v>
      </c>
      <c r="B343" t="n">
        <v>3922</v>
      </c>
      <c r="C343" t="n">
        <v>299</v>
      </c>
      <c r="D343">
        <f>(B343-$B$405)/$B$406</f>
        <v/>
      </c>
      <c r="E343">
        <f>(C343-$C$405)/$C$406</f>
        <v/>
      </c>
      <c r="F343">
        <f>D343*$I$5+E343*$I$6</f>
        <v/>
      </c>
    </row>
    <row r="344">
      <c r="A344" t="n">
        <v>343</v>
      </c>
      <c r="B344" t="n">
        <v>2955</v>
      </c>
      <c r="C344" t="n">
        <v>260</v>
      </c>
      <c r="D344">
        <f>(B344-$B$405)/$B$406</f>
        <v/>
      </c>
      <c r="E344">
        <f>(C344-$C$405)/$C$406</f>
        <v/>
      </c>
      <c r="F344">
        <f>D344*$I$5+E344*$I$6</f>
        <v/>
      </c>
    </row>
    <row r="345">
      <c r="A345" t="n">
        <v>344</v>
      </c>
      <c r="B345" t="n">
        <v>3746</v>
      </c>
      <c r="C345" t="n">
        <v>280</v>
      </c>
      <c r="D345">
        <f>(B345-$B$405)/$B$406</f>
        <v/>
      </c>
      <c r="E345">
        <f>(C345-$C$405)/$C$406</f>
        <v/>
      </c>
      <c r="F345">
        <f>D345*$I$5+E345*$I$6</f>
        <v/>
      </c>
    </row>
    <row r="346">
      <c r="A346" t="n">
        <v>345</v>
      </c>
      <c r="B346" t="n">
        <v>5199</v>
      </c>
      <c r="C346" t="n">
        <v>401</v>
      </c>
      <c r="D346">
        <f>(B346-$B$405)/$B$406</f>
        <v/>
      </c>
      <c r="E346">
        <f>(C346-$C$405)/$C$406</f>
        <v/>
      </c>
      <c r="F346">
        <f>D346*$I$5+E346*$I$6</f>
        <v/>
      </c>
    </row>
    <row r="347">
      <c r="A347" t="n">
        <v>346</v>
      </c>
      <c r="B347" t="n">
        <v>1511</v>
      </c>
      <c r="C347" t="n">
        <v>137</v>
      </c>
      <c r="D347">
        <f>(B347-$B$405)/$B$406</f>
        <v/>
      </c>
      <c r="E347">
        <f>(C347-$C$405)/$C$406</f>
        <v/>
      </c>
      <c r="F347">
        <f>D347*$I$5+E347*$I$6</f>
        <v/>
      </c>
    </row>
    <row r="348">
      <c r="A348" t="n">
        <v>347</v>
      </c>
      <c r="B348" t="n">
        <v>5380</v>
      </c>
      <c r="C348" t="n">
        <v>420</v>
      </c>
      <c r="D348">
        <f>(B348-$B$405)/$B$406</f>
        <v/>
      </c>
      <c r="E348">
        <f>(C348-$C$405)/$C$406</f>
        <v/>
      </c>
      <c r="F348">
        <f>D348*$I$5+E348*$I$6</f>
        <v/>
      </c>
    </row>
    <row r="349">
      <c r="A349" t="n">
        <v>348</v>
      </c>
      <c r="B349" t="n">
        <v>10748</v>
      </c>
      <c r="C349" t="n">
        <v>754</v>
      </c>
      <c r="D349">
        <f>(B349-$B$405)/$B$406</f>
        <v/>
      </c>
      <c r="E349">
        <f>(C349-$C$405)/$C$406</f>
        <v/>
      </c>
      <c r="F349">
        <f>D349*$I$5+E349*$I$6</f>
        <v/>
      </c>
    </row>
    <row r="350">
      <c r="A350" t="n">
        <v>349</v>
      </c>
      <c r="B350" t="n">
        <v>1134</v>
      </c>
      <c r="C350" t="n">
        <v>112</v>
      </c>
      <c r="D350">
        <f>(B350-$B$405)/$B$406</f>
        <v/>
      </c>
      <c r="E350">
        <f>(C350-$C$405)/$C$406</f>
        <v/>
      </c>
      <c r="F350">
        <f>D350*$I$5+E350*$I$6</f>
        <v/>
      </c>
    </row>
    <row r="351">
      <c r="A351" t="n">
        <v>350</v>
      </c>
      <c r="B351" t="n">
        <v>5145</v>
      </c>
      <c r="C351" t="n">
        <v>389</v>
      </c>
      <c r="D351">
        <f>(B351-$B$405)/$B$406</f>
        <v/>
      </c>
      <c r="E351">
        <f>(C351-$C$405)/$C$406</f>
        <v/>
      </c>
      <c r="F351">
        <f>D351*$I$5+E351*$I$6</f>
        <v/>
      </c>
    </row>
    <row r="352">
      <c r="A352" t="n">
        <v>351</v>
      </c>
      <c r="B352" t="n">
        <v>1561</v>
      </c>
      <c r="C352" t="n">
        <v>155</v>
      </c>
      <c r="D352">
        <f>(B352-$B$405)/$B$406</f>
        <v/>
      </c>
      <c r="E352">
        <f>(C352-$C$405)/$C$406</f>
        <v/>
      </c>
      <c r="F352">
        <f>D352*$I$5+E352*$I$6</f>
        <v/>
      </c>
    </row>
    <row r="353">
      <c r="A353" t="n">
        <v>352</v>
      </c>
      <c r="B353" t="n">
        <v>5140</v>
      </c>
      <c r="C353" t="n">
        <v>374</v>
      </c>
      <c r="D353">
        <f>(B353-$B$405)/$B$406</f>
        <v/>
      </c>
      <c r="E353">
        <f>(C353-$C$405)/$C$406</f>
        <v/>
      </c>
      <c r="F353">
        <f>D353*$I$5+E353*$I$6</f>
        <v/>
      </c>
    </row>
    <row r="354">
      <c r="A354" t="n">
        <v>353</v>
      </c>
      <c r="B354" t="n">
        <v>7140</v>
      </c>
      <c r="C354" t="n">
        <v>507</v>
      </c>
      <c r="D354">
        <f>(B354-$B$405)/$B$406</f>
        <v/>
      </c>
      <c r="E354">
        <f>(C354-$C$405)/$C$406</f>
        <v/>
      </c>
      <c r="F354">
        <f>D354*$I$5+E354*$I$6</f>
        <v/>
      </c>
    </row>
    <row r="355">
      <c r="A355" t="n">
        <v>354</v>
      </c>
      <c r="B355" t="n">
        <v>4716</v>
      </c>
      <c r="C355" t="n">
        <v>342</v>
      </c>
      <c r="D355">
        <f>(B355-$B$405)/$B$406</f>
        <v/>
      </c>
      <c r="E355">
        <f>(C355-$C$405)/$C$406</f>
        <v/>
      </c>
      <c r="F355">
        <f>D355*$I$5+E355*$I$6</f>
        <v/>
      </c>
    </row>
    <row r="356">
      <c r="A356" t="n">
        <v>355</v>
      </c>
      <c r="B356" t="n">
        <v>3873</v>
      </c>
      <c r="C356" t="n">
        <v>292</v>
      </c>
      <c r="D356">
        <f>(B356-$B$405)/$B$406</f>
        <v/>
      </c>
      <c r="E356">
        <f>(C356-$C$405)/$C$406</f>
        <v/>
      </c>
      <c r="F356">
        <f>D356*$I$5+E356*$I$6</f>
        <v/>
      </c>
    </row>
    <row r="357">
      <c r="A357" t="n">
        <v>356</v>
      </c>
      <c r="B357" t="n">
        <v>11966</v>
      </c>
      <c r="C357" t="n">
        <v>832</v>
      </c>
      <c r="D357">
        <f>(B357-$B$405)/$B$406</f>
        <v/>
      </c>
      <c r="E357">
        <f>(C357-$C$405)/$C$406</f>
        <v/>
      </c>
      <c r="F357">
        <f>D357*$I$5+E357*$I$6</f>
        <v/>
      </c>
    </row>
    <row r="358">
      <c r="A358" t="n">
        <v>357</v>
      </c>
      <c r="B358" t="n">
        <v>6090</v>
      </c>
      <c r="C358" t="n">
        <v>442</v>
      </c>
      <c r="D358">
        <f>(B358-$B$405)/$B$406</f>
        <v/>
      </c>
      <c r="E358">
        <f>(C358-$C$405)/$C$406</f>
        <v/>
      </c>
      <c r="F358">
        <f>D358*$I$5+E358*$I$6</f>
        <v/>
      </c>
    </row>
    <row r="359">
      <c r="A359" t="n">
        <v>358</v>
      </c>
      <c r="B359" t="n">
        <v>2539</v>
      </c>
      <c r="C359" t="n">
        <v>188</v>
      </c>
      <c r="D359">
        <f>(B359-$B$405)/$B$406</f>
        <v/>
      </c>
      <c r="E359">
        <f>(C359-$C$405)/$C$406</f>
        <v/>
      </c>
      <c r="F359">
        <f>D359*$I$5+E359*$I$6</f>
        <v/>
      </c>
    </row>
    <row r="360">
      <c r="A360" t="n">
        <v>359</v>
      </c>
      <c r="B360" t="n">
        <v>4336</v>
      </c>
      <c r="C360" t="n">
        <v>339</v>
      </c>
      <c r="D360">
        <f>(B360-$B$405)/$B$406</f>
        <v/>
      </c>
      <c r="E360">
        <f>(C360-$C$405)/$C$406</f>
        <v/>
      </c>
      <c r="F360">
        <f>D360*$I$5+E360*$I$6</f>
        <v/>
      </c>
    </row>
    <row r="361">
      <c r="A361" t="n">
        <v>360</v>
      </c>
      <c r="B361" t="n">
        <v>4471</v>
      </c>
      <c r="C361" t="n">
        <v>344</v>
      </c>
      <c r="D361">
        <f>(B361-$B$405)/$B$406</f>
        <v/>
      </c>
      <c r="E361">
        <f>(C361-$C$405)/$C$406</f>
        <v/>
      </c>
      <c r="F361">
        <f>D361*$I$5+E361*$I$6</f>
        <v/>
      </c>
    </row>
    <row r="362">
      <c r="A362" t="n">
        <v>361</v>
      </c>
      <c r="B362" t="n">
        <v>5891</v>
      </c>
      <c r="C362" t="n">
        <v>434</v>
      </c>
      <c r="D362">
        <f>(B362-$B$405)/$B$406</f>
        <v/>
      </c>
      <c r="E362">
        <f>(C362-$C$405)/$C$406</f>
        <v/>
      </c>
      <c r="F362">
        <f>D362*$I$5+E362*$I$6</f>
        <v/>
      </c>
    </row>
    <row r="363">
      <c r="A363" t="n">
        <v>362</v>
      </c>
      <c r="B363" t="n">
        <v>4943</v>
      </c>
      <c r="C363" t="n">
        <v>362</v>
      </c>
      <c r="D363">
        <f>(B363-$B$405)/$B$406</f>
        <v/>
      </c>
      <c r="E363">
        <f>(C363-$C$405)/$C$406</f>
        <v/>
      </c>
      <c r="F363">
        <f>D363*$I$5+E363*$I$6</f>
        <v/>
      </c>
    </row>
    <row r="364">
      <c r="A364" t="n">
        <v>363</v>
      </c>
      <c r="B364" t="n">
        <v>5101</v>
      </c>
      <c r="C364" t="n">
        <v>382</v>
      </c>
      <c r="D364">
        <f>(B364-$B$405)/$B$406</f>
        <v/>
      </c>
      <c r="E364">
        <f>(C364-$C$405)/$C$406</f>
        <v/>
      </c>
      <c r="F364">
        <f>D364*$I$5+E364*$I$6</f>
        <v/>
      </c>
    </row>
    <row r="365">
      <c r="A365" t="n">
        <v>364</v>
      </c>
      <c r="B365" t="n">
        <v>6127</v>
      </c>
      <c r="C365" t="n">
        <v>433</v>
      </c>
      <c r="D365">
        <f>(B365-$B$405)/$B$406</f>
        <v/>
      </c>
      <c r="E365">
        <f>(C365-$C$405)/$C$406</f>
        <v/>
      </c>
      <c r="F365">
        <f>D365*$I$5+E365*$I$6</f>
        <v/>
      </c>
    </row>
    <row r="366">
      <c r="A366" t="n">
        <v>365</v>
      </c>
      <c r="B366" t="n">
        <v>9824</v>
      </c>
      <c r="C366" t="n">
        <v>685</v>
      </c>
      <c r="D366">
        <f>(B366-$B$405)/$B$406</f>
        <v/>
      </c>
      <c r="E366">
        <f>(C366-$C$405)/$C$406</f>
        <v/>
      </c>
      <c r="F366">
        <f>D366*$I$5+E366*$I$6</f>
        <v/>
      </c>
    </row>
    <row r="367">
      <c r="A367" t="n">
        <v>366</v>
      </c>
      <c r="B367" t="n">
        <v>6442</v>
      </c>
      <c r="C367" t="n">
        <v>489</v>
      </c>
      <c r="D367">
        <f>(B367-$B$405)/$B$406</f>
        <v/>
      </c>
      <c r="E367">
        <f>(C367-$C$405)/$C$406</f>
        <v/>
      </c>
      <c r="F367">
        <f>D367*$I$5+E367*$I$6</f>
        <v/>
      </c>
    </row>
    <row r="368">
      <c r="A368" t="n">
        <v>367</v>
      </c>
      <c r="B368" t="n">
        <v>7871</v>
      </c>
      <c r="C368" t="n">
        <v>564</v>
      </c>
      <c r="D368">
        <f>(B368-$B$405)/$B$406</f>
        <v/>
      </c>
      <c r="E368">
        <f>(C368-$C$405)/$C$406</f>
        <v/>
      </c>
      <c r="F368">
        <f>D368*$I$5+E368*$I$6</f>
        <v/>
      </c>
    </row>
    <row r="369">
      <c r="A369" t="n">
        <v>368</v>
      </c>
      <c r="B369" t="n">
        <v>3615</v>
      </c>
      <c r="C369" t="n">
        <v>263</v>
      </c>
      <c r="D369">
        <f>(B369-$B$405)/$B$406</f>
        <v/>
      </c>
      <c r="E369">
        <f>(C369-$C$405)/$C$406</f>
        <v/>
      </c>
      <c r="F369">
        <f>D369*$I$5+E369*$I$6</f>
        <v/>
      </c>
    </row>
    <row r="370">
      <c r="A370" t="n">
        <v>369</v>
      </c>
      <c r="B370" t="n">
        <v>5759</v>
      </c>
      <c r="C370" t="n">
        <v>440</v>
      </c>
      <c r="D370">
        <f>(B370-$B$405)/$B$406</f>
        <v/>
      </c>
      <c r="E370">
        <f>(C370-$C$405)/$C$406</f>
        <v/>
      </c>
      <c r="F370">
        <f>D370*$I$5+E370*$I$6</f>
        <v/>
      </c>
    </row>
    <row r="371">
      <c r="A371" t="n">
        <v>370</v>
      </c>
      <c r="B371" t="n">
        <v>8028</v>
      </c>
      <c r="C371" t="n">
        <v>599</v>
      </c>
      <c r="D371">
        <f>(B371-$B$405)/$B$406</f>
        <v/>
      </c>
      <c r="E371">
        <f>(C371-$C$405)/$C$406</f>
        <v/>
      </c>
      <c r="F371">
        <f>D371*$I$5+E371*$I$6</f>
        <v/>
      </c>
    </row>
    <row r="372">
      <c r="A372" t="n">
        <v>371</v>
      </c>
      <c r="B372" t="n">
        <v>6135</v>
      </c>
      <c r="C372" t="n">
        <v>466</v>
      </c>
      <c r="D372">
        <f>(B372-$B$405)/$B$406</f>
        <v/>
      </c>
      <c r="E372">
        <f>(C372-$C$405)/$C$406</f>
        <v/>
      </c>
      <c r="F372">
        <f>D372*$I$5+E372*$I$6</f>
        <v/>
      </c>
    </row>
    <row r="373">
      <c r="A373" t="n">
        <v>372</v>
      </c>
      <c r="B373" t="n">
        <v>2150</v>
      </c>
      <c r="C373" t="n">
        <v>173</v>
      </c>
      <c r="D373">
        <f>(B373-$B$405)/$B$406</f>
        <v/>
      </c>
      <c r="E373">
        <f>(C373-$C$405)/$C$406</f>
        <v/>
      </c>
      <c r="F373">
        <f>D373*$I$5+E373*$I$6</f>
        <v/>
      </c>
    </row>
    <row r="374">
      <c r="A374" t="n">
        <v>373</v>
      </c>
      <c r="B374" t="n">
        <v>3782</v>
      </c>
      <c r="C374" t="n">
        <v>293</v>
      </c>
      <c r="D374">
        <f>(B374-$B$405)/$B$406</f>
        <v/>
      </c>
      <c r="E374">
        <f>(C374-$C$405)/$C$406</f>
        <v/>
      </c>
      <c r="F374">
        <f>D374*$I$5+E374*$I$6</f>
        <v/>
      </c>
    </row>
    <row r="375">
      <c r="A375" t="n">
        <v>374</v>
      </c>
      <c r="B375" t="n">
        <v>5354</v>
      </c>
      <c r="C375" t="n">
        <v>383</v>
      </c>
      <c r="D375">
        <f>(B375-$B$405)/$B$406</f>
        <v/>
      </c>
      <c r="E375">
        <f>(C375-$C$405)/$C$406</f>
        <v/>
      </c>
      <c r="F375">
        <f>D375*$I$5+E375*$I$6</f>
        <v/>
      </c>
    </row>
    <row r="376">
      <c r="A376" t="n">
        <v>375</v>
      </c>
      <c r="B376" t="n">
        <v>4840</v>
      </c>
      <c r="C376" t="n">
        <v>368</v>
      </c>
      <c r="D376">
        <f>(B376-$B$405)/$B$406</f>
        <v/>
      </c>
      <c r="E376">
        <f>(C376-$C$405)/$C$406</f>
        <v/>
      </c>
      <c r="F376">
        <f>D376*$I$5+E376*$I$6</f>
        <v/>
      </c>
    </row>
    <row r="377">
      <c r="A377" t="n">
        <v>376</v>
      </c>
      <c r="B377" t="n">
        <v>5673</v>
      </c>
      <c r="C377" t="n">
        <v>413</v>
      </c>
      <c r="D377">
        <f>(B377-$B$405)/$B$406</f>
        <v/>
      </c>
      <c r="E377">
        <f>(C377-$C$405)/$C$406</f>
        <v/>
      </c>
      <c r="F377">
        <f>D377*$I$5+E377*$I$6</f>
        <v/>
      </c>
    </row>
    <row r="378">
      <c r="A378" t="n">
        <v>377</v>
      </c>
      <c r="B378" t="n">
        <v>7167</v>
      </c>
      <c r="C378" t="n">
        <v>515</v>
      </c>
      <c r="D378">
        <f>(B378-$B$405)/$B$406</f>
        <v/>
      </c>
      <c r="E378">
        <f>(C378-$C$405)/$C$406</f>
        <v/>
      </c>
      <c r="F378">
        <f>D378*$I$5+E378*$I$6</f>
        <v/>
      </c>
    </row>
    <row r="379">
      <c r="A379" t="n">
        <v>378</v>
      </c>
      <c r="B379" t="n">
        <v>1567</v>
      </c>
      <c r="C379" t="n">
        <v>142</v>
      </c>
      <c r="D379">
        <f>(B379-$B$405)/$B$406</f>
        <v/>
      </c>
      <c r="E379">
        <f>(C379-$C$405)/$C$406</f>
        <v/>
      </c>
      <c r="F379">
        <f>D379*$I$5+E379*$I$6</f>
        <v/>
      </c>
    </row>
    <row r="380">
      <c r="A380" t="n">
        <v>379</v>
      </c>
      <c r="B380" t="n">
        <v>4941</v>
      </c>
      <c r="C380" t="n">
        <v>366</v>
      </c>
      <c r="D380">
        <f>(B380-$B$405)/$B$406</f>
        <v/>
      </c>
      <c r="E380">
        <f>(C380-$C$405)/$C$406</f>
        <v/>
      </c>
      <c r="F380">
        <f>D380*$I$5+E380*$I$6</f>
        <v/>
      </c>
    </row>
    <row r="381">
      <c r="A381" t="n">
        <v>380</v>
      </c>
      <c r="B381" t="n">
        <v>2860</v>
      </c>
      <c r="C381" t="n">
        <v>214</v>
      </c>
      <c r="D381">
        <f>(B381-$B$405)/$B$406</f>
        <v/>
      </c>
      <c r="E381">
        <f>(C381-$C$405)/$C$406</f>
        <v/>
      </c>
      <c r="F381">
        <f>D381*$I$5+E381*$I$6</f>
        <v/>
      </c>
    </row>
    <row r="382">
      <c r="A382" t="n">
        <v>381</v>
      </c>
      <c r="B382" t="n">
        <v>7760</v>
      </c>
      <c r="C382" t="n">
        <v>538</v>
      </c>
      <c r="D382">
        <f>(B382-$B$405)/$B$406</f>
        <v/>
      </c>
      <c r="E382">
        <f>(C382-$C$405)/$C$406</f>
        <v/>
      </c>
      <c r="F382">
        <f>D382*$I$5+E382*$I$6</f>
        <v/>
      </c>
    </row>
    <row r="383">
      <c r="A383" t="n">
        <v>382</v>
      </c>
      <c r="B383" t="n">
        <v>8029</v>
      </c>
      <c r="C383" t="n">
        <v>574</v>
      </c>
      <c r="D383">
        <f>(B383-$B$405)/$B$406</f>
        <v/>
      </c>
      <c r="E383">
        <f>(C383-$C$405)/$C$406</f>
        <v/>
      </c>
      <c r="F383">
        <f>D383*$I$5+E383*$I$6</f>
        <v/>
      </c>
    </row>
    <row r="384">
      <c r="A384" t="n">
        <v>383</v>
      </c>
      <c r="B384" t="n">
        <v>5495</v>
      </c>
      <c r="C384" t="n">
        <v>409</v>
      </c>
      <c r="D384">
        <f>(B384-$B$405)/$B$406</f>
        <v/>
      </c>
      <c r="E384">
        <f>(C384-$C$405)/$C$406</f>
        <v/>
      </c>
      <c r="F384">
        <f>D384*$I$5+E384*$I$6</f>
        <v/>
      </c>
    </row>
    <row r="385">
      <c r="A385" t="n">
        <v>384</v>
      </c>
      <c r="B385" t="n">
        <v>3274</v>
      </c>
      <c r="C385" t="n">
        <v>282</v>
      </c>
      <c r="D385">
        <f>(B385-$B$405)/$B$406</f>
        <v/>
      </c>
      <c r="E385">
        <f>(C385-$C$405)/$C$406</f>
        <v/>
      </c>
      <c r="F385">
        <f>D385*$I$5+E385*$I$6</f>
        <v/>
      </c>
    </row>
    <row r="386">
      <c r="A386" t="n">
        <v>385</v>
      </c>
      <c r="B386" t="n">
        <v>1870</v>
      </c>
      <c r="C386" t="n">
        <v>180</v>
      </c>
      <c r="D386">
        <f>(B386-$B$405)/$B$406</f>
        <v/>
      </c>
      <c r="E386">
        <f>(C386-$C$405)/$C$406</f>
        <v/>
      </c>
      <c r="F386">
        <f>D386*$I$5+E386*$I$6</f>
        <v/>
      </c>
    </row>
    <row r="387">
      <c r="A387" t="n">
        <v>386</v>
      </c>
      <c r="B387" t="n">
        <v>5640</v>
      </c>
      <c r="C387" t="n">
        <v>398</v>
      </c>
      <c r="D387">
        <f>(B387-$B$405)/$B$406</f>
        <v/>
      </c>
      <c r="E387">
        <f>(C387-$C$405)/$C$406</f>
        <v/>
      </c>
      <c r="F387">
        <f>D387*$I$5+E387*$I$6</f>
        <v/>
      </c>
    </row>
    <row r="388">
      <c r="A388" t="n">
        <v>387</v>
      </c>
      <c r="B388" t="n">
        <v>3683</v>
      </c>
      <c r="C388" t="n">
        <v>287</v>
      </c>
      <c r="D388">
        <f>(B388-$B$405)/$B$406</f>
        <v/>
      </c>
      <c r="E388">
        <f>(C388-$C$405)/$C$406</f>
        <v/>
      </c>
      <c r="F388">
        <f>D388*$I$5+E388*$I$6</f>
        <v/>
      </c>
    </row>
    <row r="389">
      <c r="A389" t="n">
        <v>388</v>
      </c>
      <c r="B389" t="n">
        <v>1357</v>
      </c>
      <c r="C389" t="n">
        <v>126</v>
      </c>
      <c r="D389">
        <f>(B389-$B$405)/$B$406</f>
        <v/>
      </c>
      <c r="E389">
        <f>(C389-$C$405)/$C$406</f>
        <v/>
      </c>
      <c r="F389">
        <f>D389*$I$5+E389*$I$6</f>
        <v/>
      </c>
    </row>
    <row r="390">
      <c r="A390" t="n">
        <v>389</v>
      </c>
      <c r="B390" t="n">
        <v>6827</v>
      </c>
      <c r="C390" t="n">
        <v>482</v>
      </c>
      <c r="D390">
        <f>(B390-$B$405)/$B$406</f>
        <v/>
      </c>
      <c r="E390">
        <f>(C390-$C$405)/$C$406</f>
        <v/>
      </c>
      <c r="F390">
        <f>D390*$I$5+E390*$I$6</f>
        <v/>
      </c>
    </row>
    <row r="391">
      <c r="A391" t="n">
        <v>390</v>
      </c>
      <c r="B391" t="n">
        <v>7100</v>
      </c>
      <c r="C391" t="n">
        <v>503</v>
      </c>
      <c r="D391">
        <f>(B391-$B$405)/$B$406</f>
        <v/>
      </c>
      <c r="E391">
        <f>(C391-$C$405)/$C$406</f>
        <v/>
      </c>
      <c r="F391">
        <f>D391*$I$5+E391*$I$6</f>
        <v/>
      </c>
    </row>
    <row r="392">
      <c r="A392" t="n">
        <v>391</v>
      </c>
      <c r="B392" t="n">
        <v>10578</v>
      </c>
      <c r="C392" t="n">
        <v>747</v>
      </c>
      <c r="D392">
        <f>(B392-$B$405)/$B$406</f>
        <v/>
      </c>
      <c r="E392">
        <f>(C392-$C$405)/$C$406</f>
        <v/>
      </c>
      <c r="F392">
        <f>D392*$I$5+E392*$I$6</f>
        <v/>
      </c>
    </row>
    <row r="393">
      <c r="A393" t="n">
        <v>392</v>
      </c>
      <c r="B393" t="n">
        <v>6555</v>
      </c>
      <c r="C393" t="n">
        <v>472</v>
      </c>
      <c r="D393">
        <f>(B393-$B$405)/$B$406</f>
        <v/>
      </c>
      <c r="E393">
        <f>(C393-$C$405)/$C$406</f>
        <v/>
      </c>
      <c r="F393">
        <f>D393*$I$5+E393*$I$6</f>
        <v/>
      </c>
    </row>
    <row r="394">
      <c r="A394" t="n">
        <v>393</v>
      </c>
      <c r="B394" t="n">
        <v>2308</v>
      </c>
      <c r="C394" t="n">
        <v>196</v>
      </c>
      <c r="D394">
        <f>(B394-$B$405)/$B$406</f>
        <v/>
      </c>
      <c r="E394">
        <f>(C394-$C$405)/$C$406</f>
        <v/>
      </c>
      <c r="F394">
        <f>D394*$I$5+E394*$I$6</f>
        <v/>
      </c>
    </row>
    <row r="395">
      <c r="A395" t="n">
        <v>394</v>
      </c>
      <c r="B395" t="n">
        <v>1335</v>
      </c>
      <c r="C395" t="n">
        <v>138</v>
      </c>
      <c r="D395">
        <f>(B395-$B$405)/$B$406</f>
        <v/>
      </c>
      <c r="E395">
        <f>(C395-$C$405)/$C$406</f>
        <v/>
      </c>
      <c r="F395">
        <f>D395*$I$5+E395*$I$6</f>
        <v/>
      </c>
    </row>
    <row r="396">
      <c r="A396" t="n">
        <v>395</v>
      </c>
      <c r="B396" t="n">
        <v>5758</v>
      </c>
      <c r="C396" t="n">
        <v>410</v>
      </c>
      <c r="D396">
        <f>(B396-$B$405)/$B$406</f>
        <v/>
      </c>
      <c r="E396">
        <f>(C396-$C$405)/$C$406</f>
        <v/>
      </c>
      <c r="F396">
        <f>D396*$I$5+E396*$I$6</f>
        <v/>
      </c>
    </row>
    <row r="397">
      <c r="A397" t="n">
        <v>396</v>
      </c>
      <c r="B397" t="n">
        <v>4100</v>
      </c>
      <c r="C397" t="n">
        <v>307</v>
      </c>
      <c r="D397">
        <f>(B397-$B$405)/$B$406</f>
        <v/>
      </c>
      <c r="E397">
        <f>(C397-$C$405)/$C$406</f>
        <v/>
      </c>
      <c r="F397">
        <f>D397*$I$5+E397*$I$6</f>
        <v/>
      </c>
    </row>
    <row r="398">
      <c r="A398" t="n">
        <v>397</v>
      </c>
      <c r="B398" t="n">
        <v>3838</v>
      </c>
      <c r="C398" t="n">
        <v>296</v>
      </c>
      <c r="D398">
        <f>(B398-$B$405)/$B$406</f>
        <v/>
      </c>
      <c r="E398">
        <f>(C398-$C$405)/$C$406</f>
        <v/>
      </c>
      <c r="F398">
        <f>D398*$I$5+E398*$I$6</f>
        <v/>
      </c>
    </row>
    <row r="399">
      <c r="A399" t="n">
        <v>398</v>
      </c>
      <c r="B399" t="n">
        <v>4171</v>
      </c>
      <c r="C399" t="n">
        <v>321</v>
      </c>
      <c r="D399">
        <f>(B399-$B$405)/$B$406</f>
        <v/>
      </c>
      <c r="E399">
        <f>(C399-$C$405)/$C$406</f>
        <v/>
      </c>
      <c r="F399">
        <f>D399*$I$5+E399*$I$6</f>
        <v/>
      </c>
    </row>
    <row r="400">
      <c r="A400" t="n">
        <v>399</v>
      </c>
      <c r="B400" t="n">
        <v>2525</v>
      </c>
      <c r="C400" t="n">
        <v>192</v>
      </c>
      <c r="D400">
        <f>(B400-$B$405)/$B$406</f>
        <v/>
      </c>
      <c r="E400">
        <f>(C400-$C$405)/$C$406</f>
        <v/>
      </c>
      <c r="F400">
        <f>D400*$I$5+E400*$I$6</f>
        <v/>
      </c>
    </row>
    <row r="401">
      <c r="A401" t="n">
        <v>400</v>
      </c>
      <c r="B401" t="n">
        <v>5524</v>
      </c>
      <c r="C401" t="n">
        <v>415</v>
      </c>
      <c r="D401">
        <f>(B401-$B$405)/$B$406</f>
        <v/>
      </c>
      <c r="E401">
        <f>(C401-$C$405)/$C$406</f>
        <v/>
      </c>
      <c r="F401">
        <f>D401*$I$5+E401*$I$6</f>
        <v/>
      </c>
    </row>
    <row r="405">
      <c r="A405" t="inlineStr">
        <is>
          <t>mean</t>
        </is>
      </c>
      <c r="B405">
        <f>AVERAGE(B2:B401)</f>
        <v/>
      </c>
      <c r="C405">
        <f>AVERAGE(C2:C401)</f>
        <v/>
      </c>
    </row>
    <row r="406">
      <c r="A406" t="inlineStr">
        <is>
          <t>sd</t>
        </is>
      </c>
      <c r="B406">
        <f>STDEV(B2:B401)</f>
        <v/>
      </c>
      <c r="C406">
        <f>STDEV(C2:C401)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USArrests_n</t>
        </is>
      </c>
      <c r="B2">
        <f>COUNT(Data_USArrests!A2:A51)</f>
        <v/>
      </c>
    </row>
    <row r="3">
      <c r="A3" t="inlineStr">
        <is>
          <t>PC1_lambda</t>
        </is>
      </c>
      <c r="B3">
        <f>Scale_PCA_Mechanics!M34</f>
        <v/>
      </c>
    </row>
    <row r="4">
      <c r="A4" t="inlineStr">
        <is>
          <t>PC1_PVE</t>
        </is>
      </c>
      <c r="B4">
        <f>Scale_PCA_Mechanics!M35</f>
        <v/>
      </c>
    </row>
    <row r="5">
      <c r="A5" t="inlineStr">
        <is>
          <t>PC1_Alabama_diff</t>
        </is>
      </c>
      <c r="B5">
        <f>Scale_PCA_Mechanics!O39</f>
        <v/>
      </c>
    </row>
    <row r="6">
      <c r="A6" t="inlineStr">
        <is>
          <t>k3_withinss</t>
        </is>
      </c>
      <c r="B6">
        <f>KMeans_6_2!AC2</f>
        <v/>
      </c>
    </row>
    <row r="7">
      <c r="A7" t="inlineStr">
        <is>
          <t>k3_bss_tss</t>
        </is>
      </c>
      <c r="B7">
        <f>KMeans_6_2!AC6</f>
        <v/>
      </c>
    </row>
    <row r="8">
      <c r="A8" t="inlineStr">
        <is>
          <t>closest_pair_distance</t>
        </is>
      </c>
      <c r="B8">
        <f>Distance_HC_Mechanics!H2</f>
        <v/>
      </c>
    </row>
    <row r="9">
      <c r="A9" t="inlineStr">
        <is>
          <t>Credit_corr</t>
        </is>
      </c>
      <c r="B9">
        <f>Credit_PCA_Mechanics!I2</f>
        <v/>
      </c>
    </row>
    <row r="10">
      <c r="A10" t="inlineStr">
        <is>
          <t>Credit_PVE_PC1</t>
        </is>
      </c>
      <c r="B10">
        <f>Credit_PCA_Mechanics!I7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1" max="11"/>
    <col width="13" customWidth="1" min="12" max="12"/>
    <col width="13" customWidth="1" min="15" max="15"/>
    <col width="13" customWidth="1" min="16" max="16"/>
    <col width="20" customWidth="1" min="17" max="17"/>
    <col width="20" customWidth="1" min="18" max="18"/>
    <col width="13" customWidth="1" min="20" max="20"/>
  </cols>
  <sheetData>
    <row r="1">
      <c r="A1" t="inlineStr">
        <is>
          <t>bin</t>
        </is>
      </c>
      <c r="B1" t="inlineStr">
        <is>
          <t>Murder_hi</t>
        </is>
      </c>
      <c r="C1" t="inlineStr">
        <is>
          <t>Murder_count</t>
        </is>
      </c>
      <c r="D1" t="inlineStr">
        <is>
          <t>Assault_hi</t>
        </is>
      </c>
      <c r="E1" t="inlineStr">
        <is>
          <t>Assault_count</t>
        </is>
      </c>
      <c r="F1" t="inlineStr">
        <is>
          <t>UrbanPop_hi</t>
        </is>
      </c>
      <c r="G1" t="inlineStr">
        <is>
          <t>UrbanPop_count</t>
        </is>
      </c>
      <c r="H1" t="inlineStr">
        <is>
          <t>Rape_hi</t>
        </is>
      </c>
      <c r="I1" t="inlineStr">
        <is>
          <t>Rape_count</t>
        </is>
      </c>
      <c r="K1" t="inlineStr">
        <is>
          <t>n_bins</t>
        </is>
      </c>
      <c r="L1" t="n">
        <v>10</v>
      </c>
      <c r="O1" t="inlineStr">
        <is>
          <t>PC1_scaled</t>
        </is>
      </c>
      <c r="P1" t="inlineStr">
        <is>
          <t>PC2_scaled</t>
        </is>
      </c>
      <c r="Q1" t="inlineStr">
        <is>
          <t>PC1_unscaled_proxy</t>
        </is>
      </c>
      <c r="R1" t="inlineStr">
        <is>
          <t>PC2_unscaled_proxy</t>
        </is>
      </c>
      <c r="T1" t="inlineStr">
        <is>
          <t>variable</t>
        </is>
      </c>
      <c r="U1" t="inlineStr">
        <is>
          <t>pc1_loading_proxy</t>
        </is>
      </c>
      <c r="V1" t="inlineStr">
        <is>
          <t>pc2_loading_proxy</t>
        </is>
      </c>
      <c r="W1" t="inlineStr">
        <is>
          <t>arrow_scale</t>
        </is>
      </c>
      <c r="X1" t="inlineStr">
        <is>
          <t>arrow_x</t>
        </is>
      </c>
      <c r="Y1" t="inlineStr">
        <is>
          <t>arrow_y</t>
        </is>
      </c>
      <c r="AA1" t="inlineStr">
        <is>
          <t>arrow_x</t>
        </is>
      </c>
      <c r="AB1" t="inlineStr">
        <is>
          <t>arrow_y</t>
        </is>
      </c>
      <c r="AC1" t="inlineStr">
        <is>
          <t>tip_x</t>
        </is>
      </c>
      <c r="AD1" t="inlineStr">
        <is>
          <t>tip_y</t>
        </is>
      </c>
    </row>
    <row r="2">
      <c r="A2" t="n">
        <v>1</v>
      </c>
      <c r="B2">
        <f>$L$2+($L$3-$L$2)*A2/$L$1</f>
        <v/>
      </c>
      <c r="C2">
        <f>COUNTIFS(Data_USArrests!C2:C51,"&lt;="&amp;B2)-IF(A2=1,0,COUNTIFS(Data_USArrests!C2:C51,"&lt;="&amp;B1))</f>
        <v/>
      </c>
      <c r="D2">
        <f>$L$4+($L$5-$L$4)*A2/$L$1</f>
        <v/>
      </c>
      <c r="E2">
        <f>COUNTIFS(Data_USArrests!D2:D51,"&lt;="&amp;D2)-IF(A2=1,0,COUNTIFS(Data_USArrests!D2:D51,"&lt;="&amp;D1))</f>
        <v/>
      </c>
      <c r="F2">
        <f>$L$6+($L$7-$L$6)*A2/$L$1</f>
        <v/>
      </c>
      <c r="G2">
        <f>COUNTIFS(Data_USArrests!E2:E51,"&lt;="&amp;F2)-IF(A2=1,0,COUNTIFS(Data_USArrests!E2:E51,"&lt;="&amp;F1))</f>
        <v/>
      </c>
      <c r="H2">
        <f>$L$8+($L$9-$L$8)*A2/$L$1</f>
        <v/>
      </c>
      <c r="I2">
        <f>COUNTIFS(Data_USArrests!F2:F51,"&lt;="&amp;H2)-IF(A2=1,0,COUNTIFS(Data_USArrests!F2:F51,"&lt;="&amp;H1))</f>
        <v/>
      </c>
      <c r="K2" t="inlineStr">
        <is>
          <t>Murder_min</t>
        </is>
      </c>
      <c r="L2">
        <f>MIN(Data_USArrests!C2:C51)</f>
        <v/>
      </c>
      <c r="O2">
        <f>Scale_PCA_Mechanics!L2</f>
        <v/>
      </c>
      <c r="P2">
        <f>Scale_PCA_Mechanics!Z2</f>
        <v/>
      </c>
      <c r="Q2">
        <f>SUMPRODUCT(Scale_PCA_Mechanics!B2:E2,Scale_PCA_Mechanics!M33:P33)</f>
        <v/>
      </c>
      <c r="R2">
        <f>Scale_PCA_Mechanics!C2</f>
        <v/>
      </c>
      <c r="T2" t="inlineStr">
        <is>
          <t>Murder</t>
        </is>
      </c>
      <c r="U2">
        <f>INDEX(Scale_PCA_Mechanics!$M$33:$P$33,1,1)</f>
        <v/>
      </c>
      <c r="V2">
        <f>INDEX(Scale_PCA_Mechanics!$AB$33:$AE$33,1,1)</f>
        <v/>
      </c>
      <c r="W2" t="n">
        <v>3</v>
      </c>
      <c r="X2">
        <f>U2*$W$2</f>
        <v/>
      </c>
      <c r="Y2">
        <f>V2*$W$2</f>
        <v/>
      </c>
      <c r="AA2" t="n">
        <v>0</v>
      </c>
      <c r="AB2" t="n">
        <v>0</v>
      </c>
      <c r="AC2">
        <f>AA3</f>
        <v/>
      </c>
      <c r="AD2">
        <f>AB3</f>
        <v/>
      </c>
    </row>
    <row r="3">
      <c r="A3" t="n">
        <v>2</v>
      </c>
      <c r="B3">
        <f>$L$2+($L$3-$L$2)*A3/$L$1</f>
        <v/>
      </c>
      <c r="C3">
        <f>COUNTIFS(Data_USArrests!C2:C51,"&lt;="&amp;B3)-IF(A3=1,0,COUNTIFS(Data_USArrests!C2:C51,"&lt;="&amp;B2))</f>
        <v/>
      </c>
      <c r="D3">
        <f>$L$4+($L$5-$L$4)*A3/$L$1</f>
        <v/>
      </c>
      <c r="E3">
        <f>COUNTIFS(Data_USArrests!D2:D51,"&lt;="&amp;D3)-IF(A3=1,0,COUNTIFS(Data_USArrests!D2:D51,"&lt;="&amp;D2))</f>
        <v/>
      </c>
      <c r="F3">
        <f>$L$6+($L$7-$L$6)*A3/$L$1</f>
        <v/>
      </c>
      <c r="G3">
        <f>COUNTIFS(Data_USArrests!E2:E51,"&lt;="&amp;F3)-IF(A3=1,0,COUNTIFS(Data_USArrests!E2:E51,"&lt;="&amp;F2))</f>
        <v/>
      </c>
      <c r="H3">
        <f>$L$8+($L$9-$L$8)*A3/$L$1</f>
        <v/>
      </c>
      <c r="I3">
        <f>COUNTIFS(Data_USArrests!F2:F51,"&lt;="&amp;H3)-IF(A3=1,0,COUNTIFS(Data_USArrests!F2:F51,"&lt;="&amp;H2))</f>
        <v/>
      </c>
      <c r="K3" t="inlineStr">
        <is>
          <t>Murder_max</t>
        </is>
      </c>
      <c r="L3">
        <f>MAX(Data_USArrests!C2:C51)</f>
        <v/>
      </c>
      <c r="O3">
        <f>Scale_PCA_Mechanics!L3</f>
        <v/>
      </c>
      <c r="P3">
        <f>Scale_PCA_Mechanics!Z3</f>
        <v/>
      </c>
      <c r="Q3">
        <f>SUMPRODUCT(Scale_PCA_Mechanics!B3:E3,Scale_PCA_Mechanics!M33:P33)</f>
        <v/>
      </c>
      <c r="R3">
        <f>Scale_PCA_Mechanics!C3</f>
        <v/>
      </c>
      <c r="T3" t="inlineStr">
        <is>
          <t>Assault</t>
        </is>
      </c>
      <c r="U3">
        <f>INDEX(Scale_PCA_Mechanics!$M$33:$P$33,1,2)</f>
        <v/>
      </c>
      <c r="V3">
        <f>INDEX(Scale_PCA_Mechanics!$AB$33:$AE$33,1,2)</f>
        <v/>
      </c>
      <c r="X3">
        <f>U3*$W$2</f>
        <v/>
      </c>
      <c r="Y3">
        <f>V3*$W$2</f>
        <v/>
      </c>
      <c r="AA3">
        <f>X2</f>
        <v/>
      </c>
      <c r="AB3">
        <f>Y2</f>
        <v/>
      </c>
      <c r="AC3">
        <f>AA5</f>
        <v/>
      </c>
      <c r="AD3">
        <f>AB5</f>
        <v/>
      </c>
    </row>
    <row r="4">
      <c r="A4" t="n">
        <v>3</v>
      </c>
      <c r="B4">
        <f>$L$2+($L$3-$L$2)*A4/$L$1</f>
        <v/>
      </c>
      <c r="C4">
        <f>COUNTIFS(Data_USArrests!C2:C51,"&lt;="&amp;B4)-IF(A4=1,0,COUNTIFS(Data_USArrests!C2:C51,"&lt;="&amp;B3))</f>
        <v/>
      </c>
      <c r="D4">
        <f>$L$4+($L$5-$L$4)*A4/$L$1</f>
        <v/>
      </c>
      <c r="E4">
        <f>COUNTIFS(Data_USArrests!D2:D51,"&lt;="&amp;D4)-IF(A4=1,0,COUNTIFS(Data_USArrests!D2:D51,"&lt;="&amp;D3))</f>
        <v/>
      </c>
      <c r="F4">
        <f>$L$6+($L$7-$L$6)*A4/$L$1</f>
        <v/>
      </c>
      <c r="G4">
        <f>COUNTIFS(Data_USArrests!E2:E51,"&lt;="&amp;F4)-IF(A4=1,0,COUNTIFS(Data_USArrests!E2:E51,"&lt;="&amp;F3))</f>
        <v/>
      </c>
      <c r="H4">
        <f>$L$8+($L$9-$L$8)*A4/$L$1</f>
        <v/>
      </c>
      <c r="I4">
        <f>COUNTIFS(Data_USArrests!F2:F51,"&lt;="&amp;H4)-IF(A4=1,0,COUNTIFS(Data_USArrests!F2:F51,"&lt;="&amp;H3))</f>
        <v/>
      </c>
      <c r="K4" t="inlineStr">
        <is>
          <t>Assault_min</t>
        </is>
      </c>
      <c r="L4">
        <f>MIN(Data_USArrests!D2:D51)</f>
        <v/>
      </c>
      <c r="O4">
        <f>Scale_PCA_Mechanics!L4</f>
        <v/>
      </c>
      <c r="P4">
        <f>Scale_PCA_Mechanics!Z4</f>
        <v/>
      </c>
      <c r="Q4">
        <f>SUMPRODUCT(Scale_PCA_Mechanics!B4:E4,Scale_PCA_Mechanics!M33:P33)</f>
        <v/>
      </c>
      <c r="R4">
        <f>Scale_PCA_Mechanics!C4</f>
        <v/>
      </c>
      <c r="T4" t="inlineStr">
        <is>
          <t>UrbanPop</t>
        </is>
      </c>
      <c r="U4">
        <f>INDEX(Scale_PCA_Mechanics!$M$33:$P$33,1,3)</f>
        <v/>
      </c>
      <c r="V4">
        <f>INDEX(Scale_PCA_Mechanics!$AB$33:$AE$33,1,3)</f>
        <v/>
      </c>
      <c r="X4">
        <f>U4*$W$2</f>
        <v/>
      </c>
      <c r="Y4">
        <f>V4*$W$2</f>
        <v/>
      </c>
      <c r="AA4" t="n">
        <v>0</v>
      </c>
      <c r="AB4" t="n">
        <v>0</v>
      </c>
      <c r="AC4">
        <f>AA7</f>
        <v/>
      </c>
      <c r="AD4">
        <f>AB7</f>
        <v/>
      </c>
    </row>
    <row r="5">
      <c r="A5" t="n">
        <v>4</v>
      </c>
      <c r="B5">
        <f>$L$2+($L$3-$L$2)*A5/$L$1</f>
        <v/>
      </c>
      <c r="C5">
        <f>COUNTIFS(Data_USArrests!C2:C51,"&lt;="&amp;B5)-IF(A5=1,0,COUNTIFS(Data_USArrests!C2:C51,"&lt;="&amp;B4))</f>
        <v/>
      </c>
      <c r="D5">
        <f>$L$4+($L$5-$L$4)*A5/$L$1</f>
        <v/>
      </c>
      <c r="E5">
        <f>COUNTIFS(Data_USArrests!D2:D51,"&lt;="&amp;D5)-IF(A5=1,0,COUNTIFS(Data_USArrests!D2:D51,"&lt;="&amp;D4))</f>
        <v/>
      </c>
      <c r="F5">
        <f>$L$6+($L$7-$L$6)*A5/$L$1</f>
        <v/>
      </c>
      <c r="G5">
        <f>COUNTIFS(Data_USArrests!E2:E51,"&lt;="&amp;F5)-IF(A5=1,0,COUNTIFS(Data_USArrests!E2:E51,"&lt;="&amp;F4))</f>
        <v/>
      </c>
      <c r="H5">
        <f>$L$8+($L$9-$L$8)*A5/$L$1</f>
        <v/>
      </c>
      <c r="I5">
        <f>COUNTIFS(Data_USArrests!F2:F51,"&lt;="&amp;H5)-IF(A5=1,0,COUNTIFS(Data_USArrests!F2:F51,"&lt;="&amp;H4))</f>
        <v/>
      </c>
      <c r="K5" t="inlineStr">
        <is>
          <t>Assault_max</t>
        </is>
      </c>
      <c r="L5">
        <f>MAX(Data_USArrests!D2:D51)</f>
        <v/>
      </c>
      <c r="O5">
        <f>Scale_PCA_Mechanics!L5</f>
        <v/>
      </c>
      <c r="P5">
        <f>Scale_PCA_Mechanics!Z5</f>
        <v/>
      </c>
      <c r="Q5">
        <f>SUMPRODUCT(Scale_PCA_Mechanics!B5:E5,Scale_PCA_Mechanics!M33:P33)</f>
        <v/>
      </c>
      <c r="R5">
        <f>Scale_PCA_Mechanics!C5</f>
        <v/>
      </c>
      <c r="T5" t="inlineStr">
        <is>
          <t>Rape</t>
        </is>
      </c>
      <c r="U5">
        <f>INDEX(Scale_PCA_Mechanics!$M$33:$P$33,1,4)</f>
        <v/>
      </c>
      <c r="V5">
        <f>INDEX(Scale_PCA_Mechanics!$AB$33:$AE$33,1,4)</f>
        <v/>
      </c>
      <c r="X5">
        <f>U5*$W$2</f>
        <v/>
      </c>
      <c r="Y5">
        <f>V5*$W$2</f>
        <v/>
      </c>
      <c r="AA5">
        <f>X3</f>
        <v/>
      </c>
      <c r="AB5">
        <f>Y3</f>
        <v/>
      </c>
      <c r="AC5">
        <f>AA9</f>
        <v/>
      </c>
      <c r="AD5">
        <f>AB9</f>
        <v/>
      </c>
    </row>
    <row r="6">
      <c r="A6" t="n">
        <v>5</v>
      </c>
      <c r="B6">
        <f>$L$2+($L$3-$L$2)*A6/$L$1</f>
        <v/>
      </c>
      <c r="C6">
        <f>COUNTIFS(Data_USArrests!C2:C51,"&lt;="&amp;B6)-IF(A6=1,0,COUNTIFS(Data_USArrests!C2:C51,"&lt;="&amp;B5))</f>
        <v/>
      </c>
      <c r="D6">
        <f>$L$4+($L$5-$L$4)*A6/$L$1</f>
        <v/>
      </c>
      <c r="E6">
        <f>COUNTIFS(Data_USArrests!D2:D51,"&lt;="&amp;D6)-IF(A6=1,0,COUNTIFS(Data_USArrests!D2:D51,"&lt;="&amp;D5))</f>
        <v/>
      </c>
      <c r="F6">
        <f>$L$6+($L$7-$L$6)*A6/$L$1</f>
        <v/>
      </c>
      <c r="G6">
        <f>COUNTIFS(Data_USArrests!E2:E51,"&lt;="&amp;F6)-IF(A6=1,0,COUNTIFS(Data_USArrests!E2:E51,"&lt;="&amp;F5))</f>
        <v/>
      </c>
      <c r="H6">
        <f>$L$8+($L$9-$L$8)*A6/$L$1</f>
        <v/>
      </c>
      <c r="I6">
        <f>COUNTIFS(Data_USArrests!F2:F51,"&lt;="&amp;H6)-IF(A6=1,0,COUNTIFS(Data_USArrests!F2:F51,"&lt;="&amp;H5))</f>
        <v/>
      </c>
      <c r="K6" t="inlineStr">
        <is>
          <t>UrbanPop_min</t>
        </is>
      </c>
      <c r="L6">
        <f>MIN(Data_USArrests!E2:E51)</f>
        <v/>
      </c>
      <c r="O6">
        <f>Scale_PCA_Mechanics!L6</f>
        <v/>
      </c>
      <c r="P6">
        <f>Scale_PCA_Mechanics!Z6</f>
        <v/>
      </c>
      <c r="Q6">
        <f>SUMPRODUCT(Scale_PCA_Mechanics!B6:E6,Scale_PCA_Mechanics!M33:P33)</f>
        <v/>
      </c>
      <c r="R6">
        <f>Scale_PCA_Mechanics!C6</f>
        <v/>
      </c>
      <c r="AA6" t="n">
        <v>0</v>
      </c>
      <c r="AB6" t="n">
        <v>0</v>
      </c>
    </row>
    <row r="7">
      <c r="A7" t="n">
        <v>6</v>
      </c>
      <c r="B7">
        <f>$L$2+($L$3-$L$2)*A7/$L$1</f>
        <v/>
      </c>
      <c r="C7">
        <f>COUNTIFS(Data_USArrests!C2:C51,"&lt;="&amp;B7)-IF(A7=1,0,COUNTIFS(Data_USArrests!C2:C51,"&lt;="&amp;B6))</f>
        <v/>
      </c>
      <c r="D7">
        <f>$L$4+($L$5-$L$4)*A7/$L$1</f>
        <v/>
      </c>
      <c r="E7">
        <f>COUNTIFS(Data_USArrests!D2:D51,"&lt;="&amp;D7)-IF(A7=1,0,COUNTIFS(Data_USArrests!D2:D51,"&lt;="&amp;D6))</f>
        <v/>
      </c>
      <c r="F7">
        <f>$L$6+($L$7-$L$6)*A7/$L$1</f>
        <v/>
      </c>
      <c r="G7">
        <f>COUNTIFS(Data_USArrests!E2:E51,"&lt;="&amp;F7)-IF(A7=1,0,COUNTIFS(Data_USArrests!E2:E51,"&lt;="&amp;F6))</f>
        <v/>
      </c>
      <c r="H7">
        <f>$L$8+($L$9-$L$8)*A7/$L$1</f>
        <v/>
      </c>
      <c r="I7">
        <f>COUNTIFS(Data_USArrests!F2:F51,"&lt;="&amp;H7)-IF(A7=1,0,COUNTIFS(Data_USArrests!F2:F51,"&lt;="&amp;H6))</f>
        <v/>
      </c>
      <c r="K7" t="inlineStr">
        <is>
          <t>UrbanPop_max</t>
        </is>
      </c>
      <c r="L7">
        <f>MAX(Data_USArrests!E2:E51)</f>
        <v/>
      </c>
      <c r="O7">
        <f>Scale_PCA_Mechanics!L7</f>
        <v/>
      </c>
      <c r="P7">
        <f>Scale_PCA_Mechanics!Z7</f>
        <v/>
      </c>
      <c r="Q7">
        <f>SUMPRODUCT(Scale_PCA_Mechanics!B7:E7,Scale_PCA_Mechanics!M33:P33)</f>
        <v/>
      </c>
      <c r="R7">
        <f>Scale_PCA_Mechanics!C7</f>
        <v/>
      </c>
      <c r="AA7">
        <f>X4</f>
        <v/>
      </c>
      <c r="AB7">
        <f>Y4</f>
        <v/>
      </c>
    </row>
    <row r="8">
      <c r="A8" t="n">
        <v>7</v>
      </c>
      <c r="B8">
        <f>$L$2+($L$3-$L$2)*A8/$L$1</f>
        <v/>
      </c>
      <c r="C8">
        <f>COUNTIFS(Data_USArrests!C2:C51,"&lt;="&amp;B8)-IF(A8=1,0,COUNTIFS(Data_USArrests!C2:C51,"&lt;="&amp;B7))</f>
        <v/>
      </c>
      <c r="D8">
        <f>$L$4+($L$5-$L$4)*A8/$L$1</f>
        <v/>
      </c>
      <c r="E8">
        <f>COUNTIFS(Data_USArrests!D2:D51,"&lt;="&amp;D8)-IF(A8=1,0,COUNTIFS(Data_USArrests!D2:D51,"&lt;="&amp;D7))</f>
        <v/>
      </c>
      <c r="F8">
        <f>$L$6+($L$7-$L$6)*A8/$L$1</f>
        <v/>
      </c>
      <c r="G8">
        <f>COUNTIFS(Data_USArrests!E2:E51,"&lt;="&amp;F8)-IF(A8=1,0,COUNTIFS(Data_USArrests!E2:E51,"&lt;="&amp;F7))</f>
        <v/>
      </c>
      <c r="H8">
        <f>$L$8+($L$9-$L$8)*A8/$L$1</f>
        <v/>
      </c>
      <c r="I8">
        <f>COUNTIFS(Data_USArrests!F2:F51,"&lt;="&amp;H8)-IF(A8=1,0,COUNTIFS(Data_USArrests!F2:F51,"&lt;="&amp;H7))</f>
        <v/>
      </c>
      <c r="K8" t="inlineStr">
        <is>
          <t>Rape_min</t>
        </is>
      </c>
      <c r="L8">
        <f>MIN(Data_USArrests!F2:F51)</f>
        <v/>
      </c>
      <c r="O8">
        <f>Scale_PCA_Mechanics!L8</f>
        <v/>
      </c>
      <c r="P8">
        <f>Scale_PCA_Mechanics!Z8</f>
        <v/>
      </c>
      <c r="Q8">
        <f>SUMPRODUCT(Scale_PCA_Mechanics!B8:E8,Scale_PCA_Mechanics!M33:P33)</f>
        <v/>
      </c>
      <c r="R8">
        <f>Scale_PCA_Mechanics!C8</f>
        <v/>
      </c>
      <c r="AA8" t="n">
        <v>0</v>
      </c>
      <c r="AB8" t="n">
        <v>0</v>
      </c>
    </row>
    <row r="9">
      <c r="A9" t="n">
        <v>8</v>
      </c>
      <c r="B9">
        <f>$L$2+($L$3-$L$2)*A9/$L$1</f>
        <v/>
      </c>
      <c r="C9">
        <f>COUNTIFS(Data_USArrests!C2:C51,"&lt;="&amp;B9)-IF(A9=1,0,COUNTIFS(Data_USArrests!C2:C51,"&lt;="&amp;B8))</f>
        <v/>
      </c>
      <c r="D9">
        <f>$L$4+($L$5-$L$4)*A9/$L$1</f>
        <v/>
      </c>
      <c r="E9">
        <f>COUNTIFS(Data_USArrests!D2:D51,"&lt;="&amp;D9)-IF(A9=1,0,COUNTIFS(Data_USArrests!D2:D51,"&lt;="&amp;D8))</f>
        <v/>
      </c>
      <c r="F9">
        <f>$L$6+($L$7-$L$6)*A9/$L$1</f>
        <v/>
      </c>
      <c r="G9">
        <f>COUNTIFS(Data_USArrests!E2:E51,"&lt;="&amp;F9)-IF(A9=1,0,COUNTIFS(Data_USArrests!E2:E51,"&lt;="&amp;F8))</f>
        <v/>
      </c>
      <c r="H9">
        <f>$L$8+($L$9-$L$8)*A9/$L$1</f>
        <v/>
      </c>
      <c r="I9">
        <f>COUNTIFS(Data_USArrests!F2:F51,"&lt;="&amp;H9)-IF(A9=1,0,COUNTIFS(Data_USArrests!F2:F51,"&lt;="&amp;H8))</f>
        <v/>
      </c>
      <c r="K9" t="inlineStr">
        <is>
          <t>Rape_max</t>
        </is>
      </c>
      <c r="L9">
        <f>MAX(Data_USArrests!F2:F51)</f>
        <v/>
      </c>
      <c r="O9">
        <f>Scale_PCA_Mechanics!L9</f>
        <v/>
      </c>
      <c r="P9">
        <f>Scale_PCA_Mechanics!Z9</f>
        <v/>
      </c>
      <c r="Q9">
        <f>SUMPRODUCT(Scale_PCA_Mechanics!B9:E9,Scale_PCA_Mechanics!M33:P33)</f>
        <v/>
      </c>
      <c r="R9">
        <f>Scale_PCA_Mechanics!C9</f>
        <v/>
      </c>
      <c r="AA9">
        <f>X5</f>
        <v/>
      </c>
      <c r="AB9">
        <f>Y5</f>
        <v/>
      </c>
    </row>
    <row r="10">
      <c r="A10" t="n">
        <v>9</v>
      </c>
      <c r="B10">
        <f>$L$2+($L$3-$L$2)*A10/$L$1</f>
        <v/>
      </c>
      <c r="C10">
        <f>COUNTIFS(Data_USArrests!C2:C51,"&lt;="&amp;B10)-IF(A10=1,0,COUNTIFS(Data_USArrests!C2:C51,"&lt;="&amp;B9))</f>
        <v/>
      </c>
      <c r="D10">
        <f>$L$4+($L$5-$L$4)*A10/$L$1</f>
        <v/>
      </c>
      <c r="E10">
        <f>COUNTIFS(Data_USArrests!D2:D51,"&lt;="&amp;D10)-IF(A10=1,0,COUNTIFS(Data_USArrests!D2:D51,"&lt;="&amp;D9))</f>
        <v/>
      </c>
      <c r="F10">
        <f>$L$6+($L$7-$L$6)*A10/$L$1</f>
        <v/>
      </c>
      <c r="G10">
        <f>COUNTIFS(Data_USArrests!E2:E51,"&lt;="&amp;F10)-IF(A10=1,0,COUNTIFS(Data_USArrests!E2:E51,"&lt;="&amp;F9))</f>
        <v/>
      </c>
      <c r="H10">
        <f>$L$8+($L$9-$L$8)*A10/$L$1</f>
        <v/>
      </c>
      <c r="I10">
        <f>COUNTIFS(Data_USArrests!F2:F51,"&lt;="&amp;H10)-IF(A10=1,0,COUNTIFS(Data_USArrests!F2:F51,"&lt;="&amp;H9))</f>
        <v/>
      </c>
      <c r="O10">
        <f>Scale_PCA_Mechanics!L10</f>
        <v/>
      </c>
      <c r="P10">
        <f>Scale_PCA_Mechanics!Z10</f>
        <v/>
      </c>
      <c r="Q10">
        <f>SUMPRODUCT(Scale_PCA_Mechanics!B10:E10,Scale_PCA_Mechanics!M33:P33)</f>
        <v/>
      </c>
      <c r="R10">
        <f>Scale_PCA_Mechanics!C10</f>
        <v/>
      </c>
    </row>
    <row r="11">
      <c r="A11" t="n">
        <v>10</v>
      </c>
      <c r="B11">
        <f>$L$2+($L$3-$L$2)*A11/$L$1</f>
        <v/>
      </c>
      <c r="C11">
        <f>COUNTIFS(Data_USArrests!C2:C51,"&lt;="&amp;B11)-IF(A11=1,0,COUNTIFS(Data_USArrests!C2:C51,"&lt;="&amp;B10))</f>
        <v/>
      </c>
      <c r="D11">
        <f>$L$4+($L$5-$L$4)*A11/$L$1</f>
        <v/>
      </c>
      <c r="E11">
        <f>COUNTIFS(Data_USArrests!D2:D51,"&lt;="&amp;D11)-IF(A11=1,0,COUNTIFS(Data_USArrests!D2:D51,"&lt;="&amp;D10))</f>
        <v/>
      </c>
      <c r="F11">
        <f>$L$6+($L$7-$L$6)*A11/$L$1</f>
        <v/>
      </c>
      <c r="G11">
        <f>COUNTIFS(Data_USArrests!E2:E51,"&lt;="&amp;F11)-IF(A11=1,0,COUNTIFS(Data_USArrests!E2:E51,"&lt;="&amp;F10))</f>
        <v/>
      </c>
      <c r="H11">
        <f>$L$8+($L$9-$L$8)*A11/$L$1</f>
        <v/>
      </c>
      <c r="I11">
        <f>COUNTIFS(Data_USArrests!F2:F51,"&lt;="&amp;H11)-IF(A11=1,0,COUNTIFS(Data_USArrests!F2:F51,"&lt;="&amp;H10))</f>
        <v/>
      </c>
      <c r="O11">
        <f>Scale_PCA_Mechanics!L11</f>
        <v/>
      </c>
      <c r="P11">
        <f>Scale_PCA_Mechanics!Z11</f>
        <v/>
      </c>
      <c r="Q11">
        <f>SUMPRODUCT(Scale_PCA_Mechanics!B11:E11,Scale_PCA_Mechanics!M33:P33)</f>
        <v/>
      </c>
      <c r="R11">
        <f>Scale_PCA_Mechanics!C11</f>
        <v/>
      </c>
    </row>
    <row r="12">
      <c r="K12" t="inlineStr">
        <is>
          <t>PC</t>
        </is>
      </c>
      <c r="L12" t="inlineStr">
        <is>
          <t>PVE_proxy</t>
        </is>
      </c>
      <c r="M12" t="inlineStr">
        <is>
          <t>CumPVE_proxy</t>
        </is>
      </c>
      <c r="O12">
        <f>Scale_PCA_Mechanics!L12</f>
        <v/>
      </c>
      <c r="P12">
        <f>Scale_PCA_Mechanics!Z12</f>
        <v/>
      </c>
      <c r="Q12">
        <f>SUMPRODUCT(Scale_PCA_Mechanics!B12:E12,Scale_PCA_Mechanics!M33:P33)</f>
        <v/>
      </c>
      <c r="R12">
        <f>Scale_PCA_Mechanics!C12</f>
        <v/>
      </c>
    </row>
    <row r="13">
      <c r="K13">
        <f>Scale_PCA_Mechanics!W11</f>
        <v/>
      </c>
      <c r="L13">
        <f>Scale_PCA_Mechanics!X11</f>
        <v/>
      </c>
      <c r="M13">
        <f>Scale_PCA_Mechanics!Y11</f>
        <v/>
      </c>
      <c r="O13">
        <f>Scale_PCA_Mechanics!L13</f>
        <v/>
      </c>
      <c r="P13">
        <f>Scale_PCA_Mechanics!Z13</f>
        <v/>
      </c>
      <c r="Q13">
        <f>SUMPRODUCT(Scale_PCA_Mechanics!B13:E13,Scale_PCA_Mechanics!M33:P33)</f>
        <v/>
      </c>
      <c r="R13">
        <f>Scale_PCA_Mechanics!C13</f>
        <v/>
      </c>
    </row>
    <row r="14">
      <c r="K14">
        <f>Scale_PCA_Mechanics!W12</f>
        <v/>
      </c>
      <c r="L14">
        <f>Scale_PCA_Mechanics!X12</f>
        <v/>
      </c>
      <c r="M14">
        <f>Scale_PCA_Mechanics!Y12</f>
        <v/>
      </c>
      <c r="O14">
        <f>Scale_PCA_Mechanics!L14</f>
        <v/>
      </c>
      <c r="P14">
        <f>Scale_PCA_Mechanics!Z14</f>
        <v/>
      </c>
      <c r="Q14">
        <f>SUMPRODUCT(Scale_PCA_Mechanics!B14:E14,Scale_PCA_Mechanics!M33:P33)</f>
        <v/>
      </c>
      <c r="R14">
        <f>Scale_PCA_Mechanics!C14</f>
        <v/>
      </c>
    </row>
    <row r="15">
      <c r="K15">
        <f>Scale_PCA_Mechanics!W13</f>
        <v/>
      </c>
      <c r="L15">
        <f>Scale_PCA_Mechanics!X13</f>
        <v/>
      </c>
      <c r="M15">
        <f>Scale_PCA_Mechanics!Y13</f>
        <v/>
      </c>
      <c r="O15">
        <f>Scale_PCA_Mechanics!L15</f>
        <v/>
      </c>
      <c r="P15">
        <f>Scale_PCA_Mechanics!Z15</f>
        <v/>
      </c>
      <c r="Q15">
        <f>SUMPRODUCT(Scale_PCA_Mechanics!B15:E15,Scale_PCA_Mechanics!M33:P33)</f>
        <v/>
      </c>
      <c r="R15">
        <f>Scale_PCA_Mechanics!C15</f>
        <v/>
      </c>
    </row>
    <row r="16">
      <c r="K16">
        <f>Scale_PCA_Mechanics!W14</f>
        <v/>
      </c>
      <c r="L16">
        <f>Scale_PCA_Mechanics!X14</f>
        <v/>
      </c>
      <c r="M16">
        <f>Scale_PCA_Mechanics!Y14</f>
        <v/>
      </c>
      <c r="O16">
        <f>Scale_PCA_Mechanics!L16</f>
        <v/>
      </c>
      <c r="P16">
        <f>Scale_PCA_Mechanics!Z16</f>
        <v/>
      </c>
      <c r="Q16">
        <f>SUMPRODUCT(Scale_PCA_Mechanics!B16:E16,Scale_PCA_Mechanics!M33:P33)</f>
        <v/>
      </c>
      <c r="R16">
        <f>Scale_PCA_Mechanics!C16</f>
        <v/>
      </c>
    </row>
    <row r="17">
      <c r="O17">
        <f>Scale_PCA_Mechanics!L17</f>
        <v/>
      </c>
      <c r="P17">
        <f>Scale_PCA_Mechanics!Z17</f>
        <v/>
      </c>
      <c r="Q17">
        <f>SUMPRODUCT(Scale_PCA_Mechanics!B17:E17,Scale_PCA_Mechanics!M33:P33)</f>
        <v/>
      </c>
      <c r="R17">
        <f>Scale_PCA_Mechanics!C17</f>
        <v/>
      </c>
    </row>
    <row r="18">
      <c r="O18">
        <f>Scale_PCA_Mechanics!L18</f>
        <v/>
      </c>
      <c r="P18">
        <f>Scale_PCA_Mechanics!Z18</f>
        <v/>
      </c>
      <c r="Q18">
        <f>SUMPRODUCT(Scale_PCA_Mechanics!B18:E18,Scale_PCA_Mechanics!M33:P33)</f>
        <v/>
      </c>
      <c r="R18">
        <f>Scale_PCA_Mechanics!C18</f>
        <v/>
      </c>
    </row>
    <row r="19">
      <c r="O19">
        <f>Scale_PCA_Mechanics!L19</f>
        <v/>
      </c>
      <c r="P19">
        <f>Scale_PCA_Mechanics!Z19</f>
        <v/>
      </c>
      <c r="Q19">
        <f>SUMPRODUCT(Scale_PCA_Mechanics!B19:E19,Scale_PCA_Mechanics!M33:P33)</f>
        <v/>
      </c>
      <c r="R19">
        <f>Scale_PCA_Mechanics!C19</f>
        <v/>
      </c>
    </row>
    <row r="20">
      <c r="O20">
        <f>Scale_PCA_Mechanics!L20</f>
        <v/>
      </c>
      <c r="P20">
        <f>Scale_PCA_Mechanics!Z20</f>
        <v/>
      </c>
      <c r="Q20">
        <f>SUMPRODUCT(Scale_PCA_Mechanics!B20:E20,Scale_PCA_Mechanics!M33:P33)</f>
        <v/>
      </c>
      <c r="R20">
        <f>Scale_PCA_Mechanics!C20</f>
        <v/>
      </c>
    </row>
    <row r="21">
      <c r="O21">
        <f>Scale_PCA_Mechanics!L21</f>
        <v/>
      </c>
      <c r="P21">
        <f>Scale_PCA_Mechanics!Z21</f>
        <v/>
      </c>
      <c r="Q21">
        <f>SUMPRODUCT(Scale_PCA_Mechanics!B21:E21,Scale_PCA_Mechanics!M33:P33)</f>
        <v/>
      </c>
      <c r="R21">
        <f>Scale_PCA_Mechanics!C21</f>
        <v/>
      </c>
    </row>
    <row r="22">
      <c r="O22">
        <f>Scale_PCA_Mechanics!L22</f>
        <v/>
      </c>
      <c r="P22">
        <f>Scale_PCA_Mechanics!Z22</f>
        <v/>
      </c>
      <c r="Q22">
        <f>SUMPRODUCT(Scale_PCA_Mechanics!B22:E22,Scale_PCA_Mechanics!M33:P33)</f>
        <v/>
      </c>
      <c r="R22">
        <f>Scale_PCA_Mechanics!C22</f>
        <v/>
      </c>
    </row>
    <row r="23">
      <c r="O23">
        <f>Scale_PCA_Mechanics!L23</f>
        <v/>
      </c>
      <c r="P23">
        <f>Scale_PCA_Mechanics!Z23</f>
        <v/>
      </c>
      <c r="Q23">
        <f>SUMPRODUCT(Scale_PCA_Mechanics!B23:E23,Scale_PCA_Mechanics!M33:P33)</f>
        <v/>
      </c>
      <c r="R23">
        <f>Scale_PCA_Mechanics!C23</f>
        <v/>
      </c>
    </row>
    <row r="24">
      <c r="O24">
        <f>Scale_PCA_Mechanics!L24</f>
        <v/>
      </c>
      <c r="P24">
        <f>Scale_PCA_Mechanics!Z24</f>
        <v/>
      </c>
      <c r="Q24">
        <f>SUMPRODUCT(Scale_PCA_Mechanics!B24:E24,Scale_PCA_Mechanics!M33:P33)</f>
        <v/>
      </c>
      <c r="R24">
        <f>Scale_PCA_Mechanics!C24</f>
        <v/>
      </c>
    </row>
    <row r="25">
      <c r="O25">
        <f>Scale_PCA_Mechanics!L25</f>
        <v/>
      </c>
      <c r="P25">
        <f>Scale_PCA_Mechanics!Z25</f>
        <v/>
      </c>
      <c r="Q25">
        <f>SUMPRODUCT(Scale_PCA_Mechanics!B25:E25,Scale_PCA_Mechanics!M33:P33)</f>
        <v/>
      </c>
      <c r="R25">
        <f>Scale_PCA_Mechanics!C25</f>
        <v/>
      </c>
    </row>
    <row r="26">
      <c r="O26">
        <f>Scale_PCA_Mechanics!L26</f>
        <v/>
      </c>
      <c r="P26">
        <f>Scale_PCA_Mechanics!Z26</f>
        <v/>
      </c>
      <c r="Q26">
        <f>SUMPRODUCT(Scale_PCA_Mechanics!B26:E26,Scale_PCA_Mechanics!M33:P33)</f>
        <v/>
      </c>
      <c r="R26">
        <f>Scale_PCA_Mechanics!C26</f>
        <v/>
      </c>
    </row>
    <row r="27">
      <c r="O27">
        <f>Scale_PCA_Mechanics!L27</f>
        <v/>
      </c>
      <c r="P27">
        <f>Scale_PCA_Mechanics!Z27</f>
        <v/>
      </c>
      <c r="Q27">
        <f>SUMPRODUCT(Scale_PCA_Mechanics!B27:E27,Scale_PCA_Mechanics!M33:P33)</f>
        <v/>
      </c>
      <c r="R27">
        <f>Scale_PCA_Mechanics!C27</f>
        <v/>
      </c>
    </row>
    <row r="28">
      <c r="O28">
        <f>Scale_PCA_Mechanics!L28</f>
        <v/>
      </c>
      <c r="P28">
        <f>Scale_PCA_Mechanics!Z28</f>
        <v/>
      </c>
      <c r="Q28">
        <f>SUMPRODUCT(Scale_PCA_Mechanics!B28:E28,Scale_PCA_Mechanics!M33:P33)</f>
        <v/>
      </c>
      <c r="R28">
        <f>Scale_PCA_Mechanics!C28</f>
        <v/>
      </c>
    </row>
    <row r="29">
      <c r="O29">
        <f>Scale_PCA_Mechanics!L29</f>
        <v/>
      </c>
      <c r="P29">
        <f>Scale_PCA_Mechanics!Z29</f>
        <v/>
      </c>
      <c r="Q29">
        <f>SUMPRODUCT(Scale_PCA_Mechanics!B29:E29,Scale_PCA_Mechanics!M33:P33)</f>
        <v/>
      </c>
      <c r="R29">
        <f>Scale_PCA_Mechanics!C29</f>
        <v/>
      </c>
    </row>
    <row r="30">
      <c r="O30">
        <f>Scale_PCA_Mechanics!L30</f>
        <v/>
      </c>
      <c r="P30">
        <f>Scale_PCA_Mechanics!Z30</f>
        <v/>
      </c>
      <c r="Q30">
        <f>SUMPRODUCT(Scale_PCA_Mechanics!B30:E30,Scale_PCA_Mechanics!M33:P33)</f>
        <v/>
      </c>
      <c r="R30">
        <f>Scale_PCA_Mechanics!C30</f>
        <v/>
      </c>
    </row>
    <row r="31">
      <c r="O31">
        <f>Scale_PCA_Mechanics!L31</f>
        <v/>
      </c>
      <c r="P31">
        <f>Scale_PCA_Mechanics!Z31</f>
        <v/>
      </c>
      <c r="Q31">
        <f>SUMPRODUCT(Scale_PCA_Mechanics!B31:E31,Scale_PCA_Mechanics!M33:P33)</f>
        <v/>
      </c>
      <c r="R31">
        <f>Scale_PCA_Mechanics!C31</f>
        <v/>
      </c>
    </row>
    <row r="32">
      <c r="O32">
        <f>Scale_PCA_Mechanics!L32</f>
        <v/>
      </c>
      <c r="P32">
        <f>Scale_PCA_Mechanics!Z32</f>
        <v/>
      </c>
      <c r="Q32">
        <f>SUMPRODUCT(Scale_PCA_Mechanics!B32:E32,Scale_PCA_Mechanics!M33:P33)</f>
        <v/>
      </c>
      <c r="R32">
        <f>Scale_PCA_Mechanics!C32</f>
        <v/>
      </c>
    </row>
    <row r="33">
      <c r="O33">
        <f>Scale_PCA_Mechanics!L33</f>
        <v/>
      </c>
      <c r="P33">
        <f>Scale_PCA_Mechanics!Z33</f>
        <v/>
      </c>
      <c r="Q33">
        <f>SUMPRODUCT(Scale_PCA_Mechanics!B33:E33,Scale_PCA_Mechanics!M33:P33)</f>
        <v/>
      </c>
      <c r="R33">
        <f>Scale_PCA_Mechanics!C33</f>
        <v/>
      </c>
    </row>
    <row r="34">
      <c r="O34">
        <f>Scale_PCA_Mechanics!L34</f>
        <v/>
      </c>
      <c r="P34">
        <f>Scale_PCA_Mechanics!Z34</f>
        <v/>
      </c>
      <c r="Q34">
        <f>SUMPRODUCT(Scale_PCA_Mechanics!B34:E34,Scale_PCA_Mechanics!M33:P33)</f>
        <v/>
      </c>
      <c r="R34">
        <f>Scale_PCA_Mechanics!C34</f>
        <v/>
      </c>
    </row>
    <row r="35">
      <c r="O35">
        <f>Scale_PCA_Mechanics!L35</f>
        <v/>
      </c>
      <c r="P35">
        <f>Scale_PCA_Mechanics!Z35</f>
        <v/>
      </c>
      <c r="Q35">
        <f>SUMPRODUCT(Scale_PCA_Mechanics!B35:E35,Scale_PCA_Mechanics!M33:P33)</f>
        <v/>
      </c>
      <c r="R35">
        <f>Scale_PCA_Mechanics!C35</f>
        <v/>
      </c>
    </row>
    <row r="36">
      <c r="O36">
        <f>Scale_PCA_Mechanics!L36</f>
        <v/>
      </c>
      <c r="P36">
        <f>Scale_PCA_Mechanics!Z36</f>
        <v/>
      </c>
      <c r="Q36">
        <f>SUMPRODUCT(Scale_PCA_Mechanics!B36:E36,Scale_PCA_Mechanics!M33:P33)</f>
        <v/>
      </c>
      <c r="R36">
        <f>Scale_PCA_Mechanics!C36</f>
        <v/>
      </c>
    </row>
    <row r="37">
      <c r="O37">
        <f>Scale_PCA_Mechanics!L37</f>
        <v/>
      </c>
      <c r="P37">
        <f>Scale_PCA_Mechanics!Z37</f>
        <v/>
      </c>
      <c r="Q37">
        <f>SUMPRODUCT(Scale_PCA_Mechanics!B37:E37,Scale_PCA_Mechanics!M33:P33)</f>
        <v/>
      </c>
      <c r="R37">
        <f>Scale_PCA_Mechanics!C37</f>
        <v/>
      </c>
    </row>
    <row r="38">
      <c r="O38">
        <f>Scale_PCA_Mechanics!L38</f>
        <v/>
      </c>
      <c r="P38">
        <f>Scale_PCA_Mechanics!Z38</f>
        <v/>
      </c>
      <c r="Q38">
        <f>SUMPRODUCT(Scale_PCA_Mechanics!B38:E38,Scale_PCA_Mechanics!M33:P33)</f>
        <v/>
      </c>
      <c r="R38">
        <f>Scale_PCA_Mechanics!C38</f>
        <v/>
      </c>
    </row>
    <row r="39">
      <c r="O39">
        <f>Scale_PCA_Mechanics!L39</f>
        <v/>
      </c>
      <c r="P39">
        <f>Scale_PCA_Mechanics!Z39</f>
        <v/>
      </c>
      <c r="Q39">
        <f>SUMPRODUCT(Scale_PCA_Mechanics!B39:E39,Scale_PCA_Mechanics!M33:P33)</f>
        <v/>
      </c>
      <c r="R39">
        <f>Scale_PCA_Mechanics!C39</f>
        <v/>
      </c>
    </row>
    <row r="40">
      <c r="O40">
        <f>Scale_PCA_Mechanics!L40</f>
        <v/>
      </c>
      <c r="P40">
        <f>Scale_PCA_Mechanics!Z40</f>
        <v/>
      </c>
      <c r="Q40">
        <f>SUMPRODUCT(Scale_PCA_Mechanics!B40:E40,Scale_PCA_Mechanics!M33:P33)</f>
        <v/>
      </c>
      <c r="R40">
        <f>Scale_PCA_Mechanics!C40</f>
        <v/>
      </c>
    </row>
    <row r="41">
      <c r="O41">
        <f>Scale_PCA_Mechanics!L41</f>
        <v/>
      </c>
      <c r="P41">
        <f>Scale_PCA_Mechanics!Z41</f>
        <v/>
      </c>
      <c r="Q41">
        <f>SUMPRODUCT(Scale_PCA_Mechanics!B41:E41,Scale_PCA_Mechanics!M33:P33)</f>
        <v/>
      </c>
      <c r="R41">
        <f>Scale_PCA_Mechanics!C41</f>
        <v/>
      </c>
    </row>
    <row r="42">
      <c r="O42">
        <f>Scale_PCA_Mechanics!L42</f>
        <v/>
      </c>
      <c r="P42">
        <f>Scale_PCA_Mechanics!Z42</f>
        <v/>
      </c>
      <c r="Q42">
        <f>SUMPRODUCT(Scale_PCA_Mechanics!B42:E42,Scale_PCA_Mechanics!M33:P33)</f>
        <v/>
      </c>
      <c r="R42">
        <f>Scale_PCA_Mechanics!C42</f>
        <v/>
      </c>
    </row>
    <row r="43">
      <c r="O43">
        <f>Scale_PCA_Mechanics!L43</f>
        <v/>
      </c>
      <c r="P43">
        <f>Scale_PCA_Mechanics!Z43</f>
        <v/>
      </c>
      <c r="Q43">
        <f>SUMPRODUCT(Scale_PCA_Mechanics!B43:E43,Scale_PCA_Mechanics!M33:P33)</f>
        <v/>
      </c>
      <c r="R43">
        <f>Scale_PCA_Mechanics!C43</f>
        <v/>
      </c>
    </row>
    <row r="44">
      <c r="O44">
        <f>Scale_PCA_Mechanics!L44</f>
        <v/>
      </c>
      <c r="P44">
        <f>Scale_PCA_Mechanics!Z44</f>
        <v/>
      </c>
      <c r="Q44">
        <f>SUMPRODUCT(Scale_PCA_Mechanics!B44:E44,Scale_PCA_Mechanics!M33:P33)</f>
        <v/>
      </c>
      <c r="R44">
        <f>Scale_PCA_Mechanics!C44</f>
        <v/>
      </c>
    </row>
    <row r="45">
      <c r="O45">
        <f>Scale_PCA_Mechanics!L45</f>
        <v/>
      </c>
      <c r="P45">
        <f>Scale_PCA_Mechanics!Z45</f>
        <v/>
      </c>
      <c r="Q45">
        <f>SUMPRODUCT(Scale_PCA_Mechanics!B45:E45,Scale_PCA_Mechanics!M33:P33)</f>
        <v/>
      </c>
      <c r="R45">
        <f>Scale_PCA_Mechanics!C45</f>
        <v/>
      </c>
    </row>
    <row r="46">
      <c r="O46">
        <f>Scale_PCA_Mechanics!L46</f>
        <v/>
      </c>
      <c r="P46">
        <f>Scale_PCA_Mechanics!Z46</f>
        <v/>
      </c>
      <c r="Q46">
        <f>SUMPRODUCT(Scale_PCA_Mechanics!B46:E46,Scale_PCA_Mechanics!M33:P33)</f>
        <v/>
      </c>
      <c r="R46">
        <f>Scale_PCA_Mechanics!C46</f>
        <v/>
      </c>
    </row>
    <row r="47">
      <c r="O47">
        <f>Scale_PCA_Mechanics!L47</f>
        <v/>
      </c>
      <c r="P47">
        <f>Scale_PCA_Mechanics!Z47</f>
        <v/>
      </c>
      <c r="Q47">
        <f>SUMPRODUCT(Scale_PCA_Mechanics!B47:E47,Scale_PCA_Mechanics!M33:P33)</f>
        <v/>
      </c>
      <c r="R47">
        <f>Scale_PCA_Mechanics!C47</f>
        <v/>
      </c>
    </row>
    <row r="48">
      <c r="O48">
        <f>Scale_PCA_Mechanics!L48</f>
        <v/>
      </c>
      <c r="P48">
        <f>Scale_PCA_Mechanics!Z48</f>
        <v/>
      </c>
      <c r="Q48">
        <f>SUMPRODUCT(Scale_PCA_Mechanics!B48:E48,Scale_PCA_Mechanics!M33:P33)</f>
        <v/>
      </c>
      <c r="R48">
        <f>Scale_PCA_Mechanics!C48</f>
        <v/>
      </c>
    </row>
    <row r="49">
      <c r="O49">
        <f>Scale_PCA_Mechanics!L49</f>
        <v/>
      </c>
      <c r="P49">
        <f>Scale_PCA_Mechanics!Z49</f>
        <v/>
      </c>
      <c r="Q49">
        <f>SUMPRODUCT(Scale_PCA_Mechanics!B49:E49,Scale_PCA_Mechanics!M33:P33)</f>
        <v/>
      </c>
      <c r="R49">
        <f>Scale_PCA_Mechanics!C49</f>
        <v/>
      </c>
    </row>
    <row r="50">
      <c r="O50">
        <f>Scale_PCA_Mechanics!L50</f>
        <v/>
      </c>
      <c r="P50">
        <f>Scale_PCA_Mechanics!Z50</f>
        <v/>
      </c>
      <c r="Q50">
        <f>SUMPRODUCT(Scale_PCA_Mechanics!B50:E50,Scale_PCA_Mechanics!M33:P33)</f>
        <v/>
      </c>
      <c r="R50">
        <f>Scale_PCA_Mechanics!C50</f>
        <v/>
      </c>
    </row>
    <row r="51">
      <c r="O51">
        <f>Scale_PCA_Mechanics!L51</f>
        <v/>
      </c>
      <c r="P51">
        <f>Scale_PCA_Mechanics!Z51</f>
        <v/>
      </c>
      <c r="Q51">
        <f>SUMPRODUCT(Scale_PCA_Mechanics!B51:E51,Scale_PCA_Mechanics!M33:P33)</f>
        <v/>
      </c>
      <c r="R51">
        <f>Scale_PCA_Mechanics!C51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3" max="13"/>
    <col width="13" customWidth="1" min="14" max="14"/>
  </cols>
  <sheetData>
    <row r="1">
      <c r="A1" t="inlineStr">
        <is>
          <t>state_id</t>
        </is>
      </c>
      <c r="B1" t="inlineStr">
        <is>
          <t>PC1_proxy</t>
        </is>
      </c>
      <c r="C1" t="inlineStr">
        <is>
          <t>PC2_proxy</t>
        </is>
      </c>
      <c r="D1" t="inlineStr">
        <is>
          <t>cluster</t>
        </is>
      </c>
      <c r="F1" t="inlineStr">
        <is>
          <t>c1_x</t>
        </is>
      </c>
      <c r="G1" t="inlineStr">
        <is>
          <t>c1_y</t>
        </is>
      </c>
      <c r="H1" t="inlineStr">
        <is>
          <t>c2_x</t>
        </is>
      </c>
      <c r="I1" t="inlineStr">
        <is>
          <t>c2_y</t>
        </is>
      </c>
      <c r="J1" t="inlineStr">
        <is>
          <t>c3_x</t>
        </is>
      </c>
      <c r="K1" t="inlineStr">
        <is>
          <t>c3_y</t>
        </is>
      </c>
      <c r="M1" t="inlineStr">
        <is>
          <t>K</t>
        </is>
      </c>
      <c r="N1" t="inlineStr">
        <is>
          <t>bss_tss</t>
        </is>
      </c>
    </row>
    <row r="2">
      <c r="A2">
        <f>KMeans_6_2!A2</f>
        <v/>
      </c>
      <c r="B2">
        <f>Scale_PCA_Mechanics!L2</f>
        <v/>
      </c>
      <c r="C2">
        <f>Scale_PCA_Mechanics!Z2</f>
        <v/>
      </c>
      <c r="D2">
        <f>KMeans_6_2!AA2</f>
        <v/>
      </c>
      <c r="F2">
        <f>IF($D2=1,$B2,NA())</f>
        <v/>
      </c>
      <c r="G2">
        <f>IF($D2=1,$C2,NA())</f>
        <v/>
      </c>
      <c r="H2">
        <f>IF($D2=2,$B2,NA())</f>
        <v/>
      </c>
      <c r="I2">
        <f>IF($D2=2,$C2,NA())</f>
        <v/>
      </c>
      <c r="J2">
        <f>IF($D2=3,$B2,NA())</f>
        <v/>
      </c>
      <c r="K2">
        <f>IF($D2=3,$C2,NA())</f>
        <v/>
      </c>
      <c r="M2">
        <f>KMeans_6_2!AE2</f>
        <v/>
      </c>
      <c r="N2">
        <f>KMeans_6_2!AF2</f>
        <v/>
      </c>
      <c r="T2" t="n">
        <v>5</v>
      </c>
      <c r="U2" t="n">
        <v>0</v>
      </c>
    </row>
    <row r="3">
      <c r="A3">
        <f>KMeans_6_2!A3</f>
        <v/>
      </c>
      <c r="B3">
        <f>Scale_PCA_Mechanics!L3</f>
        <v/>
      </c>
      <c r="C3">
        <f>Scale_PCA_Mechanics!Z3</f>
        <v/>
      </c>
      <c r="D3">
        <f>KMeans_6_2!AA3</f>
        <v/>
      </c>
      <c r="F3">
        <f>IF($D3=1,$B3,NA())</f>
        <v/>
      </c>
      <c r="G3">
        <f>IF($D3=1,$C3,NA())</f>
        <v/>
      </c>
      <c r="H3">
        <f>IF($D3=2,$B3,NA())</f>
        <v/>
      </c>
      <c r="I3">
        <f>IF($D3=2,$C3,NA())</f>
        <v/>
      </c>
      <c r="J3">
        <f>IF($D3=3,$B3,NA())</f>
        <v/>
      </c>
      <c r="K3">
        <f>IF($D3=3,$C3,NA())</f>
        <v/>
      </c>
      <c r="M3">
        <f>KMeans_6_2!AE3</f>
        <v/>
      </c>
      <c r="N3">
        <f>KMeans_6_2!AF3</f>
        <v/>
      </c>
      <c r="T3" t="n">
        <v>5</v>
      </c>
      <c r="U3" t="n">
        <v>0.7108811756963905</v>
      </c>
    </row>
    <row r="4">
      <c r="A4">
        <f>KMeans_6_2!A4</f>
        <v/>
      </c>
      <c r="B4">
        <f>Scale_PCA_Mechanics!L4</f>
        <v/>
      </c>
      <c r="C4">
        <f>Scale_PCA_Mechanics!Z4</f>
        <v/>
      </c>
      <c r="D4">
        <f>KMeans_6_2!AA4</f>
        <v/>
      </c>
      <c r="F4">
        <f>IF($D4=1,$B4,NA())</f>
        <v/>
      </c>
      <c r="G4">
        <f>IF($D4=1,$C4,NA())</f>
        <v/>
      </c>
      <c r="H4">
        <f>IF($D4=2,$B4,NA())</f>
        <v/>
      </c>
      <c r="I4">
        <f>IF($D4=2,$C4,NA())</f>
        <v/>
      </c>
      <c r="J4">
        <f>IF($D4=3,$B4,NA())</f>
        <v/>
      </c>
      <c r="K4">
        <f>IF($D4=3,$C4,NA())</f>
        <v/>
      </c>
      <c r="M4">
        <f>KMeans_6_2!AE4</f>
        <v/>
      </c>
      <c r="N4">
        <f>KMeans_6_2!AF4</f>
        <v/>
      </c>
      <c r="T4" t="n">
        <v>15</v>
      </c>
      <c r="U4" t="n">
        <v>0.7108811756963905</v>
      </c>
    </row>
    <row r="5">
      <c r="A5">
        <f>KMeans_6_2!A5</f>
        <v/>
      </c>
      <c r="B5">
        <f>Scale_PCA_Mechanics!L5</f>
        <v/>
      </c>
      <c r="C5">
        <f>Scale_PCA_Mechanics!Z5</f>
        <v/>
      </c>
      <c r="D5">
        <f>KMeans_6_2!AA5</f>
        <v/>
      </c>
      <c r="F5">
        <f>IF($D5=1,$B5,NA())</f>
        <v/>
      </c>
      <c r="G5">
        <f>IF($D5=1,$C5,NA())</f>
        <v/>
      </c>
      <c r="H5">
        <f>IF($D5=2,$B5,NA())</f>
        <v/>
      </c>
      <c r="I5">
        <f>IF($D5=2,$C5,NA())</f>
        <v/>
      </c>
      <c r="J5">
        <f>IF($D5=3,$B5,NA())</f>
        <v/>
      </c>
      <c r="K5">
        <f>IF($D5=3,$C5,NA())</f>
        <v/>
      </c>
      <c r="M5">
        <f>KMeans_6_2!AE5</f>
        <v/>
      </c>
      <c r="N5">
        <f>KMeans_6_2!AF5</f>
        <v/>
      </c>
      <c r="T5" t="n">
        <v>15</v>
      </c>
      <c r="U5" t="n">
        <v>0</v>
      </c>
    </row>
    <row r="6">
      <c r="A6">
        <f>KMeans_6_2!A6</f>
        <v/>
      </c>
      <c r="B6">
        <f>Scale_PCA_Mechanics!L6</f>
        <v/>
      </c>
      <c r="C6">
        <f>Scale_PCA_Mechanics!Z6</f>
        <v/>
      </c>
      <c r="D6">
        <f>KMeans_6_2!AA6</f>
        <v/>
      </c>
      <c r="F6">
        <f>IF($D6=1,$B6,NA())</f>
        <v/>
      </c>
      <c r="G6">
        <f>IF($D6=1,$C6,NA())</f>
        <v/>
      </c>
      <c r="H6">
        <f>IF($D6=2,$B6,NA())</f>
        <v/>
      </c>
      <c r="I6">
        <f>IF($D6=2,$C6,NA())</f>
        <v/>
      </c>
      <c r="J6">
        <f>IF($D6=3,$B6,NA())</f>
        <v/>
      </c>
      <c r="K6">
        <f>IF($D6=3,$C6,NA())</f>
        <v/>
      </c>
      <c r="M6">
        <f>KMeans_6_2!AE6</f>
        <v/>
      </c>
      <c r="N6">
        <f>KMeans_6_2!AF6</f>
        <v/>
      </c>
    </row>
    <row r="7">
      <c r="A7">
        <f>KMeans_6_2!A7</f>
        <v/>
      </c>
      <c r="B7">
        <f>Scale_PCA_Mechanics!L7</f>
        <v/>
      </c>
      <c r="C7">
        <f>Scale_PCA_Mechanics!Z7</f>
        <v/>
      </c>
      <c r="D7">
        <f>KMeans_6_2!AA7</f>
        <v/>
      </c>
      <c r="F7">
        <f>IF($D7=1,$B7,NA())</f>
        <v/>
      </c>
      <c r="G7">
        <f>IF($D7=1,$C7,NA())</f>
        <v/>
      </c>
      <c r="H7">
        <f>IF($D7=2,$B7,NA())</f>
        <v/>
      </c>
      <c r="I7">
        <f>IF($D7=2,$C7,NA())</f>
        <v/>
      </c>
      <c r="J7">
        <f>IF($D7=3,$B7,NA())</f>
        <v/>
      </c>
      <c r="K7">
        <f>IF($D7=3,$C7,NA())</f>
        <v/>
      </c>
      <c r="M7">
        <f>KMeans_6_2!AE7</f>
        <v/>
      </c>
      <c r="N7">
        <f>KMeans_6_2!AF7</f>
        <v/>
      </c>
      <c r="T7" t="n">
        <v>25</v>
      </c>
      <c r="U7" t="n">
        <v>0</v>
      </c>
    </row>
    <row r="8">
      <c r="A8">
        <f>KMeans_6_2!A8</f>
        <v/>
      </c>
      <c r="B8">
        <f>Scale_PCA_Mechanics!L8</f>
        <v/>
      </c>
      <c r="C8">
        <f>Scale_PCA_Mechanics!Z8</f>
        <v/>
      </c>
      <c r="D8">
        <f>KMeans_6_2!AA8</f>
        <v/>
      </c>
      <c r="F8">
        <f>IF($D8=1,$B8,NA())</f>
        <v/>
      </c>
      <c r="G8">
        <f>IF($D8=1,$C8,NA())</f>
        <v/>
      </c>
      <c r="H8">
        <f>IF($D8=2,$B8,NA())</f>
        <v/>
      </c>
      <c r="I8">
        <f>IF($D8=2,$C8,NA())</f>
        <v/>
      </c>
      <c r="J8">
        <f>IF($D8=3,$B8,NA())</f>
        <v/>
      </c>
      <c r="K8">
        <f>IF($D8=3,$C8,NA())</f>
        <v/>
      </c>
      <c r="M8">
        <f>KMeans_6_2!AE8</f>
        <v/>
      </c>
      <c r="N8">
        <f>KMeans_6_2!AF8</f>
        <v/>
      </c>
      <c r="T8" t="n">
        <v>25</v>
      </c>
      <c r="U8" t="n">
        <v>0.9824856816215278</v>
      </c>
    </row>
    <row r="9">
      <c r="A9">
        <f>KMeans_6_2!A9</f>
        <v/>
      </c>
      <c r="B9">
        <f>Scale_PCA_Mechanics!L9</f>
        <v/>
      </c>
      <c r="C9">
        <f>Scale_PCA_Mechanics!Z9</f>
        <v/>
      </c>
      <c r="D9">
        <f>KMeans_6_2!AA9</f>
        <v/>
      </c>
      <c r="F9">
        <f>IF($D9=1,$B9,NA())</f>
        <v/>
      </c>
      <c r="G9">
        <f>IF($D9=1,$C9,NA())</f>
        <v/>
      </c>
      <c r="H9">
        <f>IF($D9=2,$B9,NA())</f>
        <v/>
      </c>
      <c r="I9">
        <f>IF($D9=2,$C9,NA())</f>
        <v/>
      </c>
      <c r="J9">
        <f>IF($D9=3,$B9,NA())</f>
        <v/>
      </c>
      <c r="K9">
        <f>IF($D9=3,$C9,NA())</f>
        <v/>
      </c>
      <c r="M9">
        <f>KMeans_6_2!AE9</f>
        <v/>
      </c>
      <c r="N9">
        <f>KMeans_6_2!AF9</f>
        <v/>
      </c>
      <c r="T9" t="n">
        <v>35</v>
      </c>
      <c r="U9" t="n">
        <v>0.9824856816215278</v>
      </c>
    </row>
    <row r="10">
      <c r="A10">
        <f>KMeans_6_2!A10</f>
        <v/>
      </c>
      <c r="B10">
        <f>Scale_PCA_Mechanics!L10</f>
        <v/>
      </c>
      <c r="C10">
        <f>Scale_PCA_Mechanics!Z10</f>
        <v/>
      </c>
      <c r="D10">
        <f>KMeans_6_2!AA10</f>
        <v/>
      </c>
      <c r="F10">
        <f>IF($D10=1,$B10,NA())</f>
        <v/>
      </c>
      <c r="G10">
        <f>IF($D10=1,$C10,NA())</f>
        <v/>
      </c>
      <c r="H10">
        <f>IF($D10=2,$B10,NA())</f>
        <v/>
      </c>
      <c r="I10">
        <f>IF($D10=2,$C10,NA())</f>
        <v/>
      </c>
      <c r="J10">
        <f>IF($D10=3,$B10,NA())</f>
        <v/>
      </c>
      <c r="K10">
        <f>IF($D10=3,$C10,NA())</f>
        <v/>
      </c>
      <c r="M10">
        <f>KMeans_6_2!AE10</f>
        <v/>
      </c>
      <c r="N10">
        <f>KMeans_6_2!AF10</f>
        <v/>
      </c>
      <c r="T10" t="n">
        <v>35</v>
      </c>
      <c r="U10" t="n">
        <v>0</v>
      </c>
    </row>
    <row r="11">
      <c r="A11">
        <f>KMeans_6_2!A11</f>
        <v/>
      </c>
      <c r="B11">
        <f>Scale_PCA_Mechanics!L11</f>
        <v/>
      </c>
      <c r="C11">
        <f>Scale_PCA_Mechanics!Z11</f>
        <v/>
      </c>
      <c r="D11">
        <f>KMeans_6_2!AA11</f>
        <v/>
      </c>
      <c r="F11">
        <f>IF($D11=1,$B11,NA())</f>
        <v/>
      </c>
      <c r="G11">
        <f>IF($D11=1,$C11,NA())</f>
        <v/>
      </c>
      <c r="H11">
        <f>IF($D11=2,$B11,NA())</f>
        <v/>
      </c>
      <c r="I11">
        <f>IF($D11=2,$C11,NA())</f>
        <v/>
      </c>
      <c r="J11">
        <f>IF($D11=3,$B11,NA())</f>
        <v/>
      </c>
      <c r="K11">
        <f>IF($D11=3,$C11,NA())</f>
        <v/>
      </c>
      <c r="M11">
        <f>KMeans_6_2!AE11</f>
        <v/>
      </c>
      <c r="N11">
        <f>KMeans_6_2!AF11</f>
        <v/>
      </c>
    </row>
    <row r="12">
      <c r="A12">
        <f>KMeans_6_2!A12</f>
        <v/>
      </c>
      <c r="B12">
        <f>Scale_PCA_Mechanics!L12</f>
        <v/>
      </c>
      <c r="C12">
        <f>Scale_PCA_Mechanics!Z12</f>
        <v/>
      </c>
      <c r="D12">
        <f>KMeans_6_2!AA12</f>
        <v/>
      </c>
      <c r="F12">
        <f>IF($D12=1,$B12,NA())</f>
        <v/>
      </c>
      <c r="G12">
        <f>IF($D12=1,$C12,NA())</f>
        <v/>
      </c>
      <c r="H12">
        <f>IF($D12=2,$B12,NA())</f>
        <v/>
      </c>
      <c r="I12">
        <f>IF($D12=2,$C12,NA())</f>
        <v/>
      </c>
      <c r="J12">
        <f>IF($D12=3,$B12,NA())</f>
        <v/>
      </c>
      <c r="K12">
        <f>IF($D12=3,$C12,NA())</f>
        <v/>
      </c>
      <c r="T12" t="n">
        <v>10</v>
      </c>
      <c r="U12" t="n">
        <v>0.7108811756963905</v>
      </c>
    </row>
    <row r="13">
      <c r="A13">
        <f>KMeans_6_2!A13</f>
        <v/>
      </c>
      <c r="B13">
        <f>Scale_PCA_Mechanics!L13</f>
        <v/>
      </c>
      <c r="C13">
        <f>Scale_PCA_Mechanics!Z13</f>
        <v/>
      </c>
      <c r="D13">
        <f>KMeans_6_2!AA13</f>
        <v/>
      </c>
      <c r="F13">
        <f>IF($D13=1,$B13,NA())</f>
        <v/>
      </c>
      <c r="G13">
        <f>IF($D13=1,$C13,NA())</f>
        <v/>
      </c>
      <c r="H13">
        <f>IF($D13=2,$B13,NA())</f>
        <v/>
      </c>
      <c r="I13">
        <f>IF($D13=2,$C13,NA())</f>
        <v/>
      </c>
      <c r="J13">
        <f>IF($D13=3,$B13,NA())</f>
        <v/>
      </c>
      <c r="K13">
        <f>IF($D13=3,$C13,NA())</f>
        <v/>
      </c>
      <c r="T13" t="n">
        <v>10</v>
      </c>
      <c r="U13" t="n">
        <v>1.271680838126858</v>
      </c>
    </row>
    <row r="14">
      <c r="A14">
        <f>KMeans_6_2!A14</f>
        <v/>
      </c>
      <c r="B14">
        <f>Scale_PCA_Mechanics!L14</f>
        <v/>
      </c>
      <c r="C14">
        <f>Scale_PCA_Mechanics!Z14</f>
        <v/>
      </c>
      <c r="D14">
        <f>KMeans_6_2!AA14</f>
        <v/>
      </c>
      <c r="F14">
        <f>IF($D14=1,$B14,NA())</f>
        <v/>
      </c>
      <c r="G14">
        <f>IF($D14=1,$C14,NA())</f>
        <v/>
      </c>
      <c r="H14">
        <f>IF($D14=2,$B14,NA())</f>
        <v/>
      </c>
      <c r="I14">
        <f>IF($D14=2,$C14,NA())</f>
        <v/>
      </c>
      <c r="J14">
        <f>IF($D14=3,$B14,NA())</f>
        <v/>
      </c>
      <c r="K14">
        <f>IF($D14=3,$C14,NA())</f>
        <v/>
      </c>
      <c r="T14" t="n">
        <v>30</v>
      </c>
      <c r="U14" t="n">
        <v>1.271680838126858</v>
      </c>
    </row>
    <row r="15">
      <c r="A15">
        <f>KMeans_6_2!A15</f>
        <v/>
      </c>
      <c r="B15">
        <f>Scale_PCA_Mechanics!L15</f>
        <v/>
      </c>
      <c r="C15">
        <f>Scale_PCA_Mechanics!Z15</f>
        <v/>
      </c>
      <c r="D15">
        <f>KMeans_6_2!AA15</f>
        <v/>
      </c>
      <c r="F15">
        <f>IF($D15=1,$B15,NA())</f>
        <v/>
      </c>
      <c r="G15">
        <f>IF($D15=1,$C15,NA())</f>
        <v/>
      </c>
      <c r="H15">
        <f>IF($D15=2,$B15,NA())</f>
        <v/>
      </c>
      <c r="I15">
        <f>IF($D15=2,$C15,NA())</f>
        <v/>
      </c>
      <c r="J15">
        <f>IF($D15=3,$B15,NA())</f>
        <v/>
      </c>
      <c r="K15">
        <f>IF($D15=3,$C15,NA())</f>
        <v/>
      </c>
      <c r="T15" t="n">
        <v>30</v>
      </c>
      <c r="U15" t="n">
        <v>0.9824856816215278</v>
      </c>
    </row>
    <row r="16">
      <c r="A16">
        <f>KMeans_6_2!A16</f>
        <v/>
      </c>
      <c r="B16">
        <f>Scale_PCA_Mechanics!L16</f>
        <v/>
      </c>
      <c r="C16">
        <f>Scale_PCA_Mechanics!Z16</f>
        <v/>
      </c>
      <c r="D16">
        <f>KMeans_6_2!AA16</f>
        <v/>
      </c>
      <c r="F16">
        <f>IF($D16=1,$B16,NA())</f>
        <v/>
      </c>
      <c r="G16">
        <f>IF($D16=1,$C16,NA())</f>
        <v/>
      </c>
      <c r="H16">
        <f>IF($D16=2,$B16,NA())</f>
        <v/>
      </c>
      <c r="I16">
        <f>IF($D16=2,$C16,NA())</f>
        <v/>
      </c>
      <c r="J16">
        <f>IF($D16=3,$B16,NA())</f>
        <v/>
      </c>
      <c r="K16">
        <f>IF($D16=3,$C16,NA())</f>
        <v/>
      </c>
    </row>
    <row r="17">
      <c r="A17">
        <f>KMeans_6_2!A17</f>
        <v/>
      </c>
      <c r="B17">
        <f>Scale_PCA_Mechanics!L17</f>
        <v/>
      </c>
      <c r="C17">
        <f>Scale_PCA_Mechanics!Z17</f>
        <v/>
      </c>
      <c r="D17">
        <f>KMeans_6_2!AA17</f>
        <v/>
      </c>
      <c r="F17">
        <f>IF($D17=1,$B17,NA())</f>
        <v/>
      </c>
      <c r="G17">
        <f>IF($D17=1,$C17,NA())</f>
        <v/>
      </c>
      <c r="H17">
        <f>IF($D17=2,$B17,NA())</f>
        <v/>
      </c>
      <c r="I17">
        <f>IF($D17=2,$C17,NA())</f>
        <v/>
      </c>
      <c r="J17">
        <f>IF($D17=3,$B17,NA())</f>
        <v/>
      </c>
      <c r="K17">
        <f>IF($D17=3,$C17,NA())</f>
        <v/>
      </c>
      <c r="T17" t="n">
        <v>55</v>
      </c>
      <c r="U17" t="n">
        <v>0</v>
      </c>
    </row>
    <row r="18">
      <c r="A18">
        <f>KMeans_6_2!A18</f>
        <v/>
      </c>
      <c r="B18">
        <f>Scale_PCA_Mechanics!L18</f>
        <v/>
      </c>
      <c r="C18">
        <f>Scale_PCA_Mechanics!Z18</f>
        <v/>
      </c>
      <c r="D18">
        <f>KMeans_6_2!AA18</f>
        <v/>
      </c>
      <c r="F18">
        <f>IF($D18=1,$B18,NA())</f>
        <v/>
      </c>
      <c r="G18">
        <f>IF($D18=1,$C18,NA())</f>
        <v/>
      </c>
      <c r="H18">
        <f>IF($D18=2,$B18,NA())</f>
        <v/>
      </c>
      <c r="I18">
        <f>IF($D18=2,$C18,NA())</f>
        <v/>
      </c>
      <c r="J18">
        <f>IF($D18=3,$B18,NA())</f>
        <v/>
      </c>
      <c r="K18">
        <f>IF($D18=3,$C18,NA())</f>
        <v/>
      </c>
      <c r="T18" t="n">
        <v>55</v>
      </c>
      <c r="U18" t="n">
        <v>0.2058538571573481</v>
      </c>
    </row>
    <row r="19">
      <c r="A19">
        <f>KMeans_6_2!A19</f>
        <v/>
      </c>
      <c r="B19">
        <f>Scale_PCA_Mechanics!L19</f>
        <v/>
      </c>
      <c r="C19">
        <f>Scale_PCA_Mechanics!Z19</f>
        <v/>
      </c>
      <c r="D19">
        <f>KMeans_6_2!AA19</f>
        <v/>
      </c>
      <c r="F19">
        <f>IF($D19=1,$B19,NA())</f>
        <v/>
      </c>
      <c r="G19">
        <f>IF($D19=1,$C19,NA())</f>
        <v/>
      </c>
      <c r="H19">
        <f>IF($D19=2,$B19,NA())</f>
        <v/>
      </c>
      <c r="I19">
        <f>IF($D19=2,$C19,NA())</f>
        <v/>
      </c>
      <c r="J19">
        <f>IF($D19=3,$B19,NA())</f>
        <v/>
      </c>
      <c r="K19">
        <f>IF($D19=3,$C19,NA())</f>
        <v/>
      </c>
      <c r="T19" t="n">
        <v>65</v>
      </c>
      <c r="U19" t="n">
        <v>0.2058538571573481</v>
      </c>
    </row>
    <row r="20">
      <c r="A20">
        <f>KMeans_6_2!A20</f>
        <v/>
      </c>
      <c r="B20">
        <f>Scale_PCA_Mechanics!L20</f>
        <v/>
      </c>
      <c r="C20">
        <f>Scale_PCA_Mechanics!Z20</f>
        <v/>
      </c>
      <c r="D20">
        <f>KMeans_6_2!AA20</f>
        <v/>
      </c>
      <c r="F20">
        <f>IF($D20=1,$B20,NA())</f>
        <v/>
      </c>
      <c r="G20">
        <f>IF($D20=1,$C20,NA())</f>
        <v/>
      </c>
      <c r="H20">
        <f>IF($D20=2,$B20,NA())</f>
        <v/>
      </c>
      <c r="I20">
        <f>IF($D20=2,$C20,NA())</f>
        <v/>
      </c>
      <c r="J20">
        <f>IF($D20=3,$B20,NA())</f>
        <v/>
      </c>
      <c r="K20">
        <f>IF($D20=3,$C20,NA())</f>
        <v/>
      </c>
      <c r="T20" t="n">
        <v>65</v>
      </c>
      <c r="U20" t="n">
        <v>0</v>
      </c>
    </row>
    <row r="21">
      <c r="A21">
        <f>KMeans_6_2!A21</f>
        <v/>
      </c>
      <c r="B21">
        <f>Scale_PCA_Mechanics!L21</f>
        <v/>
      </c>
      <c r="C21">
        <f>Scale_PCA_Mechanics!Z21</f>
        <v/>
      </c>
      <c r="D21">
        <f>KMeans_6_2!AA21</f>
        <v/>
      </c>
      <c r="F21">
        <f>IF($D21=1,$B21,NA())</f>
        <v/>
      </c>
      <c r="G21">
        <f>IF($D21=1,$C21,NA())</f>
        <v/>
      </c>
      <c r="H21">
        <f>IF($D21=2,$B21,NA())</f>
        <v/>
      </c>
      <c r="I21">
        <f>IF($D21=2,$C21,NA())</f>
        <v/>
      </c>
      <c r="J21">
        <f>IF($D21=3,$B21,NA())</f>
        <v/>
      </c>
      <c r="K21">
        <f>IF($D21=3,$C21,NA())</f>
        <v/>
      </c>
    </row>
    <row r="22">
      <c r="A22">
        <f>KMeans_6_2!A22</f>
        <v/>
      </c>
      <c r="B22">
        <f>Scale_PCA_Mechanics!L22</f>
        <v/>
      </c>
      <c r="C22">
        <f>Scale_PCA_Mechanics!Z22</f>
        <v/>
      </c>
      <c r="D22">
        <f>KMeans_6_2!AA22</f>
        <v/>
      </c>
      <c r="F22">
        <f>IF($D22=1,$B22,NA())</f>
        <v/>
      </c>
      <c r="G22">
        <f>IF($D22=1,$C22,NA())</f>
        <v/>
      </c>
      <c r="H22">
        <f>IF($D22=2,$B22,NA())</f>
        <v/>
      </c>
      <c r="I22">
        <f>IF($D22=2,$C22,NA())</f>
        <v/>
      </c>
      <c r="J22">
        <f>IF($D22=3,$B22,NA())</f>
        <v/>
      </c>
      <c r="K22">
        <f>IF($D22=3,$C22,NA())</f>
        <v/>
      </c>
      <c r="T22" t="n">
        <v>45</v>
      </c>
      <c r="U22" t="n">
        <v>0</v>
      </c>
    </row>
    <row r="23">
      <c r="A23">
        <f>KMeans_6_2!A23</f>
        <v/>
      </c>
      <c r="B23">
        <f>Scale_PCA_Mechanics!L23</f>
        <v/>
      </c>
      <c r="C23">
        <f>Scale_PCA_Mechanics!Z23</f>
        <v/>
      </c>
      <c r="D23">
        <f>KMeans_6_2!AA23</f>
        <v/>
      </c>
      <c r="F23">
        <f>IF($D23=1,$B23,NA())</f>
        <v/>
      </c>
      <c r="G23">
        <f>IF($D23=1,$C23,NA())</f>
        <v/>
      </c>
      <c r="H23">
        <f>IF($D23=2,$B23,NA())</f>
        <v/>
      </c>
      <c r="I23">
        <f>IF($D23=2,$C23,NA())</f>
        <v/>
      </c>
      <c r="J23">
        <f>IF($D23=3,$B23,NA())</f>
        <v/>
      </c>
      <c r="K23">
        <f>IF($D23=3,$C23,NA())</f>
        <v/>
      </c>
      <c r="T23" t="n">
        <v>45</v>
      </c>
      <c r="U23" t="n">
        <v>0.6457157627725228</v>
      </c>
    </row>
    <row r="24">
      <c r="A24">
        <f>KMeans_6_2!A24</f>
        <v/>
      </c>
      <c r="B24">
        <f>Scale_PCA_Mechanics!L24</f>
        <v/>
      </c>
      <c r="C24">
        <f>Scale_PCA_Mechanics!Z24</f>
        <v/>
      </c>
      <c r="D24">
        <f>KMeans_6_2!AA24</f>
        <v/>
      </c>
      <c r="F24">
        <f>IF($D24=1,$B24,NA())</f>
        <v/>
      </c>
      <c r="G24">
        <f>IF($D24=1,$C24,NA())</f>
        <v/>
      </c>
      <c r="H24">
        <f>IF($D24=2,$B24,NA())</f>
        <v/>
      </c>
      <c r="I24">
        <f>IF($D24=2,$C24,NA())</f>
        <v/>
      </c>
      <c r="J24">
        <f>IF($D24=3,$B24,NA())</f>
        <v/>
      </c>
      <c r="K24">
        <f>IF($D24=3,$C24,NA())</f>
        <v/>
      </c>
      <c r="T24" t="n">
        <v>60</v>
      </c>
      <c r="U24" t="n">
        <v>0.6457157627725228</v>
      </c>
    </row>
    <row r="25">
      <c r="A25">
        <f>KMeans_6_2!A25</f>
        <v/>
      </c>
      <c r="B25">
        <f>Scale_PCA_Mechanics!L25</f>
        <v/>
      </c>
      <c r="C25">
        <f>Scale_PCA_Mechanics!Z25</f>
        <v/>
      </c>
      <c r="D25">
        <f>KMeans_6_2!AA25</f>
        <v/>
      </c>
      <c r="F25">
        <f>IF($D25=1,$B25,NA())</f>
        <v/>
      </c>
      <c r="G25">
        <f>IF($D25=1,$C25,NA())</f>
        <v/>
      </c>
      <c r="H25">
        <f>IF($D25=2,$B25,NA())</f>
        <v/>
      </c>
      <c r="I25">
        <f>IF($D25=2,$C25,NA())</f>
        <v/>
      </c>
      <c r="J25">
        <f>IF($D25=3,$B25,NA())</f>
        <v/>
      </c>
      <c r="K25">
        <f>IF($D25=3,$C25,NA())</f>
        <v/>
      </c>
      <c r="T25" t="n">
        <v>60</v>
      </c>
      <c r="U25" t="n">
        <v>0.2058538571573481</v>
      </c>
    </row>
    <row r="26">
      <c r="A26">
        <f>KMeans_6_2!A26</f>
        <v/>
      </c>
      <c r="B26">
        <f>Scale_PCA_Mechanics!L26</f>
        <v/>
      </c>
      <c r="C26">
        <f>Scale_PCA_Mechanics!Z26</f>
        <v/>
      </c>
      <c r="D26">
        <f>KMeans_6_2!AA26</f>
        <v/>
      </c>
      <c r="F26">
        <f>IF($D26=1,$B26,NA())</f>
        <v/>
      </c>
      <c r="G26">
        <f>IF($D26=1,$C26,NA())</f>
        <v/>
      </c>
      <c r="H26">
        <f>IF($D26=2,$B26,NA())</f>
        <v/>
      </c>
      <c r="I26">
        <f>IF($D26=2,$C26,NA())</f>
        <v/>
      </c>
      <c r="J26">
        <f>IF($D26=3,$B26,NA())</f>
        <v/>
      </c>
      <c r="K26">
        <f>IF($D26=3,$C26,NA())</f>
        <v/>
      </c>
    </row>
    <row r="27">
      <c r="A27">
        <f>KMeans_6_2!A27</f>
        <v/>
      </c>
      <c r="B27">
        <f>Scale_PCA_Mechanics!L27</f>
        <v/>
      </c>
      <c r="C27">
        <f>Scale_PCA_Mechanics!Z27</f>
        <v/>
      </c>
      <c r="D27">
        <f>KMeans_6_2!AA27</f>
        <v/>
      </c>
      <c r="F27">
        <f>IF($D27=1,$B27,NA())</f>
        <v/>
      </c>
      <c r="G27">
        <f>IF($D27=1,$C27,NA())</f>
        <v/>
      </c>
      <c r="H27">
        <f>IF($D27=2,$B27,NA())</f>
        <v/>
      </c>
      <c r="I27">
        <f>IF($D27=2,$C27,NA())</f>
        <v/>
      </c>
      <c r="J27">
        <f>IF($D27=3,$B27,NA())</f>
        <v/>
      </c>
      <c r="K27">
        <f>IF($D27=3,$C27,NA())</f>
        <v/>
      </c>
      <c r="T27" t="n">
        <v>85</v>
      </c>
      <c r="U27" t="n">
        <v>0</v>
      </c>
    </row>
    <row r="28">
      <c r="A28">
        <f>KMeans_6_2!A28</f>
        <v/>
      </c>
      <c r="B28">
        <f>Scale_PCA_Mechanics!L28</f>
        <v/>
      </c>
      <c r="C28">
        <f>Scale_PCA_Mechanics!Z28</f>
        <v/>
      </c>
      <c r="D28">
        <f>KMeans_6_2!AA28</f>
        <v/>
      </c>
      <c r="F28">
        <f>IF($D28=1,$B28,NA())</f>
        <v/>
      </c>
      <c r="G28">
        <f>IF($D28=1,$C28,NA())</f>
        <v/>
      </c>
      <c r="H28">
        <f>IF($D28=2,$B28,NA())</f>
        <v/>
      </c>
      <c r="I28">
        <f>IF($D28=2,$C28,NA())</f>
        <v/>
      </c>
      <c r="J28">
        <f>IF($D28=3,$B28,NA())</f>
        <v/>
      </c>
      <c r="K28">
        <f>IF($D28=3,$C28,NA())</f>
        <v/>
      </c>
      <c r="T28" t="n">
        <v>85</v>
      </c>
      <c r="U28" t="n">
        <v>0.7389935888687985</v>
      </c>
    </row>
    <row r="29">
      <c r="A29">
        <f>KMeans_6_2!A29</f>
        <v/>
      </c>
      <c r="B29">
        <f>Scale_PCA_Mechanics!L29</f>
        <v/>
      </c>
      <c r="C29">
        <f>Scale_PCA_Mechanics!Z29</f>
        <v/>
      </c>
      <c r="D29">
        <f>KMeans_6_2!AA29</f>
        <v/>
      </c>
      <c r="F29">
        <f>IF($D29=1,$B29,NA())</f>
        <v/>
      </c>
      <c r="G29">
        <f>IF($D29=1,$C29,NA())</f>
        <v/>
      </c>
      <c r="H29">
        <f>IF($D29=2,$B29,NA())</f>
        <v/>
      </c>
      <c r="I29">
        <f>IF($D29=2,$C29,NA())</f>
        <v/>
      </c>
      <c r="J29">
        <f>IF($D29=3,$B29,NA())</f>
        <v/>
      </c>
      <c r="K29">
        <f>IF($D29=3,$C29,NA())</f>
        <v/>
      </c>
      <c r="T29" t="n">
        <v>95</v>
      </c>
      <c r="U29" t="n">
        <v>0.7389935888687985</v>
      </c>
    </row>
    <row r="30">
      <c r="A30">
        <f>KMeans_6_2!A30</f>
        <v/>
      </c>
      <c r="B30">
        <f>Scale_PCA_Mechanics!L30</f>
        <v/>
      </c>
      <c r="C30">
        <f>Scale_PCA_Mechanics!Z30</f>
        <v/>
      </c>
      <c r="D30">
        <f>KMeans_6_2!AA30</f>
        <v/>
      </c>
      <c r="F30">
        <f>IF($D30=1,$B30,NA())</f>
        <v/>
      </c>
      <c r="G30">
        <f>IF($D30=1,$C30,NA())</f>
        <v/>
      </c>
      <c r="H30">
        <f>IF($D30=2,$B30,NA())</f>
        <v/>
      </c>
      <c r="I30">
        <f>IF($D30=2,$C30,NA())</f>
        <v/>
      </c>
      <c r="J30">
        <f>IF($D30=3,$B30,NA())</f>
        <v/>
      </c>
      <c r="K30">
        <f>IF($D30=3,$C30,NA())</f>
        <v/>
      </c>
      <c r="T30" t="n">
        <v>95</v>
      </c>
      <c r="U30" t="n">
        <v>0</v>
      </c>
    </row>
    <row r="31">
      <c r="A31">
        <f>KMeans_6_2!A31</f>
        <v/>
      </c>
      <c r="B31">
        <f>Scale_PCA_Mechanics!L31</f>
        <v/>
      </c>
      <c r="C31">
        <f>Scale_PCA_Mechanics!Z31</f>
        <v/>
      </c>
      <c r="D31">
        <f>KMeans_6_2!AA31</f>
        <v/>
      </c>
      <c r="F31">
        <f>IF($D31=1,$B31,NA())</f>
        <v/>
      </c>
      <c r="G31">
        <f>IF($D31=1,$C31,NA())</f>
        <v/>
      </c>
      <c r="H31">
        <f>IF($D31=2,$B31,NA())</f>
        <v/>
      </c>
      <c r="I31">
        <f>IF($D31=2,$C31,NA())</f>
        <v/>
      </c>
      <c r="J31">
        <f>IF($D31=3,$B31,NA())</f>
        <v/>
      </c>
      <c r="K31">
        <f>IF($D31=3,$C31,NA())</f>
        <v/>
      </c>
    </row>
    <row r="32">
      <c r="A32">
        <f>KMeans_6_2!A32</f>
        <v/>
      </c>
      <c r="B32">
        <f>Scale_PCA_Mechanics!L32</f>
        <v/>
      </c>
      <c r="C32">
        <f>Scale_PCA_Mechanics!Z32</f>
        <v/>
      </c>
      <c r="D32">
        <f>KMeans_6_2!AA32</f>
        <v/>
      </c>
      <c r="F32">
        <f>IF($D32=1,$B32,NA())</f>
        <v/>
      </c>
      <c r="G32">
        <f>IF($D32=1,$C32,NA())</f>
        <v/>
      </c>
      <c r="H32">
        <f>IF($D32=2,$B32,NA())</f>
        <v/>
      </c>
      <c r="I32">
        <f>IF($D32=2,$C32,NA())</f>
        <v/>
      </c>
      <c r="J32">
        <f>IF($D32=3,$B32,NA())</f>
        <v/>
      </c>
      <c r="K32">
        <f>IF($D32=3,$C32,NA())</f>
        <v/>
      </c>
      <c r="T32" t="n">
        <v>75</v>
      </c>
      <c r="U32" t="n">
        <v>0</v>
      </c>
    </row>
    <row r="33">
      <c r="A33">
        <f>KMeans_6_2!A33</f>
        <v/>
      </c>
      <c r="B33">
        <f>Scale_PCA_Mechanics!L33</f>
        <v/>
      </c>
      <c r="C33">
        <f>Scale_PCA_Mechanics!Z33</f>
        <v/>
      </c>
      <c r="D33">
        <f>KMeans_6_2!AA33</f>
        <v/>
      </c>
      <c r="F33">
        <f>IF($D33=1,$B33,NA())</f>
        <v/>
      </c>
      <c r="G33">
        <f>IF($D33=1,$C33,NA())</f>
        <v/>
      </c>
      <c r="H33">
        <f>IF($D33=2,$B33,NA())</f>
        <v/>
      </c>
      <c r="I33">
        <f>IF($D33=2,$C33,NA())</f>
        <v/>
      </c>
      <c r="J33">
        <f>IF($D33=3,$B33,NA())</f>
        <v/>
      </c>
      <c r="K33">
        <f>IF($D33=3,$C33,NA())</f>
        <v/>
      </c>
      <c r="T33" t="n">
        <v>75</v>
      </c>
      <c r="U33" t="n">
        <v>0.8286936227065674</v>
      </c>
    </row>
    <row r="34">
      <c r="A34">
        <f>KMeans_6_2!A34</f>
        <v/>
      </c>
      <c r="B34">
        <f>Scale_PCA_Mechanics!L34</f>
        <v/>
      </c>
      <c r="C34">
        <f>Scale_PCA_Mechanics!Z34</f>
        <v/>
      </c>
      <c r="D34">
        <f>KMeans_6_2!AA34</f>
        <v/>
      </c>
      <c r="F34">
        <f>IF($D34=1,$B34,NA())</f>
        <v/>
      </c>
      <c r="G34">
        <f>IF($D34=1,$C34,NA())</f>
        <v/>
      </c>
      <c r="H34">
        <f>IF($D34=2,$B34,NA())</f>
        <v/>
      </c>
      <c r="I34">
        <f>IF($D34=2,$C34,NA())</f>
        <v/>
      </c>
      <c r="J34">
        <f>IF($D34=3,$B34,NA())</f>
        <v/>
      </c>
      <c r="K34">
        <f>IF($D34=3,$C34,NA())</f>
        <v/>
      </c>
      <c r="T34" t="n">
        <v>90</v>
      </c>
      <c r="U34" t="n">
        <v>0.8286936227065674</v>
      </c>
    </row>
    <row r="35">
      <c r="A35">
        <f>KMeans_6_2!A35</f>
        <v/>
      </c>
      <c r="B35">
        <f>Scale_PCA_Mechanics!L35</f>
        <v/>
      </c>
      <c r="C35">
        <f>Scale_PCA_Mechanics!Z35</f>
        <v/>
      </c>
      <c r="D35">
        <f>KMeans_6_2!AA35</f>
        <v/>
      </c>
      <c r="F35">
        <f>IF($D35=1,$B35,NA())</f>
        <v/>
      </c>
      <c r="G35">
        <f>IF($D35=1,$C35,NA())</f>
        <v/>
      </c>
      <c r="H35">
        <f>IF($D35=2,$B35,NA())</f>
        <v/>
      </c>
      <c r="I35">
        <f>IF($D35=2,$C35,NA())</f>
        <v/>
      </c>
      <c r="J35">
        <f>IF($D35=3,$B35,NA())</f>
        <v/>
      </c>
      <c r="K35">
        <f>IF($D35=3,$C35,NA())</f>
        <v/>
      </c>
      <c r="T35" t="n">
        <v>90</v>
      </c>
      <c r="U35" t="n">
        <v>0.7389935888687985</v>
      </c>
    </row>
    <row r="36">
      <c r="A36">
        <f>KMeans_6_2!A36</f>
        <v/>
      </c>
      <c r="B36">
        <f>Scale_PCA_Mechanics!L36</f>
        <v/>
      </c>
      <c r="C36">
        <f>Scale_PCA_Mechanics!Z36</f>
        <v/>
      </c>
      <c r="D36">
        <f>KMeans_6_2!AA36</f>
        <v/>
      </c>
      <c r="F36">
        <f>IF($D36=1,$B36,NA())</f>
        <v/>
      </c>
      <c r="G36">
        <f>IF($D36=1,$C36,NA())</f>
        <v/>
      </c>
      <c r="H36">
        <f>IF($D36=2,$B36,NA())</f>
        <v/>
      </c>
      <c r="I36">
        <f>IF($D36=2,$C36,NA())</f>
        <v/>
      </c>
      <c r="J36">
        <f>IF($D36=3,$B36,NA())</f>
        <v/>
      </c>
      <c r="K36">
        <f>IF($D36=3,$C36,NA())</f>
        <v/>
      </c>
    </row>
    <row r="37">
      <c r="A37">
        <f>KMeans_6_2!A37</f>
        <v/>
      </c>
      <c r="B37">
        <f>Scale_PCA_Mechanics!L37</f>
        <v/>
      </c>
      <c r="C37">
        <f>Scale_PCA_Mechanics!Z37</f>
        <v/>
      </c>
      <c r="D37">
        <f>KMeans_6_2!AA37</f>
        <v/>
      </c>
      <c r="F37">
        <f>IF($D37=1,$B37,NA())</f>
        <v/>
      </c>
      <c r="G37">
        <f>IF($D37=1,$C37,NA())</f>
        <v/>
      </c>
      <c r="H37">
        <f>IF($D37=2,$B37,NA())</f>
        <v/>
      </c>
      <c r="I37">
        <f>IF($D37=2,$C37,NA())</f>
        <v/>
      </c>
      <c r="J37">
        <f>IF($D37=3,$B37,NA())</f>
        <v/>
      </c>
      <c r="K37">
        <f>IF($D37=3,$C37,NA())</f>
        <v/>
      </c>
      <c r="T37" t="n">
        <v>52.5</v>
      </c>
      <c r="U37" t="n">
        <v>0.6457157627725228</v>
      </c>
    </row>
    <row r="38">
      <c r="A38">
        <f>KMeans_6_2!A38</f>
        <v/>
      </c>
      <c r="B38">
        <f>Scale_PCA_Mechanics!L38</f>
        <v/>
      </c>
      <c r="C38">
        <f>Scale_PCA_Mechanics!Z38</f>
        <v/>
      </c>
      <c r="D38">
        <f>KMeans_6_2!AA38</f>
        <v/>
      </c>
      <c r="F38">
        <f>IF($D38=1,$B38,NA())</f>
        <v/>
      </c>
      <c r="G38">
        <f>IF($D38=1,$C38,NA())</f>
        <v/>
      </c>
      <c r="H38">
        <f>IF($D38=2,$B38,NA())</f>
        <v/>
      </c>
      <c r="I38">
        <f>IF($D38=2,$C38,NA())</f>
        <v/>
      </c>
      <c r="J38">
        <f>IF($D38=3,$B38,NA())</f>
        <v/>
      </c>
      <c r="K38">
        <f>IF($D38=3,$C38,NA())</f>
        <v/>
      </c>
      <c r="T38" t="n">
        <v>52.5</v>
      </c>
      <c r="U38" t="n">
        <v>1.33295040067908</v>
      </c>
    </row>
    <row r="39">
      <c r="A39">
        <f>KMeans_6_2!A39</f>
        <v/>
      </c>
      <c r="B39">
        <f>Scale_PCA_Mechanics!L39</f>
        <v/>
      </c>
      <c r="C39">
        <f>Scale_PCA_Mechanics!Z39</f>
        <v/>
      </c>
      <c r="D39">
        <f>KMeans_6_2!AA39</f>
        <v/>
      </c>
      <c r="F39">
        <f>IF($D39=1,$B39,NA())</f>
        <v/>
      </c>
      <c r="G39">
        <f>IF($D39=1,$C39,NA())</f>
        <v/>
      </c>
      <c r="H39">
        <f>IF($D39=2,$B39,NA())</f>
        <v/>
      </c>
      <c r="I39">
        <f>IF($D39=2,$C39,NA())</f>
        <v/>
      </c>
      <c r="J39">
        <f>IF($D39=3,$B39,NA())</f>
        <v/>
      </c>
      <c r="K39">
        <f>IF($D39=3,$C39,NA())</f>
        <v/>
      </c>
      <c r="T39" t="n">
        <v>82.5</v>
      </c>
      <c r="U39" t="n">
        <v>1.33295040067908</v>
      </c>
    </row>
    <row r="40">
      <c r="A40">
        <f>KMeans_6_2!A40</f>
        <v/>
      </c>
      <c r="B40">
        <f>Scale_PCA_Mechanics!L40</f>
        <v/>
      </c>
      <c r="C40">
        <f>Scale_PCA_Mechanics!Z40</f>
        <v/>
      </c>
      <c r="D40">
        <f>KMeans_6_2!AA40</f>
        <v/>
      </c>
      <c r="F40">
        <f>IF($D40=1,$B40,NA())</f>
        <v/>
      </c>
      <c r="G40">
        <f>IF($D40=1,$C40,NA())</f>
        <v/>
      </c>
      <c r="H40">
        <f>IF($D40=2,$B40,NA())</f>
        <v/>
      </c>
      <c r="I40">
        <f>IF($D40=2,$C40,NA())</f>
        <v/>
      </c>
      <c r="J40">
        <f>IF($D40=3,$B40,NA())</f>
        <v/>
      </c>
      <c r="K40">
        <f>IF($D40=3,$C40,NA())</f>
        <v/>
      </c>
      <c r="T40" t="n">
        <v>82.5</v>
      </c>
      <c r="U40" t="n">
        <v>0.8286936227065674</v>
      </c>
    </row>
    <row r="41">
      <c r="A41">
        <f>KMeans_6_2!A41</f>
        <v/>
      </c>
      <c r="B41">
        <f>Scale_PCA_Mechanics!L41</f>
        <v/>
      </c>
      <c r="C41">
        <f>Scale_PCA_Mechanics!Z41</f>
        <v/>
      </c>
      <c r="D41">
        <f>KMeans_6_2!AA41</f>
        <v/>
      </c>
      <c r="F41">
        <f>IF($D41=1,$B41,NA())</f>
        <v/>
      </c>
      <c r="G41">
        <f>IF($D41=1,$C41,NA())</f>
        <v/>
      </c>
      <c r="H41">
        <f>IF($D41=2,$B41,NA())</f>
        <v/>
      </c>
      <c r="I41">
        <f>IF($D41=2,$C41,NA())</f>
        <v/>
      </c>
      <c r="J41">
        <f>IF($D41=3,$B41,NA())</f>
        <v/>
      </c>
      <c r="K41">
        <f>IF($D41=3,$C41,NA())</f>
        <v/>
      </c>
    </row>
    <row r="42">
      <c r="A42">
        <f>KMeans_6_2!A42</f>
        <v/>
      </c>
      <c r="B42">
        <f>Scale_PCA_Mechanics!L42</f>
        <v/>
      </c>
      <c r="C42">
        <f>Scale_PCA_Mechanics!Z42</f>
        <v/>
      </c>
      <c r="D42">
        <f>KMeans_6_2!AA42</f>
        <v/>
      </c>
      <c r="F42">
        <f>IF($D42=1,$B42,NA())</f>
        <v/>
      </c>
      <c r="G42">
        <f>IF($D42=1,$C42,NA())</f>
        <v/>
      </c>
      <c r="H42">
        <f>IF($D42=2,$B42,NA())</f>
        <v/>
      </c>
      <c r="I42">
        <f>IF($D42=2,$C42,NA())</f>
        <v/>
      </c>
      <c r="J42">
        <f>IF($D42=3,$B42,NA())</f>
        <v/>
      </c>
      <c r="K42">
        <f>IF($D42=3,$C42,NA())</f>
        <v/>
      </c>
      <c r="T42" t="n">
        <v>20</v>
      </c>
      <c r="U42" t="n">
        <v>1.271680838126858</v>
      </c>
    </row>
    <row r="43">
      <c r="A43">
        <f>KMeans_6_2!A43</f>
        <v/>
      </c>
      <c r="B43">
        <f>Scale_PCA_Mechanics!L43</f>
        <v/>
      </c>
      <c r="C43">
        <f>Scale_PCA_Mechanics!Z43</f>
        <v/>
      </c>
      <c r="D43">
        <f>KMeans_6_2!AA43</f>
        <v/>
      </c>
      <c r="F43">
        <f>IF($D43=1,$B43,NA())</f>
        <v/>
      </c>
      <c r="G43">
        <f>IF($D43=1,$C43,NA())</f>
        <v/>
      </c>
      <c r="H43">
        <f>IF($D43=2,$B43,NA())</f>
        <v/>
      </c>
      <c r="I43">
        <f>IF($D43=2,$C43,NA())</f>
        <v/>
      </c>
      <c r="J43">
        <f>IF($D43=3,$B43,NA())</f>
        <v/>
      </c>
      <c r="K43">
        <f>IF($D43=3,$C43,NA())</f>
        <v/>
      </c>
      <c r="T43" t="n">
        <v>20</v>
      </c>
      <c r="U43" t="n">
        <v>2.295228696908415</v>
      </c>
    </row>
    <row r="44">
      <c r="A44">
        <f>KMeans_6_2!A44</f>
        <v/>
      </c>
      <c r="B44">
        <f>Scale_PCA_Mechanics!L44</f>
        <v/>
      </c>
      <c r="C44">
        <f>Scale_PCA_Mechanics!Z44</f>
        <v/>
      </c>
      <c r="D44">
        <f>KMeans_6_2!AA44</f>
        <v/>
      </c>
      <c r="F44">
        <f>IF($D44=1,$B44,NA())</f>
        <v/>
      </c>
      <c r="G44">
        <f>IF($D44=1,$C44,NA())</f>
        <v/>
      </c>
      <c r="H44">
        <f>IF($D44=2,$B44,NA())</f>
        <v/>
      </c>
      <c r="I44">
        <f>IF($D44=2,$C44,NA())</f>
        <v/>
      </c>
      <c r="J44">
        <f>IF($D44=3,$B44,NA())</f>
        <v/>
      </c>
      <c r="K44">
        <f>IF($D44=3,$C44,NA())</f>
        <v/>
      </c>
      <c r="T44" t="n">
        <v>67.5</v>
      </c>
      <c r="U44" t="n">
        <v>2.295228696908415</v>
      </c>
    </row>
    <row r="45">
      <c r="A45">
        <f>KMeans_6_2!A45</f>
        <v/>
      </c>
      <c r="B45">
        <f>Scale_PCA_Mechanics!L45</f>
        <v/>
      </c>
      <c r="C45">
        <f>Scale_PCA_Mechanics!Z45</f>
        <v/>
      </c>
      <c r="D45">
        <f>KMeans_6_2!AA45</f>
        <v/>
      </c>
      <c r="F45">
        <f>IF($D45=1,$B45,NA())</f>
        <v/>
      </c>
      <c r="G45">
        <f>IF($D45=1,$C45,NA())</f>
        <v/>
      </c>
      <c r="H45">
        <f>IF($D45=2,$B45,NA())</f>
        <v/>
      </c>
      <c r="I45">
        <f>IF($D45=2,$C45,NA())</f>
        <v/>
      </c>
      <c r="J45">
        <f>IF($D45=3,$B45,NA())</f>
        <v/>
      </c>
      <c r="K45">
        <f>IF($D45=3,$C45,NA())</f>
        <v/>
      </c>
      <c r="T45" t="n">
        <v>67.5</v>
      </c>
      <c r="U45" t="n">
        <v>1.33295040067908</v>
      </c>
    </row>
    <row r="46">
      <c r="A46">
        <f>KMeans_6_2!A46</f>
        <v/>
      </c>
      <c r="B46">
        <f>Scale_PCA_Mechanics!L46</f>
        <v/>
      </c>
      <c r="C46">
        <f>Scale_PCA_Mechanics!Z46</f>
        <v/>
      </c>
      <c r="D46">
        <f>KMeans_6_2!AA46</f>
        <v/>
      </c>
      <c r="F46">
        <f>IF($D46=1,$B46,NA())</f>
        <v/>
      </c>
      <c r="G46">
        <f>IF($D46=1,$C46,NA())</f>
        <v/>
      </c>
      <c r="H46">
        <f>IF($D46=2,$B46,NA())</f>
        <v/>
      </c>
      <c r="I46">
        <f>IF($D46=2,$C46,NA())</f>
        <v/>
      </c>
      <c r="J46">
        <f>IF($D46=3,$B46,NA())</f>
        <v/>
      </c>
      <c r="K46">
        <f>IF($D46=3,$C46,NA())</f>
        <v/>
      </c>
    </row>
    <row r="47">
      <c r="A47">
        <f>KMeans_6_2!A47</f>
        <v/>
      </c>
      <c r="B47">
        <f>Scale_PCA_Mechanics!L47</f>
        <v/>
      </c>
      <c r="C47">
        <f>Scale_PCA_Mechanics!Z47</f>
        <v/>
      </c>
      <c r="D47">
        <f>KMeans_6_2!AA47</f>
        <v/>
      </c>
      <c r="F47">
        <f>IF($D47=1,$B47,NA())</f>
        <v/>
      </c>
      <c r="G47">
        <f>IF($D47=1,$C47,NA())</f>
        <v/>
      </c>
      <c r="H47">
        <f>IF($D47=2,$B47,NA())</f>
        <v/>
      </c>
      <c r="I47">
        <f>IF($D47=2,$C47,NA())</f>
        <v/>
      </c>
      <c r="J47">
        <f>IF($D47=3,$B47,NA())</f>
        <v/>
      </c>
      <c r="K47">
        <f>IF($D47=3,$C47,NA())</f>
        <v/>
      </c>
      <c r="T47" t="n">
        <v>125</v>
      </c>
      <c r="U47" t="n">
        <v>0</v>
      </c>
    </row>
    <row r="48">
      <c r="A48">
        <f>KMeans_6_2!A48</f>
        <v/>
      </c>
      <c r="B48">
        <f>Scale_PCA_Mechanics!L48</f>
        <v/>
      </c>
      <c r="C48">
        <f>Scale_PCA_Mechanics!Z48</f>
        <v/>
      </c>
      <c r="D48">
        <f>KMeans_6_2!AA48</f>
        <v/>
      </c>
      <c r="F48">
        <f>IF($D48=1,$B48,NA())</f>
        <v/>
      </c>
      <c r="G48">
        <f>IF($D48=1,$C48,NA())</f>
        <v/>
      </c>
      <c r="H48">
        <f>IF($D48=2,$B48,NA())</f>
        <v/>
      </c>
      <c r="I48">
        <f>IF($D48=2,$C48,NA())</f>
        <v/>
      </c>
      <c r="J48">
        <f>IF($D48=3,$B48,NA())</f>
        <v/>
      </c>
      <c r="K48">
        <f>IF($D48=3,$C48,NA())</f>
        <v/>
      </c>
      <c r="T48" t="n">
        <v>125</v>
      </c>
      <c r="U48" t="n">
        <v>0.7038309081724131</v>
      </c>
    </row>
    <row r="49">
      <c r="A49">
        <f>KMeans_6_2!A49</f>
        <v/>
      </c>
      <c r="B49">
        <f>Scale_PCA_Mechanics!L49</f>
        <v/>
      </c>
      <c r="C49">
        <f>Scale_PCA_Mechanics!Z49</f>
        <v/>
      </c>
      <c r="D49">
        <f>KMeans_6_2!AA49</f>
        <v/>
      </c>
      <c r="F49">
        <f>IF($D49=1,$B49,NA())</f>
        <v/>
      </c>
      <c r="G49">
        <f>IF($D49=1,$C49,NA())</f>
        <v/>
      </c>
      <c r="H49">
        <f>IF($D49=2,$B49,NA())</f>
        <v/>
      </c>
      <c r="I49">
        <f>IF($D49=2,$C49,NA())</f>
        <v/>
      </c>
      <c r="J49">
        <f>IF($D49=3,$B49,NA())</f>
        <v/>
      </c>
      <c r="K49">
        <f>IF($D49=3,$C49,NA())</f>
        <v/>
      </c>
      <c r="T49" t="n">
        <v>135</v>
      </c>
      <c r="U49" t="n">
        <v>0.7038309081724131</v>
      </c>
    </row>
    <row r="50">
      <c r="A50">
        <f>KMeans_6_2!A50</f>
        <v/>
      </c>
      <c r="B50">
        <f>Scale_PCA_Mechanics!L50</f>
        <v/>
      </c>
      <c r="C50">
        <f>Scale_PCA_Mechanics!Z50</f>
        <v/>
      </c>
      <c r="D50">
        <f>KMeans_6_2!AA50</f>
        <v/>
      </c>
      <c r="F50">
        <f>IF($D50=1,$B50,NA())</f>
        <v/>
      </c>
      <c r="G50">
        <f>IF($D50=1,$C50,NA())</f>
        <v/>
      </c>
      <c r="H50">
        <f>IF($D50=2,$B50,NA())</f>
        <v/>
      </c>
      <c r="I50">
        <f>IF($D50=2,$C50,NA())</f>
        <v/>
      </c>
      <c r="J50">
        <f>IF($D50=3,$B50,NA())</f>
        <v/>
      </c>
      <c r="K50">
        <f>IF($D50=3,$C50,NA())</f>
        <v/>
      </c>
      <c r="T50" t="n">
        <v>135</v>
      </c>
      <c r="U50" t="n">
        <v>0</v>
      </c>
    </row>
    <row r="51">
      <c r="A51">
        <f>KMeans_6_2!A51</f>
        <v/>
      </c>
      <c r="B51">
        <f>Scale_PCA_Mechanics!L51</f>
        <v/>
      </c>
      <c r="C51">
        <f>Scale_PCA_Mechanics!Z51</f>
        <v/>
      </c>
      <c r="D51">
        <f>KMeans_6_2!AA51</f>
        <v/>
      </c>
      <c r="F51">
        <f>IF($D51=1,$B51,NA())</f>
        <v/>
      </c>
      <c r="G51">
        <f>IF($D51=1,$C51,NA())</f>
        <v/>
      </c>
      <c r="H51">
        <f>IF($D51=2,$B51,NA())</f>
        <v/>
      </c>
      <c r="I51">
        <f>IF($D51=2,$C51,NA())</f>
        <v/>
      </c>
      <c r="J51">
        <f>IF($D51=3,$B51,NA())</f>
        <v/>
      </c>
      <c r="K51">
        <f>IF($D51=3,$C51,NA())</f>
        <v/>
      </c>
    </row>
    <row r="52">
      <c r="T52" t="n">
        <v>115</v>
      </c>
      <c r="U52" t="n">
        <v>0</v>
      </c>
    </row>
    <row r="53">
      <c r="T53" t="n">
        <v>115</v>
      </c>
      <c r="U53" t="n">
        <v>0.997103491446316</v>
      </c>
    </row>
    <row r="54">
      <c r="T54" t="n">
        <v>130</v>
      </c>
      <c r="U54" t="n">
        <v>0.997103491446316</v>
      </c>
    </row>
    <row r="55">
      <c r="T55" t="n">
        <v>130</v>
      </c>
      <c r="U55" t="n">
        <v>0.7038309081724131</v>
      </c>
    </row>
    <row r="57">
      <c r="T57" t="n">
        <v>105</v>
      </c>
      <c r="U57" t="n">
        <v>0</v>
      </c>
    </row>
    <row r="58">
      <c r="T58" t="n">
        <v>105</v>
      </c>
      <c r="U58" t="n">
        <v>1.091862400417207</v>
      </c>
    </row>
    <row r="59">
      <c r="T59" t="n">
        <v>122.5</v>
      </c>
      <c r="U59" t="n">
        <v>1.091862400417207</v>
      </c>
    </row>
    <row r="60">
      <c r="T60" t="n">
        <v>122.5</v>
      </c>
      <c r="U60" t="n">
        <v>0.997103491446316</v>
      </c>
    </row>
    <row r="62">
      <c r="T62" t="n">
        <v>155</v>
      </c>
      <c r="U62" t="n">
        <v>0</v>
      </c>
    </row>
    <row r="63">
      <c r="T63" t="n">
        <v>155</v>
      </c>
      <c r="U63" t="n">
        <v>0.5935343426469891</v>
      </c>
    </row>
    <row r="64">
      <c r="T64" t="n">
        <v>165</v>
      </c>
      <c r="U64" t="n">
        <v>0.5935343426469891</v>
      </c>
    </row>
    <row r="65">
      <c r="T65" t="n">
        <v>165</v>
      </c>
      <c r="U65" t="n">
        <v>0</v>
      </c>
    </row>
    <row r="67">
      <c r="T67" t="n">
        <v>145</v>
      </c>
      <c r="U67" t="n">
        <v>0</v>
      </c>
    </row>
    <row r="68">
      <c r="T68" t="n">
        <v>145</v>
      </c>
      <c r="U68" t="n">
        <v>1.250275234995012</v>
      </c>
    </row>
    <row r="69">
      <c r="T69" t="n">
        <v>160</v>
      </c>
      <c r="U69" t="n">
        <v>1.250275234995012</v>
      </c>
    </row>
    <row r="70">
      <c r="T70" t="n">
        <v>160</v>
      </c>
      <c r="U70" t="n">
        <v>0.5935343426469891</v>
      </c>
    </row>
    <row r="72">
      <c r="T72" t="n">
        <v>113.75</v>
      </c>
      <c r="U72" t="n">
        <v>1.091862400417207</v>
      </c>
    </row>
    <row r="73">
      <c r="T73" t="n">
        <v>113.75</v>
      </c>
      <c r="U73" t="n">
        <v>2.263024213047869</v>
      </c>
    </row>
    <row r="74">
      <c r="T74" t="n">
        <v>152.5</v>
      </c>
      <c r="U74" t="n">
        <v>2.263024213047869</v>
      </c>
    </row>
    <row r="75">
      <c r="T75" t="n">
        <v>152.5</v>
      </c>
      <c r="U75" t="n">
        <v>1.250275234995012</v>
      </c>
    </row>
    <row r="77">
      <c r="T77" t="n">
        <v>195</v>
      </c>
      <c r="U77" t="n">
        <v>0</v>
      </c>
    </row>
    <row r="78">
      <c r="T78" t="n">
        <v>195</v>
      </c>
      <c r="U78" t="n">
        <v>0.7977641543085472</v>
      </c>
    </row>
    <row r="79">
      <c r="T79" t="n">
        <v>205</v>
      </c>
      <c r="U79" t="n">
        <v>0.7977641543085472</v>
      </c>
    </row>
    <row r="80">
      <c r="T80" t="n">
        <v>205</v>
      </c>
      <c r="U80" t="n">
        <v>0</v>
      </c>
    </row>
    <row r="82">
      <c r="T82" t="n">
        <v>185</v>
      </c>
      <c r="U82" t="n">
        <v>0</v>
      </c>
    </row>
    <row r="83">
      <c r="T83" t="n">
        <v>185</v>
      </c>
      <c r="U83" t="n">
        <v>1.466837771700018</v>
      </c>
    </row>
    <row r="84">
      <c r="T84" t="n">
        <v>200</v>
      </c>
      <c r="U84" t="n">
        <v>1.466837771700018</v>
      </c>
    </row>
    <row r="85">
      <c r="T85" t="n">
        <v>200</v>
      </c>
      <c r="U85" t="n">
        <v>0.7977641543085472</v>
      </c>
    </row>
    <row r="87">
      <c r="T87" t="n">
        <v>175</v>
      </c>
      <c r="U87" t="n">
        <v>0</v>
      </c>
    </row>
    <row r="88">
      <c r="T88" t="n">
        <v>175</v>
      </c>
      <c r="U88" t="n">
        <v>1.623049476933531</v>
      </c>
    </row>
    <row r="89">
      <c r="T89" t="n">
        <v>192.5</v>
      </c>
      <c r="U89" t="n">
        <v>1.623049476933531</v>
      </c>
    </row>
    <row r="90">
      <c r="T90" t="n">
        <v>192.5</v>
      </c>
      <c r="U90" t="n">
        <v>1.466837771700018</v>
      </c>
    </row>
    <row r="92">
      <c r="T92" t="n">
        <v>225</v>
      </c>
      <c r="U92" t="n">
        <v>0</v>
      </c>
    </row>
    <row r="93">
      <c r="T93" t="n">
        <v>225</v>
      </c>
      <c r="U93" t="n">
        <v>0.4940831878304508</v>
      </c>
    </row>
    <row r="94">
      <c r="T94" t="n">
        <v>235</v>
      </c>
      <c r="U94" t="n">
        <v>0.4940831878304508</v>
      </c>
    </row>
    <row r="95">
      <c r="T95" t="n">
        <v>235</v>
      </c>
      <c r="U95" t="n">
        <v>0</v>
      </c>
    </row>
    <row r="97">
      <c r="T97" t="n">
        <v>215</v>
      </c>
      <c r="U97" t="n">
        <v>0</v>
      </c>
    </row>
    <row r="98">
      <c r="T98" t="n">
        <v>215</v>
      </c>
      <c r="U98" t="n">
        <v>1.035459703191977</v>
      </c>
    </row>
    <row r="99">
      <c r="T99" t="n">
        <v>230</v>
      </c>
      <c r="U99" t="n">
        <v>1.035459703191977</v>
      </c>
    </row>
    <row r="100">
      <c r="T100" t="n">
        <v>230</v>
      </c>
      <c r="U100" t="n">
        <v>0.4940831878304508</v>
      </c>
    </row>
    <row r="102">
      <c r="T102" t="n">
        <v>255</v>
      </c>
      <c r="U102" t="n">
        <v>0</v>
      </c>
    </row>
    <row r="103">
      <c r="T103" t="n">
        <v>255</v>
      </c>
      <c r="U103" t="n">
        <v>0.4287711724201596</v>
      </c>
    </row>
    <row r="104">
      <c r="T104" t="n">
        <v>265</v>
      </c>
      <c r="U104" t="n">
        <v>0.4287711724201596</v>
      </c>
    </row>
    <row r="105">
      <c r="T105" t="n">
        <v>265</v>
      </c>
      <c r="U105" t="n">
        <v>0</v>
      </c>
    </row>
    <row r="107">
      <c r="T107" t="n">
        <v>245</v>
      </c>
      <c r="U107" t="n">
        <v>0</v>
      </c>
    </row>
    <row r="108">
      <c r="T108" t="n">
        <v>245</v>
      </c>
      <c r="U108" t="n">
        <v>0.5303259079965722</v>
      </c>
    </row>
    <row r="109">
      <c r="T109" t="n">
        <v>260</v>
      </c>
      <c r="U109" t="n">
        <v>0.5303259079965722</v>
      </c>
    </row>
    <row r="110">
      <c r="T110" t="n">
        <v>260</v>
      </c>
      <c r="U110" t="n">
        <v>0.4287711724201596</v>
      </c>
    </row>
    <row r="112">
      <c r="T112" t="n">
        <v>275</v>
      </c>
      <c r="U112" t="n">
        <v>0</v>
      </c>
    </row>
    <row r="113">
      <c r="T113" t="n">
        <v>275</v>
      </c>
      <c r="U113" t="n">
        <v>0.7781298270915051</v>
      </c>
    </row>
    <row r="114">
      <c r="T114" t="n">
        <v>285</v>
      </c>
      <c r="U114" t="n">
        <v>0.7781298270915051</v>
      </c>
    </row>
    <row r="115">
      <c r="T115" t="n">
        <v>285</v>
      </c>
      <c r="U115" t="n">
        <v>0</v>
      </c>
    </row>
    <row r="117">
      <c r="T117" t="n">
        <v>252.5</v>
      </c>
      <c r="U117" t="n">
        <v>0.5303259079965722</v>
      </c>
    </row>
    <row r="118">
      <c r="T118" t="n">
        <v>252.5</v>
      </c>
      <c r="U118" t="n">
        <v>0.8412899579468275</v>
      </c>
    </row>
    <row r="119">
      <c r="T119" t="n">
        <v>280</v>
      </c>
      <c r="U119" t="n">
        <v>0.8412899579468275</v>
      </c>
    </row>
    <row r="120">
      <c r="T120" t="n">
        <v>280</v>
      </c>
      <c r="U120" t="n">
        <v>0.7781298270915051</v>
      </c>
    </row>
    <row r="122">
      <c r="T122" t="n">
        <v>295</v>
      </c>
      <c r="U122" t="n">
        <v>0</v>
      </c>
    </row>
    <row r="123">
      <c r="T123" t="n">
        <v>295</v>
      </c>
      <c r="U123" t="n">
        <v>1.070971972999869</v>
      </c>
    </row>
    <row r="124">
      <c r="T124" t="n">
        <v>305</v>
      </c>
      <c r="U124" t="n">
        <v>1.070971972999869</v>
      </c>
    </row>
    <row r="125">
      <c r="T125" t="n">
        <v>305</v>
      </c>
      <c r="U125" t="n">
        <v>0</v>
      </c>
    </row>
    <row r="127">
      <c r="T127" t="n">
        <v>266.25</v>
      </c>
      <c r="U127" t="n">
        <v>0.8412899579468275</v>
      </c>
    </row>
    <row r="128">
      <c r="T128" t="n">
        <v>266.25</v>
      </c>
      <c r="U128" t="n">
        <v>1.658573591793104</v>
      </c>
    </row>
    <row r="129">
      <c r="T129" t="n">
        <v>300</v>
      </c>
      <c r="U129" t="n">
        <v>1.658573591793104</v>
      </c>
    </row>
    <row r="130">
      <c r="T130" t="n">
        <v>300</v>
      </c>
      <c r="U130" t="n">
        <v>1.070971972999869</v>
      </c>
    </row>
    <row r="132">
      <c r="T132" t="n">
        <v>222.5</v>
      </c>
      <c r="U132" t="n">
        <v>1.035459703191977</v>
      </c>
    </row>
    <row r="133">
      <c r="T133" t="n">
        <v>222.5</v>
      </c>
      <c r="U133" t="n">
        <v>1.864980092050676</v>
      </c>
    </row>
    <row r="134">
      <c r="T134" t="n">
        <v>283.125</v>
      </c>
      <c r="U134" t="n">
        <v>1.864980092050676</v>
      </c>
    </row>
    <row r="135">
      <c r="T135" t="n">
        <v>283.125</v>
      </c>
      <c r="U135" t="n">
        <v>1.658573591793104</v>
      </c>
    </row>
    <row r="137">
      <c r="T137" t="n">
        <v>183.75</v>
      </c>
      <c r="U137" t="n">
        <v>1.623049476933531</v>
      </c>
    </row>
    <row r="138">
      <c r="T138" t="n">
        <v>183.75</v>
      </c>
      <c r="U138" t="n">
        <v>2.474880733472081</v>
      </c>
    </row>
    <row r="139">
      <c r="T139" t="n">
        <v>252.8125</v>
      </c>
      <c r="U139" t="n">
        <v>2.474880733472081</v>
      </c>
    </row>
    <row r="140">
      <c r="T140" t="n">
        <v>252.8125</v>
      </c>
      <c r="U140" t="n">
        <v>1.864980092050676</v>
      </c>
    </row>
    <row r="142">
      <c r="T142" t="n">
        <v>133.125</v>
      </c>
      <c r="U142" t="n">
        <v>2.263024213047869</v>
      </c>
    </row>
    <row r="143">
      <c r="T143" t="n">
        <v>133.125</v>
      </c>
      <c r="U143" t="n">
        <v>3.08834296946717</v>
      </c>
    </row>
    <row r="144">
      <c r="T144" t="n">
        <v>218.28125</v>
      </c>
      <c r="U144" t="n">
        <v>3.08834296946717</v>
      </c>
    </row>
    <row r="145">
      <c r="T145" t="n">
        <v>218.28125</v>
      </c>
      <c r="U145" t="n">
        <v>2.474880733472081</v>
      </c>
    </row>
    <row r="147">
      <c r="T147" t="n">
        <v>43.75</v>
      </c>
      <c r="U147" t="n">
        <v>2.295228696908415</v>
      </c>
    </row>
    <row r="148">
      <c r="T148" t="n">
        <v>43.75</v>
      </c>
      <c r="U148" t="n">
        <v>4.400541646994766</v>
      </c>
    </row>
    <row r="149">
      <c r="T149" t="n">
        <v>175.703125</v>
      </c>
      <c r="U149" t="n">
        <v>4.400541646994766</v>
      </c>
    </row>
    <row r="150">
      <c r="T150" t="n">
        <v>175.703125</v>
      </c>
      <c r="U150" t="n">
        <v>3.08834296946717</v>
      </c>
    </row>
    <row r="152">
      <c r="T152" t="n">
        <v>325</v>
      </c>
      <c r="U152" t="n">
        <v>0</v>
      </c>
    </row>
    <row r="153">
      <c r="T153" t="n">
        <v>325</v>
      </c>
      <c r="U153" t="n">
        <v>1.196826077167513</v>
      </c>
    </row>
    <row r="154">
      <c r="T154" t="n">
        <v>335</v>
      </c>
      <c r="U154" t="n">
        <v>1.196826077167513</v>
      </c>
    </row>
    <row r="155">
      <c r="T155" t="n">
        <v>335</v>
      </c>
      <c r="U155" t="n">
        <v>0</v>
      </c>
    </row>
    <row r="157">
      <c r="T157" t="n">
        <v>315</v>
      </c>
      <c r="U157" t="n">
        <v>0</v>
      </c>
    </row>
    <row r="158">
      <c r="T158" t="n">
        <v>315</v>
      </c>
      <c r="U158" t="n">
        <v>1.398859470958384</v>
      </c>
    </row>
    <row r="159">
      <c r="T159" t="n">
        <v>330</v>
      </c>
      <c r="U159" t="n">
        <v>1.398859470958384</v>
      </c>
    </row>
    <row r="160">
      <c r="T160" t="n">
        <v>330</v>
      </c>
      <c r="U160" t="n">
        <v>1.196826077167513</v>
      </c>
    </row>
    <row r="162">
      <c r="T162" t="n">
        <v>365</v>
      </c>
      <c r="U162" t="n">
        <v>0</v>
      </c>
    </row>
    <row r="163">
      <c r="T163" t="n">
        <v>365</v>
      </c>
      <c r="U163" t="n">
        <v>0.3502187566016229</v>
      </c>
    </row>
    <row r="164">
      <c r="T164" t="n">
        <v>375</v>
      </c>
      <c r="U164" t="n">
        <v>0.3502187566016229</v>
      </c>
    </row>
    <row r="165">
      <c r="T165" t="n">
        <v>375</v>
      </c>
      <c r="U165" t="n">
        <v>0</v>
      </c>
    </row>
    <row r="167">
      <c r="T167" t="n">
        <v>355</v>
      </c>
      <c r="U167" t="n">
        <v>0</v>
      </c>
    </row>
    <row r="168">
      <c r="T168" t="n">
        <v>355</v>
      </c>
      <c r="U168" t="n">
        <v>0.8457697392657846</v>
      </c>
    </row>
    <row r="169">
      <c r="T169" t="n">
        <v>370</v>
      </c>
      <c r="U169" t="n">
        <v>0.8457697392657846</v>
      </c>
    </row>
    <row r="170">
      <c r="T170" t="n">
        <v>370</v>
      </c>
      <c r="U170" t="n">
        <v>0.3502187566016229</v>
      </c>
    </row>
    <row r="172">
      <c r="T172" t="n">
        <v>405</v>
      </c>
      <c r="U172" t="n">
        <v>0</v>
      </c>
    </row>
    <row r="173">
      <c r="T173" t="n">
        <v>405</v>
      </c>
      <c r="U173" t="n">
        <v>0.5353892556967966</v>
      </c>
    </row>
    <row r="174">
      <c r="T174" t="n">
        <v>415</v>
      </c>
      <c r="U174" t="n">
        <v>0.5353892556967966</v>
      </c>
    </row>
    <row r="175">
      <c r="T175" t="n">
        <v>415</v>
      </c>
      <c r="U175" t="n">
        <v>0</v>
      </c>
    </row>
    <row r="177">
      <c r="T177" t="n">
        <v>395</v>
      </c>
      <c r="U177" t="n">
        <v>0</v>
      </c>
    </row>
    <row r="178">
      <c r="T178" t="n">
        <v>395</v>
      </c>
      <c r="U178" t="n">
        <v>1.080098763925444</v>
      </c>
    </row>
    <row r="179">
      <c r="T179" t="n">
        <v>410</v>
      </c>
      <c r="U179" t="n">
        <v>1.080098763925444</v>
      </c>
    </row>
    <row r="180">
      <c r="T180" t="n">
        <v>410</v>
      </c>
      <c r="U180" t="n">
        <v>0.5353892556967966</v>
      </c>
    </row>
    <row r="182">
      <c r="T182" t="n">
        <v>385</v>
      </c>
      <c r="U182" t="n">
        <v>0</v>
      </c>
    </row>
    <row r="183">
      <c r="T183" t="n">
        <v>385</v>
      </c>
      <c r="U183" t="n">
        <v>1.211735562116878</v>
      </c>
    </row>
    <row r="184">
      <c r="T184" t="n">
        <v>402.5</v>
      </c>
      <c r="U184" t="n">
        <v>1.211735562116878</v>
      </c>
    </row>
    <row r="185">
      <c r="T185" t="n">
        <v>402.5</v>
      </c>
      <c r="U185" t="n">
        <v>1.080098763925444</v>
      </c>
    </row>
    <row r="187">
      <c r="T187" t="n">
        <v>362.5</v>
      </c>
      <c r="U187" t="n">
        <v>0.8457697392657846</v>
      </c>
    </row>
    <row r="188">
      <c r="T188" t="n">
        <v>362.5</v>
      </c>
      <c r="U188" t="n">
        <v>1.64485743320623</v>
      </c>
    </row>
    <row r="189">
      <c r="T189" t="n">
        <v>393.75</v>
      </c>
      <c r="U189" t="n">
        <v>1.64485743320623</v>
      </c>
    </row>
    <row r="190">
      <c r="T190" t="n">
        <v>393.75</v>
      </c>
      <c r="U190" t="n">
        <v>1.211735562116878</v>
      </c>
    </row>
    <row r="192">
      <c r="T192" t="n">
        <v>345</v>
      </c>
      <c r="U192" t="n">
        <v>0</v>
      </c>
    </row>
    <row r="193">
      <c r="T193" t="n">
        <v>345</v>
      </c>
      <c r="U193" t="n">
        <v>1.853798410798674</v>
      </c>
    </row>
    <row r="194">
      <c r="T194" t="n">
        <v>378.125</v>
      </c>
      <c r="U194" t="n">
        <v>1.853798410798674</v>
      </c>
    </row>
    <row r="195">
      <c r="T195" t="n">
        <v>378.125</v>
      </c>
      <c r="U195" t="n">
        <v>1.64485743320623</v>
      </c>
    </row>
    <row r="197">
      <c r="T197" t="n">
        <v>322.5</v>
      </c>
      <c r="U197" t="n">
        <v>1.398859470958384</v>
      </c>
    </row>
    <row r="198">
      <c r="T198" t="n">
        <v>322.5</v>
      </c>
      <c r="U198" t="n">
        <v>2.44585996576722</v>
      </c>
    </row>
    <row r="199">
      <c r="T199" t="n">
        <v>361.5625</v>
      </c>
      <c r="U199" t="n">
        <v>2.44585996576722</v>
      </c>
    </row>
    <row r="200">
      <c r="T200" t="n">
        <v>361.5625</v>
      </c>
      <c r="U200" t="n">
        <v>1.853798410798674</v>
      </c>
    </row>
    <row r="202">
      <c r="T202" t="n">
        <v>435</v>
      </c>
      <c r="U202" t="n">
        <v>0</v>
      </c>
    </row>
    <row r="203">
      <c r="T203" t="n">
        <v>435</v>
      </c>
      <c r="U203" t="n">
        <v>0.7722224497860469</v>
      </c>
    </row>
    <row r="204">
      <c r="T204" t="n">
        <v>445</v>
      </c>
      <c r="U204" t="n">
        <v>0.7722224497860469</v>
      </c>
    </row>
    <row r="205">
      <c r="T205" t="n">
        <v>445</v>
      </c>
      <c r="U205" t="n">
        <v>0</v>
      </c>
    </row>
    <row r="207">
      <c r="T207" t="n">
        <v>455</v>
      </c>
      <c r="U207" t="n">
        <v>0</v>
      </c>
    </row>
    <row r="208">
      <c r="T208" t="n">
        <v>455</v>
      </c>
      <c r="U208" t="n">
        <v>1.012225207685987</v>
      </c>
    </row>
    <row r="209">
      <c r="T209" t="n">
        <v>465</v>
      </c>
      <c r="U209" t="n">
        <v>1.012225207685987</v>
      </c>
    </row>
    <row r="210">
      <c r="T210" t="n">
        <v>465</v>
      </c>
      <c r="U210" t="n">
        <v>0</v>
      </c>
    </row>
    <row r="212">
      <c r="T212" t="n">
        <v>440</v>
      </c>
      <c r="U212" t="n">
        <v>0.7722224497860469</v>
      </c>
    </row>
    <row r="213">
      <c r="T213" t="n">
        <v>440</v>
      </c>
      <c r="U213" t="n">
        <v>1.131435105367745</v>
      </c>
    </row>
    <row r="214">
      <c r="T214" t="n">
        <v>460</v>
      </c>
      <c r="U214" t="n">
        <v>1.131435105367745</v>
      </c>
    </row>
    <row r="215">
      <c r="T215" t="n">
        <v>460</v>
      </c>
      <c r="U215" t="n">
        <v>1.012225207685987</v>
      </c>
    </row>
    <row r="217">
      <c r="T217" t="n">
        <v>485</v>
      </c>
      <c r="U217" t="n">
        <v>0</v>
      </c>
    </row>
    <row r="218">
      <c r="T218" t="n">
        <v>485</v>
      </c>
      <c r="U218" t="n">
        <v>0.7865673502907415</v>
      </c>
    </row>
    <row r="219">
      <c r="T219" t="n">
        <v>495</v>
      </c>
      <c r="U219" t="n">
        <v>0.7865673502907415</v>
      </c>
    </row>
    <row r="220">
      <c r="T220" t="n">
        <v>495</v>
      </c>
      <c r="U220" t="n">
        <v>0</v>
      </c>
    </row>
    <row r="222">
      <c r="T222" t="n">
        <v>475</v>
      </c>
      <c r="U222" t="n">
        <v>0</v>
      </c>
    </row>
    <row r="223">
      <c r="T223" t="n">
        <v>475</v>
      </c>
      <c r="U223" t="n">
        <v>1.182689097861551</v>
      </c>
    </row>
    <row r="224">
      <c r="T224" t="n">
        <v>490</v>
      </c>
      <c r="U224" t="n">
        <v>1.182689097861551</v>
      </c>
    </row>
    <row r="225">
      <c r="T225" t="n">
        <v>490</v>
      </c>
      <c r="U225" t="n">
        <v>0.7865673502907415</v>
      </c>
    </row>
    <row r="227">
      <c r="T227" t="n">
        <v>450</v>
      </c>
      <c r="U227" t="n">
        <v>1.131435105367745</v>
      </c>
    </row>
    <row r="228">
      <c r="T228" t="n">
        <v>450</v>
      </c>
      <c r="U228" t="n">
        <v>2.337465313576759</v>
      </c>
    </row>
    <row r="229">
      <c r="T229" t="n">
        <v>482.5</v>
      </c>
      <c r="U229" t="n">
        <v>2.337465313576759</v>
      </c>
    </row>
    <row r="230">
      <c r="T230" t="n">
        <v>482.5</v>
      </c>
      <c r="U230" t="n">
        <v>1.182689097861551</v>
      </c>
    </row>
    <row r="232">
      <c r="T232" t="n">
        <v>425</v>
      </c>
      <c r="U232" t="n">
        <v>0</v>
      </c>
    </row>
    <row r="233">
      <c r="T233" t="n">
        <v>425</v>
      </c>
      <c r="U233" t="n">
        <v>3.255432581860096</v>
      </c>
    </row>
    <row r="234">
      <c r="T234" t="n">
        <v>466.25</v>
      </c>
      <c r="U234" t="n">
        <v>3.255432581860096</v>
      </c>
    </row>
    <row r="235">
      <c r="T235" t="n">
        <v>466.25</v>
      </c>
      <c r="U235" t="n">
        <v>2.337465313576759</v>
      </c>
    </row>
    <row r="237">
      <c r="T237" t="n">
        <v>342.03125</v>
      </c>
      <c r="U237" t="n">
        <v>2.44585996576722</v>
      </c>
    </row>
    <row r="238">
      <c r="T238" t="n">
        <v>342.03125</v>
      </c>
      <c r="U238" t="n">
        <v>4.420073577146934</v>
      </c>
    </row>
    <row r="239">
      <c r="T239" t="n">
        <v>445.625</v>
      </c>
      <c r="U239" t="n">
        <v>4.420073577146934</v>
      </c>
    </row>
    <row r="240">
      <c r="T240" t="n">
        <v>445.625</v>
      </c>
      <c r="U240" t="n">
        <v>3.255432581860096</v>
      </c>
    </row>
    <row r="242">
      <c r="T242" t="n">
        <v>109.7265625</v>
      </c>
      <c r="U242" t="n">
        <v>4.400541646994766</v>
      </c>
    </row>
    <row r="243">
      <c r="T243" t="n">
        <v>109.7265625</v>
      </c>
      <c r="U243" t="n">
        <v>6.076641562654578</v>
      </c>
    </row>
    <row r="244">
      <c r="T244" t="n">
        <v>393.828125</v>
      </c>
      <c r="U244" t="n">
        <v>6.076641562654578</v>
      </c>
    </row>
    <row r="245">
      <c r="T245" t="n">
        <v>393.828125</v>
      </c>
      <c r="U245" t="n">
        <v>4.420073577146934</v>
      </c>
    </row>
    <row r="260">
      <c r="AA260" t="n">
        <v>25</v>
      </c>
      <c r="AB260" t="n">
        <v>0</v>
      </c>
    </row>
    <row r="261">
      <c r="AA261" t="n">
        <v>25</v>
      </c>
      <c r="AB261" t="n">
        <v>1.196826077167513</v>
      </c>
    </row>
    <row r="262">
      <c r="AA262" t="n">
        <v>35</v>
      </c>
      <c r="AB262" t="n">
        <v>1.196826077167513</v>
      </c>
    </row>
    <row r="263">
      <c r="AA263" t="n">
        <v>35</v>
      </c>
      <c r="AB263" t="n">
        <v>0</v>
      </c>
    </row>
    <row r="265">
      <c r="AA265" t="n">
        <v>55</v>
      </c>
      <c r="AB265" t="n">
        <v>0</v>
      </c>
    </row>
    <row r="266">
      <c r="AA266" t="n">
        <v>55</v>
      </c>
      <c r="AB266" t="n">
        <v>0.7865673502907415</v>
      </c>
    </row>
    <row r="267">
      <c r="AA267" t="n">
        <v>65</v>
      </c>
      <c r="AB267" t="n">
        <v>0.7865673502907415</v>
      </c>
    </row>
    <row r="268">
      <c r="AA268" t="n">
        <v>65</v>
      </c>
      <c r="AB268" t="n">
        <v>0</v>
      </c>
    </row>
    <row r="270">
      <c r="AA270" t="n">
        <v>95</v>
      </c>
      <c r="AB270" t="n">
        <v>0</v>
      </c>
    </row>
    <row r="271">
      <c r="AA271" t="n">
        <v>95</v>
      </c>
      <c r="AB271" t="n">
        <v>0.7722224497860469</v>
      </c>
    </row>
    <row r="272">
      <c r="AA272" t="n">
        <v>105</v>
      </c>
      <c r="AB272" t="n">
        <v>0.7722224497860469</v>
      </c>
    </row>
    <row r="273">
      <c r="AA273" t="n">
        <v>105</v>
      </c>
      <c r="AB273" t="n">
        <v>0</v>
      </c>
    </row>
    <row r="275">
      <c r="AA275" t="n">
        <v>85</v>
      </c>
      <c r="AB275" t="n">
        <v>0</v>
      </c>
    </row>
    <row r="276">
      <c r="AA276" t="n">
        <v>85</v>
      </c>
      <c r="AB276" t="n">
        <v>0.8407489245735202</v>
      </c>
    </row>
    <row r="277">
      <c r="AA277" t="n">
        <v>100</v>
      </c>
      <c r="AB277" t="n">
        <v>0.8407489245735202</v>
      </c>
    </row>
    <row r="278">
      <c r="AA278" t="n">
        <v>100</v>
      </c>
      <c r="AB278" t="n">
        <v>0.7722224497860469</v>
      </c>
    </row>
    <row r="280">
      <c r="AA280" t="n">
        <v>75</v>
      </c>
      <c r="AB280" t="n">
        <v>0</v>
      </c>
    </row>
    <row r="281">
      <c r="AA281" t="n">
        <v>75</v>
      </c>
      <c r="AB281" t="n">
        <v>0.8592544374122957</v>
      </c>
    </row>
    <row r="282">
      <c r="AA282" t="n">
        <v>92.5</v>
      </c>
      <c r="AB282" t="n">
        <v>0.8592544374122957</v>
      </c>
    </row>
    <row r="283">
      <c r="AA283" t="n">
        <v>92.5</v>
      </c>
      <c r="AB283" t="n">
        <v>0.8407489245735202</v>
      </c>
    </row>
    <row r="285">
      <c r="AA285" t="n">
        <v>60</v>
      </c>
      <c r="AB285" t="n">
        <v>0.7865673502907415</v>
      </c>
    </row>
    <row r="286">
      <c r="AA286" t="n">
        <v>60</v>
      </c>
      <c r="AB286" t="n">
        <v>0.9157968368251771</v>
      </c>
    </row>
    <row r="287">
      <c r="AA287" t="n">
        <v>83.75</v>
      </c>
      <c r="AB287" t="n">
        <v>0.9157968368251771</v>
      </c>
    </row>
    <row r="288">
      <c r="AA288" t="n">
        <v>83.75</v>
      </c>
      <c r="AB288" t="n">
        <v>0.8592544374122957</v>
      </c>
    </row>
    <row r="290">
      <c r="AA290" t="n">
        <v>45</v>
      </c>
      <c r="AB290" t="n">
        <v>0</v>
      </c>
    </row>
    <row r="291">
      <c r="AA291" t="n">
        <v>45</v>
      </c>
      <c r="AB291" t="n">
        <v>1.047631272630151</v>
      </c>
    </row>
    <row r="292">
      <c r="AA292" t="n">
        <v>71.875</v>
      </c>
      <c r="AB292" t="n">
        <v>1.047631272630151</v>
      </c>
    </row>
    <row r="293">
      <c r="AA293" t="n">
        <v>71.875</v>
      </c>
      <c r="AB293" t="n">
        <v>0.9157968368251771</v>
      </c>
    </row>
    <row r="295">
      <c r="AA295" t="n">
        <v>195</v>
      </c>
      <c r="AB295" t="n">
        <v>0</v>
      </c>
    </row>
    <row r="296">
      <c r="AA296" t="n">
        <v>195</v>
      </c>
      <c r="AB296" t="n">
        <v>0.7108811756963905</v>
      </c>
    </row>
    <row r="297">
      <c r="AA297" t="n">
        <v>205</v>
      </c>
      <c r="AB297" t="n">
        <v>0.7108811756963905</v>
      </c>
    </row>
    <row r="298">
      <c r="AA298" t="n">
        <v>205</v>
      </c>
      <c r="AB298" t="n">
        <v>0</v>
      </c>
    </row>
    <row r="300">
      <c r="AA300" t="n">
        <v>275</v>
      </c>
      <c r="AB300" t="n">
        <v>0</v>
      </c>
    </row>
    <row r="301">
      <c r="AA301" t="n">
        <v>275</v>
      </c>
      <c r="AB301" t="n">
        <v>0.2058538571573481</v>
      </c>
    </row>
    <row r="302">
      <c r="AA302" t="n">
        <v>285</v>
      </c>
      <c r="AB302" t="n">
        <v>0.2058538571573481</v>
      </c>
    </row>
    <row r="303">
      <c r="AA303" t="n">
        <v>285</v>
      </c>
      <c r="AB303" t="n">
        <v>0</v>
      </c>
    </row>
    <row r="305">
      <c r="AA305" t="n">
        <v>265</v>
      </c>
      <c r="AB305" t="n">
        <v>0</v>
      </c>
    </row>
    <row r="306">
      <c r="AA306" t="n">
        <v>265</v>
      </c>
      <c r="AB306" t="n">
        <v>0.4995970736988051</v>
      </c>
    </row>
    <row r="307">
      <c r="AA307" t="n">
        <v>280</v>
      </c>
      <c r="AB307" t="n">
        <v>0.4995970736988051</v>
      </c>
    </row>
    <row r="308">
      <c r="AA308" t="n">
        <v>280</v>
      </c>
      <c r="AB308" t="n">
        <v>0.2058538571573481</v>
      </c>
    </row>
    <row r="310">
      <c r="AA310" t="n">
        <v>295</v>
      </c>
      <c r="AB310" t="n">
        <v>0</v>
      </c>
    </row>
    <row r="311">
      <c r="AA311" t="n">
        <v>295</v>
      </c>
      <c r="AB311" t="n">
        <v>0.4940831878304508</v>
      </c>
    </row>
    <row r="312">
      <c r="AA312" t="n">
        <v>305</v>
      </c>
      <c r="AB312" t="n">
        <v>0.4940831878304508</v>
      </c>
    </row>
    <row r="313">
      <c r="AA313" t="n">
        <v>305</v>
      </c>
      <c r="AB313" t="n">
        <v>0</v>
      </c>
    </row>
    <row r="315">
      <c r="AA315" t="n">
        <v>355</v>
      </c>
      <c r="AB315" t="n">
        <v>0</v>
      </c>
    </row>
    <row r="316">
      <c r="AA316" t="n">
        <v>355</v>
      </c>
      <c r="AB316" t="n">
        <v>0.4287711724201596</v>
      </c>
    </row>
    <row r="317">
      <c r="AA317" t="n">
        <v>365</v>
      </c>
      <c r="AB317" t="n">
        <v>0.4287711724201596</v>
      </c>
    </row>
    <row r="318">
      <c r="AA318" t="n">
        <v>365</v>
      </c>
      <c r="AB318" t="n">
        <v>0</v>
      </c>
    </row>
    <row r="320">
      <c r="AA320" t="n">
        <v>345</v>
      </c>
      <c r="AB320" t="n">
        <v>0</v>
      </c>
    </row>
    <row r="321">
      <c r="AA321" t="n">
        <v>345</v>
      </c>
      <c r="AB321" t="n">
        <v>0.5198727999355324</v>
      </c>
    </row>
    <row r="322">
      <c r="AA322" t="n">
        <v>360</v>
      </c>
      <c r="AB322" t="n">
        <v>0.5198727999355324</v>
      </c>
    </row>
    <row r="323">
      <c r="AA323" t="n">
        <v>360</v>
      </c>
      <c r="AB323" t="n">
        <v>0.4287711724201596</v>
      </c>
    </row>
    <row r="325">
      <c r="AA325" t="n">
        <v>335</v>
      </c>
      <c r="AB325" t="n">
        <v>0</v>
      </c>
    </row>
    <row r="326">
      <c r="AA326" t="n">
        <v>335</v>
      </c>
      <c r="AB326" t="n">
        <v>0.5279092091521924</v>
      </c>
    </row>
    <row r="327">
      <c r="AA327" t="n">
        <v>352.5</v>
      </c>
      <c r="AB327" t="n">
        <v>0.5279092091521924</v>
      </c>
    </row>
    <row r="328">
      <c r="AA328" t="n">
        <v>352.5</v>
      </c>
      <c r="AB328" t="n">
        <v>0.5198727999355324</v>
      </c>
    </row>
    <row r="330">
      <c r="AA330" t="n">
        <v>325</v>
      </c>
      <c r="AB330" t="n">
        <v>0</v>
      </c>
    </row>
    <row r="331">
      <c r="AA331" t="n">
        <v>325</v>
      </c>
      <c r="AB331" t="n">
        <v>0.5456839757404228</v>
      </c>
    </row>
    <row r="332">
      <c r="AA332" t="n">
        <v>343.75</v>
      </c>
      <c r="AB332" t="n">
        <v>0.5456839757404228</v>
      </c>
    </row>
    <row r="333">
      <c r="AA333" t="n">
        <v>343.75</v>
      </c>
      <c r="AB333" t="n">
        <v>0.5279092091521924</v>
      </c>
    </row>
    <row r="335">
      <c r="AA335" t="n">
        <v>315</v>
      </c>
      <c r="AB335" t="n">
        <v>0</v>
      </c>
    </row>
    <row r="336">
      <c r="AA336" t="n">
        <v>315</v>
      </c>
      <c r="AB336" t="n">
        <v>0.5646254100154144</v>
      </c>
    </row>
    <row r="337">
      <c r="AA337" t="n">
        <v>334.375</v>
      </c>
      <c r="AB337" t="n">
        <v>0.5646254100154144</v>
      </c>
    </row>
    <row r="338">
      <c r="AA338" t="n">
        <v>334.375</v>
      </c>
      <c r="AB338" t="n">
        <v>0.5456839757404228</v>
      </c>
    </row>
    <row r="340">
      <c r="AA340" t="n">
        <v>300</v>
      </c>
      <c r="AB340" t="n">
        <v>0.4940831878304508</v>
      </c>
    </row>
    <row r="341">
      <c r="AA341" t="n">
        <v>300</v>
      </c>
      <c r="AB341" t="n">
        <v>0.6083414686135259</v>
      </c>
    </row>
    <row r="342">
      <c r="AA342" t="n">
        <v>324.6875</v>
      </c>
      <c r="AB342" t="n">
        <v>0.6083414686135259</v>
      </c>
    </row>
    <row r="343">
      <c r="AA343" t="n">
        <v>324.6875</v>
      </c>
      <c r="AB343" t="n">
        <v>0.5646254100154144</v>
      </c>
    </row>
    <row r="345">
      <c r="AA345" t="n">
        <v>272.5</v>
      </c>
      <c r="AB345" t="n">
        <v>0.4995970736988051</v>
      </c>
    </row>
    <row r="346">
      <c r="AA346" t="n">
        <v>272.5</v>
      </c>
      <c r="AB346" t="n">
        <v>0.6318068579712207</v>
      </c>
    </row>
    <row r="347">
      <c r="AA347" t="n">
        <v>312.34375</v>
      </c>
      <c r="AB347" t="n">
        <v>0.6318068579712207</v>
      </c>
    </row>
    <row r="348">
      <c r="AA348" t="n">
        <v>312.34375</v>
      </c>
      <c r="AB348" t="n">
        <v>0.6083414686135259</v>
      </c>
    </row>
    <row r="350">
      <c r="AA350" t="n">
        <v>255</v>
      </c>
      <c r="AB350" t="n">
        <v>0</v>
      </c>
    </row>
    <row r="351">
      <c r="AA351" t="n">
        <v>255</v>
      </c>
      <c r="AB351" t="n">
        <v>0.6483903122839834</v>
      </c>
    </row>
    <row r="352">
      <c r="AA352" t="n">
        <v>292.421875</v>
      </c>
      <c r="AB352" t="n">
        <v>0.6483903122839834</v>
      </c>
    </row>
    <row r="353">
      <c r="AA353" t="n">
        <v>292.421875</v>
      </c>
      <c r="AB353" t="n">
        <v>0.6318068579712207</v>
      </c>
    </row>
    <row r="355">
      <c r="AA355" t="n">
        <v>245</v>
      </c>
      <c r="AB355" t="n">
        <v>0</v>
      </c>
    </row>
    <row r="356">
      <c r="AA356" t="n">
        <v>245</v>
      </c>
      <c r="AB356" t="n">
        <v>0.7038309081724131</v>
      </c>
    </row>
    <row r="357">
      <c r="AA357" t="n">
        <v>273.7109375</v>
      </c>
      <c r="AB357" t="n">
        <v>0.7038309081724131</v>
      </c>
    </row>
    <row r="358">
      <c r="AA358" t="n">
        <v>273.7109375</v>
      </c>
      <c r="AB358" t="n">
        <v>0.6483903122839834</v>
      </c>
    </row>
    <row r="360">
      <c r="AA360" t="n">
        <v>235</v>
      </c>
      <c r="AB360" t="n">
        <v>0</v>
      </c>
    </row>
    <row r="361">
      <c r="AA361" t="n">
        <v>235</v>
      </c>
      <c r="AB361" t="n">
        <v>0.7305608728663454</v>
      </c>
    </row>
    <row r="362">
      <c r="AA362" t="n">
        <v>259.35546875</v>
      </c>
      <c r="AB362" t="n">
        <v>0.7305608728663454</v>
      </c>
    </row>
    <row r="363">
      <c r="AA363" t="n">
        <v>259.35546875</v>
      </c>
      <c r="AB363" t="n">
        <v>0.7038309081724131</v>
      </c>
    </row>
    <row r="365">
      <c r="AA365" t="n">
        <v>225</v>
      </c>
      <c r="AB365" t="n">
        <v>0</v>
      </c>
    </row>
    <row r="366">
      <c r="AA366" t="n">
        <v>225</v>
      </c>
      <c r="AB366" t="n">
        <v>0.7389935888687985</v>
      </c>
    </row>
    <row r="367">
      <c r="AA367" t="n">
        <v>247.177734375</v>
      </c>
      <c r="AB367" t="n">
        <v>0.7389935888687985</v>
      </c>
    </row>
    <row r="368">
      <c r="AA368" t="n">
        <v>247.177734375</v>
      </c>
      <c r="AB368" t="n">
        <v>0.7305608728663454</v>
      </c>
    </row>
    <row r="370">
      <c r="AA370" t="n">
        <v>215</v>
      </c>
      <c r="AB370" t="n">
        <v>0</v>
      </c>
    </row>
    <row r="371">
      <c r="AA371" t="n">
        <v>215</v>
      </c>
      <c r="AB371" t="n">
        <v>0.7515013859462465</v>
      </c>
    </row>
    <row r="372">
      <c r="AA372" t="n">
        <v>236.0888671875</v>
      </c>
      <c r="AB372" t="n">
        <v>0.7515013859462465</v>
      </c>
    </row>
    <row r="373">
      <c r="AA373" t="n">
        <v>236.0888671875</v>
      </c>
      <c r="AB373" t="n">
        <v>0.7389935888687985</v>
      </c>
    </row>
    <row r="375">
      <c r="AA375" t="n">
        <v>200</v>
      </c>
      <c r="AB375" t="n">
        <v>0.7108811756963905</v>
      </c>
    </row>
    <row r="376">
      <c r="AA376" t="n">
        <v>200</v>
      </c>
      <c r="AB376" t="n">
        <v>0.7812990549614648</v>
      </c>
    </row>
    <row r="377">
      <c r="AA377" t="n">
        <v>225.54443359375</v>
      </c>
      <c r="AB377" t="n">
        <v>0.7812990549614648</v>
      </c>
    </row>
    <row r="378">
      <c r="AA378" t="n">
        <v>225.54443359375</v>
      </c>
      <c r="AB378" t="n">
        <v>0.7515013859462465</v>
      </c>
    </row>
    <row r="380">
      <c r="AA380" t="n">
        <v>185</v>
      </c>
      <c r="AB380" t="n">
        <v>0</v>
      </c>
    </row>
    <row r="381">
      <c r="AA381" t="n">
        <v>185</v>
      </c>
      <c r="AB381" t="n">
        <v>0.852370175601102</v>
      </c>
    </row>
    <row r="382">
      <c r="AA382" t="n">
        <v>212.772216796875</v>
      </c>
      <c r="AB382" t="n">
        <v>0.852370175601102</v>
      </c>
    </row>
    <row r="383">
      <c r="AA383" t="n">
        <v>212.772216796875</v>
      </c>
      <c r="AB383" t="n">
        <v>0.7812990549614648</v>
      </c>
    </row>
    <row r="385">
      <c r="AA385" t="n">
        <v>175</v>
      </c>
      <c r="AB385" t="n">
        <v>0</v>
      </c>
    </row>
    <row r="386">
      <c r="AA386" t="n">
        <v>175</v>
      </c>
      <c r="AB386" t="n">
        <v>0.8721490612663898</v>
      </c>
    </row>
    <row r="387">
      <c r="AA387" t="n">
        <v>198.8861083984375</v>
      </c>
      <c r="AB387" t="n">
        <v>0.8721490612663898</v>
      </c>
    </row>
    <row r="388">
      <c r="AA388" t="n">
        <v>198.8861083984375</v>
      </c>
      <c r="AB388" t="n">
        <v>0.852370175601102</v>
      </c>
    </row>
    <row r="390">
      <c r="AA390" t="n">
        <v>395</v>
      </c>
      <c r="AB390" t="n">
        <v>0</v>
      </c>
    </row>
    <row r="391">
      <c r="AA391" t="n">
        <v>395</v>
      </c>
      <c r="AB391" t="n">
        <v>0.5935343426469891</v>
      </c>
    </row>
    <row r="392">
      <c r="AA392" t="n">
        <v>405</v>
      </c>
      <c r="AB392" t="n">
        <v>0.5935343426469891</v>
      </c>
    </row>
    <row r="393">
      <c r="AA393" t="n">
        <v>405</v>
      </c>
      <c r="AB393" t="n">
        <v>0</v>
      </c>
    </row>
    <row r="395">
      <c r="AA395" t="n">
        <v>385</v>
      </c>
      <c r="AB395" t="n">
        <v>0</v>
      </c>
    </row>
    <row r="396">
      <c r="AA396" t="n">
        <v>385</v>
      </c>
      <c r="AB396" t="n">
        <v>0.694066716583938</v>
      </c>
    </row>
    <row r="397">
      <c r="AA397" t="n">
        <v>400</v>
      </c>
      <c r="AB397" t="n">
        <v>0.694066716583938</v>
      </c>
    </row>
    <row r="398">
      <c r="AA398" t="n">
        <v>400</v>
      </c>
      <c r="AB398" t="n">
        <v>0.5935343426469891</v>
      </c>
    </row>
    <row r="400">
      <c r="AA400" t="n">
        <v>415</v>
      </c>
      <c r="AB400" t="n">
        <v>0</v>
      </c>
    </row>
    <row r="401">
      <c r="AA401" t="n">
        <v>415</v>
      </c>
      <c r="AB401" t="n">
        <v>0.7977641543085472</v>
      </c>
    </row>
    <row r="402">
      <c r="AA402" t="n">
        <v>425</v>
      </c>
      <c r="AB402" t="n">
        <v>0.7977641543085472</v>
      </c>
    </row>
    <row r="403">
      <c r="AA403" t="n">
        <v>425</v>
      </c>
      <c r="AB403" t="n">
        <v>0</v>
      </c>
    </row>
    <row r="405">
      <c r="AA405" t="n">
        <v>392.5</v>
      </c>
      <c r="AB405" t="n">
        <v>0.694066716583938</v>
      </c>
    </row>
    <row r="406">
      <c r="AA406" t="n">
        <v>392.5</v>
      </c>
      <c r="AB406" t="n">
        <v>0.901580902238592</v>
      </c>
    </row>
    <row r="407">
      <c r="AA407" t="n">
        <v>420</v>
      </c>
      <c r="AB407" t="n">
        <v>0.901580902238592</v>
      </c>
    </row>
    <row r="408">
      <c r="AA408" t="n">
        <v>420</v>
      </c>
      <c r="AB408" t="n">
        <v>0.7977641543085472</v>
      </c>
    </row>
    <row r="410">
      <c r="AA410" t="n">
        <v>375</v>
      </c>
      <c r="AB410" t="n">
        <v>0</v>
      </c>
    </row>
    <row r="411">
      <c r="AA411" t="n">
        <v>375</v>
      </c>
      <c r="AB411" t="n">
        <v>0.9440940273241183</v>
      </c>
    </row>
    <row r="412">
      <c r="AA412" t="n">
        <v>406.25</v>
      </c>
      <c r="AB412" t="n">
        <v>0.9440940273241183</v>
      </c>
    </row>
    <row r="413">
      <c r="AA413" t="n">
        <v>406.25</v>
      </c>
      <c r="AB413" t="n">
        <v>0.901580902238592</v>
      </c>
    </row>
    <row r="415">
      <c r="AA415" t="n">
        <v>186.9430541992188</v>
      </c>
      <c r="AB415" t="n">
        <v>0.8721490612663898</v>
      </c>
    </row>
    <row r="416">
      <c r="AA416" t="n">
        <v>186.9430541992188</v>
      </c>
      <c r="AB416" t="n">
        <v>0.9468198608081845</v>
      </c>
    </row>
    <row r="417">
      <c r="AA417" t="n">
        <v>390.625</v>
      </c>
      <c r="AB417" t="n">
        <v>0.9468198608081845</v>
      </c>
    </row>
    <row r="418">
      <c r="AA418" t="n">
        <v>390.625</v>
      </c>
      <c r="AB418" t="n">
        <v>0.9440940273241183</v>
      </c>
    </row>
    <row r="420">
      <c r="AA420" t="n">
        <v>165</v>
      </c>
      <c r="AB420" t="n">
        <v>0</v>
      </c>
    </row>
    <row r="421">
      <c r="AA421" t="n">
        <v>165</v>
      </c>
      <c r="AB421" t="n">
        <v>0.9787309739534664</v>
      </c>
    </row>
    <row r="422">
      <c r="AA422" t="n">
        <v>288.7840270996094</v>
      </c>
      <c r="AB422" t="n">
        <v>0.9787309739534664</v>
      </c>
    </row>
    <row r="423">
      <c r="AA423" t="n">
        <v>288.7840270996094</v>
      </c>
      <c r="AB423" t="n">
        <v>0.9468198608081845</v>
      </c>
    </row>
    <row r="425">
      <c r="AA425" t="n">
        <v>155</v>
      </c>
      <c r="AB425" t="n">
        <v>0</v>
      </c>
    </row>
    <row r="426">
      <c r="AA426" t="n">
        <v>155</v>
      </c>
      <c r="AB426" t="n">
        <v>0.9824856816215278</v>
      </c>
    </row>
    <row r="427">
      <c r="AA427" t="n">
        <v>226.8920135498047</v>
      </c>
      <c r="AB427" t="n">
        <v>0.9824856816215278</v>
      </c>
    </row>
    <row r="428">
      <c r="AA428" t="n">
        <v>226.8920135498047</v>
      </c>
      <c r="AB428" t="n">
        <v>0.9787309739534664</v>
      </c>
    </row>
    <row r="430">
      <c r="AA430" t="n">
        <v>145</v>
      </c>
      <c r="AB430" t="n">
        <v>0</v>
      </c>
    </row>
    <row r="431">
      <c r="AA431" t="n">
        <v>145</v>
      </c>
      <c r="AB431" t="n">
        <v>0.9912639442937408</v>
      </c>
    </row>
    <row r="432">
      <c r="AA432" t="n">
        <v>190.9460067749023</v>
      </c>
      <c r="AB432" t="n">
        <v>0.9912639442937408</v>
      </c>
    </row>
    <row r="433">
      <c r="AA433" t="n">
        <v>190.9460067749023</v>
      </c>
      <c r="AB433" t="n">
        <v>0.9824856816215278</v>
      </c>
    </row>
    <row r="435">
      <c r="AA435" t="n">
        <v>135</v>
      </c>
      <c r="AB435" t="n">
        <v>0</v>
      </c>
    </row>
    <row r="436">
      <c r="AA436" t="n">
        <v>135</v>
      </c>
      <c r="AB436" t="n">
        <v>1.070971972999869</v>
      </c>
    </row>
    <row r="437">
      <c r="AA437" t="n">
        <v>167.9730033874512</v>
      </c>
      <c r="AB437" t="n">
        <v>1.070971972999869</v>
      </c>
    </row>
    <row r="438">
      <c r="AA438" t="n">
        <v>167.9730033874512</v>
      </c>
      <c r="AB438" t="n">
        <v>0.9912639442937408</v>
      </c>
    </row>
    <row r="440">
      <c r="AA440" t="n">
        <v>445</v>
      </c>
      <c r="AB440" t="n">
        <v>0</v>
      </c>
    </row>
    <row r="441">
      <c r="AA441" t="n">
        <v>445</v>
      </c>
      <c r="AB441" t="n">
        <v>0.3502187566016229</v>
      </c>
    </row>
    <row r="442">
      <c r="AA442" t="n">
        <v>455</v>
      </c>
      <c r="AB442" t="n">
        <v>0.3502187566016229</v>
      </c>
    </row>
    <row r="443">
      <c r="AA443" t="n">
        <v>455</v>
      </c>
      <c r="AB443" t="n">
        <v>0</v>
      </c>
    </row>
    <row r="445">
      <c r="AA445" t="n">
        <v>435</v>
      </c>
      <c r="AB445" t="n">
        <v>0</v>
      </c>
    </row>
    <row r="446">
      <c r="AA446" t="n">
        <v>435</v>
      </c>
      <c r="AB446" t="n">
        <v>0.8241351581620365</v>
      </c>
    </row>
    <row r="447">
      <c r="AA447" t="n">
        <v>450</v>
      </c>
      <c r="AB447" t="n">
        <v>0.8241351581620365</v>
      </c>
    </row>
    <row r="448">
      <c r="AA448" t="n">
        <v>450</v>
      </c>
      <c r="AB448" t="n">
        <v>0.3502187566016229</v>
      </c>
    </row>
    <row r="450">
      <c r="AA450" t="n">
        <v>485</v>
      </c>
      <c r="AB450" t="n">
        <v>0</v>
      </c>
    </row>
    <row r="451">
      <c r="AA451" t="n">
        <v>485</v>
      </c>
      <c r="AB451" t="n">
        <v>0.5353892556967966</v>
      </c>
    </row>
    <row r="452">
      <c r="AA452" t="n">
        <v>495</v>
      </c>
      <c r="AB452" t="n">
        <v>0.5353892556967966</v>
      </c>
    </row>
    <row r="453">
      <c r="AA453" t="n">
        <v>495</v>
      </c>
      <c r="AB453" t="n">
        <v>0</v>
      </c>
    </row>
    <row r="455">
      <c r="AA455" t="n">
        <v>475</v>
      </c>
      <c r="AB455" t="n">
        <v>0</v>
      </c>
    </row>
    <row r="456">
      <c r="AA456" t="n">
        <v>475</v>
      </c>
      <c r="AB456" t="n">
        <v>0.5782474419994418</v>
      </c>
    </row>
    <row r="457">
      <c r="AA457" t="n">
        <v>490</v>
      </c>
      <c r="AB457" t="n">
        <v>0.5782474419994418</v>
      </c>
    </row>
    <row r="458">
      <c r="AA458" t="n">
        <v>490</v>
      </c>
      <c r="AB458" t="n">
        <v>0.5353892556967966</v>
      </c>
    </row>
    <row r="460">
      <c r="AA460" t="n">
        <v>465</v>
      </c>
      <c r="AB460" t="n">
        <v>0</v>
      </c>
    </row>
    <row r="461">
      <c r="AA461" t="n">
        <v>465</v>
      </c>
      <c r="AB461" t="n">
        <v>1.037684761453103</v>
      </c>
    </row>
    <row r="462">
      <c r="AA462" t="n">
        <v>482.5</v>
      </c>
      <c r="AB462" t="n">
        <v>1.037684761453103</v>
      </c>
    </row>
    <row r="463">
      <c r="AA463" t="n">
        <v>482.5</v>
      </c>
      <c r="AB463" t="n">
        <v>0.5782474419994418</v>
      </c>
    </row>
    <row r="465">
      <c r="AA465" t="n">
        <v>442.5</v>
      </c>
      <c r="AB465" t="n">
        <v>0.8241351581620365</v>
      </c>
    </row>
    <row r="466">
      <c r="AA466" t="n">
        <v>442.5</v>
      </c>
      <c r="AB466" t="n">
        <v>1.072521932353881</v>
      </c>
    </row>
    <row r="467">
      <c r="AA467" t="n">
        <v>473.75</v>
      </c>
      <c r="AB467" t="n">
        <v>1.072521932353881</v>
      </c>
    </row>
    <row r="468">
      <c r="AA468" t="n">
        <v>473.75</v>
      </c>
      <c r="AB468" t="n">
        <v>1.037684761453103</v>
      </c>
    </row>
    <row r="470">
      <c r="AA470" t="n">
        <v>151.4865016937256</v>
      </c>
      <c r="AB470" t="n">
        <v>1.070971972999869</v>
      </c>
    </row>
    <row r="471">
      <c r="AA471" t="n">
        <v>151.4865016937256</v>
      </c>
      <c r="AB471" t="n">
        <v>1.165417105285818</v>
      </c>
    </row>
    <row r="472">
      <c r="AA472" t="n">
        <v>458.125</v>
      </c>
      <c r="AB472" t="n">
        <v>1.165417105285818</v>
      </c>
    </row>
    <row r="473">
      <c r="AA473" t="n">
        <v>458.125</v>
      </c>
      <c r="AB473" t="n">
        <v>1.072521932353881</v>
      </c>
    </row>
    <row r="475">
      <c r="AA475" t="n">
        <v>125</v>
      </c>
      <c r="AB475" t="n">
        <v>0</v>
      </c>
    </row>
    <row r="476">
      <c r="AA476" t="n">
        <v>125</v>
      </c>
      <c r="AB476" t="n">
        <v>1.180292887440882</v>
      </c>
    </row>
    <row r="477">
      <c r="AA477" t="n">
        <v>304.8057508468628</v>
      </c>
      <c r="AB477" t="n">
        <v>1.180292887440882</v>
      </c>
    </row>
    <row r="478">
      <c r="AA478" t="n">
        <v>304.8057508468628</v>
      </c>
      <c r="AB478" t="n">
        <v>1.165417105285818</v>
      </c>
    </row>
    <row r="480">
      <c r="AA480" t="n">
        <v>115</v>
      </c>
      <c r="AB480" t="n">
        <v>0</v>
      </c>
    </row>
    <row r="481">
      <c r="AA481" t="n">
        <v>115</v>
      </c>
      <c r="AB481" t="n">
        <v>1.236310825746562</v>
      </c>
    </row>
    <row r="482">
      <c r="AA482" t="n">
        <v>214.9028754234314</v>
      </c>
      <c r="AB482" t="n">
        <v>1.236310825746562</v>
      </c>
    </row>
    <row r="483">
      <c r="AA483" t="n">
        <v>214.9028754234314</v>
      </c>
      <c r="AB483" t="n">
        <v>1.180292887440882</v>
      </c>
    </row>
    <row r="485">
      <c r="AA485" t="n">
        <v>58.4375</v>
      </c>
      <c r="AB485" t="n">
        <v>1.047631272630151</v>
      </c>
    </row>
    <row r="486">
      <c r="AA486" t="n">
        <v>58.4375</v>
      </c>
      <c r="AB486" t="n">
        <v>1.241387411312385</v>
      </c>
    </row>
    <row r="487">
      <c r="AA487" t="n">
        <v>164.9514377117157</v>
      </c>
      <c r="AB487" t="n">
        <v>1.241387411312385</v>
      </c>
    </row>
    <row r="488">
      <c r="AA488" t="n">
        <v>164.9514377117157</v>
      </c>
      <c r="AB488" t="n">
        <v>1.236310825746562</v>
      </c>
    </row>
    <row r="490">
      <c r="AA490" t="n">
        <v>30</v>
      </c>
      <c r="AB490" t="n">
        <v>1.196826077167513</v>
      </c>
    </row>
    <row r="491">
      <c r="AA491" t="n">
        <v>30</v>
      </c>
      <c r="AB491" t="n">
        <v>1.26094171742291</v>
      </c>
    </row>
    <row r="492">
      <c r="AA492" t="n">
        <v>111.6944688558578</v>
      </c>
      <c r="AB492" t="n">
        <v>1.26094171742291</v>
      </c>
    </row>
    <row r="493">
      <c r="AA493" t="n">
        <v>111.6944688558578</v>
      </c>
      <c r="AB493" t="n">
        <v>1.241387411312385</v>
      </c>
    </row>
    <row r="495">
      <c r="AA495" t="n">
        <v>15</v>
      </c>
      <c r="AB495" t="n">
        <v>0</v>
      </c>
    </row>
    <row r="496">
      <c r="AA496" t="n">
        <v>15</v>
      </c>
      <c r="AB496" t="n">
        <v>1.296579760188248</v>
      </c>
    </row>
    <row r="497">
      <c r="AA497" t="n">
        <v>70.84723442792892</v>
      </c>
      <c r="AB497" t="n">
        <v>1.296579760188248</v>
      </c>
    </row>
    <row r="498">
      <c r="AA498" t="n">
        <v>70.84723442792892</v>
      </c>
      <c r="AB498" t="n">
        <v>1.26094171742291</v>
      </c>
    </row>
    <row r="500">
      <c r="AA500" t="n">
        <v>5</v>
      </c>
      <c r="AB500" t="n">
        <v>0</v>
      </c>
    </row>
    <row r="501">
      <c r="AA501" t="n">
        <v>5</v>
      </c>
      <c r="AB501" t="n">
        <v>2.058088855394264</v>
      </c>
    </row>
    <row r="502">
      <c r="AA502" t="n">
        <v>42.92361721396446</v>
      </c>
      <c r="AB502" t="n">
        <v>2.058088855394264</v>
      </c>
    </row>
    <row r="503">
      <c r="AA503" t="n">
        <v>42.92361721396446</v>
      </c>
      <c r="AB503" t="n">
        <v>1.296579760188248</v>
      </c>
    </row>
    <row r="520">
      <c r="T520" t="n">
        <v>25</v>
      </c>
      <c r="U520" t="n">
        <v>0</v>
      </c>
    </row>
    <row r="521">
      <c r="T521" t="n">
        <v>25</v>
      </c>
      <c r="U521" t="n">
        <v>0.2058538571573481</v>
      </c>
    </row>
    <row r="522">
      <c r="T522" t="n">
        <v>35</v>
      </c>
      <c r="U522" t="n">
        <v>0.2058538571573481</v>
      </c>
    </row>
    <row r="523">
      <c r="T523" t="n">
        <v>35</v>
      </c>
      <c r="U523" t="n">
        <v>0</v>
      </c>
    </row>
    <row r="525">
      <c r="T525" t="n">
        <v>15</v>
      </c>
      <c r="U525" t="n">
        <v>0</v>
      </c>
    </row>
    <row r="526">
      <c r="T526" t="n">
        <v>15</v>
      </c>
      <c r="U526" t="n">
        <v>0.5726564182356639</v>
      </c>
    </row>
    <row r="527">
      <c r="T527" t="n">
        <v>30</v>
      </c>
      <c r="U527" t="n">
        <v>0.5726564182356639</v>
      </c>
    </row>
    <row r="528">
      <c r="T528" t="n">
        <v>30</v>
      </c>
      <c r="U528" t="n">
        <v>0.2058538571573481</v>
      </c>
    </row>
    <row r="530">
      <c r="T530" t="n">
        <v>5</v>
      </c>
      <c r="U530" t="n">
        <v>0</v>
      </c>
    </row>
    <row r="531">
      <c r="T531" t="n">
        <v>5</v>
      </c>
      <c r="U531" t="n">
        <v>0.9023959217218454</v>
      </c>
    </row>
    <row r="532">
      <c r="T532" t="n">
        <v>22.5</v>
      </c>
      <c r="U532" t="n">
        <v>0.9023959217218454</v>
      </c>
    </row>
    <row r="533">
      <c r="T533" t="n">
        <v>22.5</v>
      </c>
      <c r="U533" t="n">
        <v>0.5726564182356639</v>
      </c>
    </row>
    <row r="535">
      <c r="T535" t="n">
        <v>55</v>
      </c>
      <c r="U535" t="n">
        <v>0</v>
      </c>
    </row>
    <row r="536">
      <c r="T536" t="n">
        <v>55</v>
      </c>
      <c r="U536" t="n">
        <v>0.7108811756963905</v>
      </c>
    </row>
    <row r="537">
      <c r="T537" t="n">
        <v>65</v>
      </c>
      <c r="U537" t="n">
        <v>0.7108811756963905</v>
      </c>
    </row>
    <row r="538">
      <c r="T538" t="n">
        <v>65</v>
      </c>
      <c r="U538" t="n">
        <v>0</v>
      </c>
    </row>
    <row r="540">
      <c r="T540" t="n">
        <v>45</v>
      </c>
      <c r="U540" t="n">
        <v>0</v>
      </c>
    </row>
    <row r="541">
      <c r="T541" t="n">
        <v>45</v>
      </c>
      <c r="U541" t="n">
        <v>1.061856395624765</v>
      </c>
    </row>
    <row r="542">
      <c r="T542" t="n">
        <v>60</v>
      </c>
      <c r="U542" t="n">
        <v>1.061856395624765</v>
      </c>
    </row>
    <row r="543">
      <c r="T543" t="n">
        <v>60</v>
      </c>
      <c r="U543" t="n">
        <v>0.7108811756963905</v>
      </c>
    </row>
    <row r="545">
      <c r="T545" t="n">
        <v>13.75</v>
      </c>
      <c r="U545" t="n">
        <v>0.9023959217218454</v>
      </c>
    </row>
    <row r="546">
      <c r="T546" t="n">
        <v>13.75</v>
      </c>
      <c r="U546" t="n">
        <v>1.253609027311004</v>
      </c>
    </row>
    <row r="547">
      <c r="T547" t="n">
        <v>52.5</v>
      </c>
      <c r="U547" t="n">
        <v>1.253609027311004</v>
      </c>
    </row>
    <row r="548">
      <c r="T548" t="n">
        <v>52.5</v>
      </c>
      <c r="U548" t="n">
        <v>1.061856395624765</v>
      </c>
    </row>
    <row r="550">
      <c r="T550" t="n">
        <v>95</v>
      </c>
      <c r="U550" t="n">
        <v>0</v>
      </c>
    </row>
    <row r="551">
      <c r="T551" t="n">
        <v>95</v>
      </c>
      <c r="U551" t="n">
        <v>0.7977641543085472</v>
      </c>
    </row>
    <row r="552">
      <c r="T552" t="n">
        <v>105</v>
      </c>
      <c r="U552" t="n">
        <v>0.7977641543085472</v>
      </c>
    </row>
    <row r="553">
      <c r="T553" t="n">
        <v>105</v>
      </c>
      <c r="U553" t="n">
        <v>0</v>
      </c>
    </row>
    <row r="555">
      <c r="T555" t="n">
        <v>85</v>
      </c>
      <c r="U555" t="n">
        <v>0</v>
      </c>
    </row>
    <row r="556">
      <c r="T556" t="n">
        <v>85</v>
      </c>
      <c r="U556" t="n">
        <v>1.205465899512068</v>
      </c>
    </row>
    <row r="557">
      <c r="T557" t="n">
        <v>100</v>
      </c>
      <c r="U557" t="n">
        <v>1.205465899512068</v>
      </c>
    </row>
    <row r="558">
      <c r="T558" t="n">
        <v>100</v>
      </c>
      <c r="U558" t="n">
        <v>0.7977641543085472</v>
      </c>
    </row>
    <row r="560">
      <c r="T560" t="n">
        <v>75</v>
      </c>
      <c r="U560" t="n">
        <v>0</v>
      </c>
    </row>
    <row r="561">
      <c r="T561" t="n">
        <v>75</v>
      </c>
      <c r="U561" t="n">
        <v>1.547391361709816</v>
      </c>
    </row>
    <row r="562">
      <c r="T562" t="n">
        <v>92.5</v>
      </c>
      <c r="U562" t="n">
        <v>1.547391361709816</v>
      </c>
    </row>
    <row r="563">
      <c r="T563" t="n">
        <v>92.5</v>
      </c>
      <c r="U563" t="n">
        <v>1.205465899512068</v>
      </c>
    </row>
    <row r="565">
      <c r="T565" t="n">
        <v>115</v>
      </c>
      <c r="U565" t="n">
        <v>0</v>
      </c>
    </row>
    <row r="566">
      <c r="T566" t="n">
        <v>115</v>
      </c>
      <c r="U566" t="n">
        <v>1.059810398014146</v>
      </c>
    </row>
    <row r="567">
      <c r="T567" t="n">
        <v>125</v>
      </c>
      <c r="U567" t="n">
        <v>1.059810398014146</v>
      </c>
    </row>
    <row r="568">
      <c r="T568" t="n">
        <v>125</v>
      </c>
      <c r="U568" t="n">
        <v>0</v>
      </c>
    </row>
    <row r="570">
      <c r="T570" t="n">
        <v>145</v>
      </c>
      <c r="U570" t="n">
        <v>0</v>
      </c>
    </row>
    <row r="571">
      <c r="T571" t="n">
        <v>145</v>
      </c>
      <c r="U571" t="n">
        <v>0.4940831878304508</v>
      </c>
    </row>
    <row r="572">
      <c r="T572" t="n">
        <v>155</v>
      </c>
      <c r="U572" t="n">
        <v>0.4940831878304508</v>
      </c>
    </row>
    <row r="573">
      <c r="T573" t="n">
        <v>155</v>
      </c>
      <c r="U573" t="n">
        <v>0</v>
      </c>
    </row>
    <row r="575">
      <c r="T575" t="n">
        <v>135</v>
      </c>
      <c r="U575" t="n">
        <v>0</v>
      </c>
    </row>
    <row r="576">
      <c r="T576" t="n">
        <v>135</v>
      </c>
      <c r="U576" t="n">
        <v>1.009919511363407</v>
      </c>
    </row>
    <row r="577">
      <c r="T577" t="n">
        <v>150</v>
      </c>
      <c r="U577" t="n">
        <v>1.009919511363407</v>
      </c>
    </row>
    <row r="578">
      <c r="T578" t="n">
        <v>150</v>
      </c>
      <c r="U578" t="n">
        <v>0.4940831878304508</v>
      </c>
    </row>
    <row r="580">
      <c r="T580" t="n">
        <v>175</v>
      </c>
      <c r="U580" t="n">
        <v>0</v>
      </c>
    </row>
    <row r="581">
      <c r="T581" t="n">
        <v>175</v>
      </c>
      <c r="U581" t="n">
        <v>0.7389935888687985</v>
      </c>
    </row>
    <row r="582">
      <c r="T582" t="n">
        <v>185</v>
      </c>
      <c r="U582" t="n">
        <v>0.7389935888687985</v>
      </c>
    </row>
    <row r="583">
      <c r="T583" t="n">
        <v>185</v>
      </c>
      <c r="U583" t="n">
        <v>0</v>
      </c>
    </row>
    <row r="585">
      <c r="T585" t="n">
        <v>165</v>
      </c>
      <c r="U585" t="n">
        <v>0</v>
      </c>
    </row>
    <row r="586">
      <c r="T586" t="n">
        <v>165</v>
      </c>
      <c r="U586" t="n">
        <v>0.7900975043264069</v>
      </c>
    </row>
    <row r="587">
      <c r="T587" t="n">
        <v>180</v>
      </c>
      <c r="U587" t="n">
        <v>0.7900975043264069</v>
      </c>
    </row>
    <row r="588">
      <c r="T588" t="n">
        <v>180</v>
      </c>
      <c r="U588" t="n">
        <v>0.7389935888687985</v>
      </c>
    </row>
    <row r="590">
      <c r="T590" t="n">
        <v>225</v>
      </c>
      <c r="U590" t="n">
        <v>0</v>
      </c>
    </row>
    <row r="591">
      <c r="T591" t="n">
        <v>225</v>
      </c>
      <c r="U591" t="n">
        <v>0.4287711724201596</v>
      </c>
    </row>
    <row r="592">
      <c r="T592" t="n">
        <v>235</v>
      </c>
      <c r="U592" t="n">
        <v>0.4287711724201596</v>
      </c>
    </row>
    <row r="593">
      <c r="T593" t="n">
        <v>235</v>
      </c>
      <c r="U593" t="n">
        <v>0</v>
      </c>
    </row>
    <row r="595">
      <c r="T595" t="n">
        <v>215</v>
      </c>
      <c r="U595" t="n">
        <v>0</v>
      </c>
    </row>
    <row r="596">
      <c r="T596" t="n">
        <v>215</v>
      </c>
      <c r="U596" t="n">
        <v>0.5250993539660522</v>
      </c>
    </row>
    <row r="597">
      <c r="T597" t="n">
        <v>230</v>
      </c>
      <c r="U597" t="n">
        <v>0.5250993539660522</v>
      </c>
    </row>
    <row r="598">
      <c r="T598" t="n">
        <v>230</v>
      </c>
      <c r="U598" t="n">
        <v>0.4287711724201596</v>
      </c>
    </row>
    <row r="600">
      <c r="T600" t="n">
        <v>205</v>
      </c>
      <c r="U600" t="n">
        <v>0</v>
      </c>
    </row>
    <row r="601">
      <c r="T601" t="n">
        <v>205</v>
      </c>
      <c r="U601" t="n">
        <v>0.6708483223363383</v>
      </c>
    </row>
    <row r="602">
      <c r="T602" t="n">
        <v>222.5</v>
      </c>
      <c r="U602" t="n">
        <v>0.6708483223363383</v>
      </c>
    </row>
    <row r="603">
      <c r="T603" t="n">
        <v>222.5</v>
      </c>
      <c r="U603" t="n">
        <v>0.5250993539660522</v>
      </c>
    </row>
    <row r="605">
      <c r="T605" t="n">
        <v>195</v>
      </c>
      <c r="U605" t="n">
        <v>0</v>
      </c>
    </row>
    <row r="606">
      <c r="T606" t="n">
        <v>195</v>
      </c>
      <c r="U606" t="n">
        <v>0.7723071387539753</v>
      </c>
    </row>
    <row r="607">
      <c r="T607" t="n">
        <v>213.75</v>
      </c>
      <c r="U607" t="n">
        <v>0.7723071387539753</v>
      </c>
    </row>
    <row r="608">
      <c r="T608" t="n">
        <v>213.75</v>
      </c>
      <c r="U608" t="n">
        <v>0.6708483223363383</v>
      </c>
    </row>
    <row r="610">
      <c r="T610" t="n">
        <v>245</v>
      </c>
      <c r="U610" t="n">
        <v>0</v>
      </c>
    </row>
    <row r="611">
      <c r="T611" t="n">
        <v>245</v>
      </c>
      <c r="U611" t="n">
        <v>0.7781298270915051</v>
      </c>
    </row>
    <row r="612">
      <c r="T612" t="n">
        <v>255</v>
      </c>
      <c r="U612" t="n">
        <v>0.7781298270915051</v>
      </c>
    </row>
    <row r="613">
      <c r="T613" t="n">
        <v>255</v>
      </c>
      <c r="U613" t="n">
        <v>0</v>
      </c>
    </row>
    <row r="615">
      <c r="T615" t="n">
        <v>204.375</v>
      </c>
      <c r="U615" t="n">
        <v>0.7723071387539753</v>
      </c>
    </row>
    <row r="616">
      <c r="T616" t="n">
        <v>204.375</v>
      </c>
      <c r="U616" t="n">
        <v>0.8864189159273954</v>
      </c>
    </row>
    <row r="617">
      <c r="T617" t="n">
        <v>250</v>
      </c>
      <c r="U617" t="n">
        <v>0.8864189159273954</v>
      </c>
    </row>
    <row r="618">
      <c r="T618" t="n">
        <v>250</v>
      </c>
      <c r="U618" t="n">
        <v>0.7781298270915051</v>
      </c>
    </row>
    <row r="620">
      <c r="T620" t="n">
        <v>172.5</v>
      </c>
      <c r="U620" t="n">
        <v>0.7900975043264069</v>
      </c>
    </row>
    <row r="621">
      <c r="T621" t="n">
        <v>172.5</v>
      </c>
      <c r="U621" t="n">
        <v>1.20439079864867</v>
      </c>
    </row>
    <row r="622">
      <c r="T622" t="n">
        <v>227.1875</v>
      </c>
      <c r="U622" t="n">
        <v>1.20439079864867</v>
      </c>
    </row>
    <row r="623">
      <c r="T623" t="n">
        <v>227.1875</v>
      </c>
      <c r="U623" t="n">
        <v>0.8864189159273954</v>
      </c>
    </row>
    <row r="625">
      <c r="T625" t="n">
        <v>142.5</v>
      </c>
      <c r="U625" t="n">
        <v>1.009919511363407</v>
      </c>
    </row>
    <row r="626">
      <c r="T626" t="n">
        <v>142.5</v>
      </c>
      <c r="U626" t="n">
        <v>1.423437693566097</v>
      </c>
    </row>
    <row r="627">
      <c r="T627" t="n">
        <v>199.84375</v>
      </c>
      <c r="U627" t="n">
        <v>1.423437693566097</v>
      </c>
    </row>
    <row r="628">
      <c r="T628" t="n">
        <v>199.84375</v>
      </c>
      <c r="U628" t="n">
        <v>1.20439079864867</v>
      </c>
    </row>
    <row r="630">
      <c r="T630" t="n">
        <v>285</v>
      </c>
      <c r="U630" t="n">
        <v>0</v>
      </c>
    </row>
    <row r="631">
      <c r="T631" t="n">
        <v>285</v>
      </c>
      <c r="U631" t="n">
        <v>0.5935343426469891</v>
      </c>
    </row>
    <row r="632">
      <c r="T632" t="n">
        <v>295</v>
      </c>
      <c r="U632" t="n">
        <v>0.5935343426469891</v>
      </c>
    </row>
    <row r="633">
      <c r="T633" t="n">
        <v>295</v>
      </c>
      <c r="U633" t="n">
        <v>0</v>
      </c>
    </row>
    <row r="635">
      <c r="T635" t="n">
        <v>275</v>
      </c>
      <c r="U635" t="n">
        <v>0</v>
      </c>
    </row>
    <row r="636">
      <c r="T636" t="n">
        <v>275</v>
      </c>
      <c r="U636" t="n">
        <v>0.9882909371111485</v>
      </c>
    </row>
    <row r="637">
      <c r="T637" t="n">
        <v>290</v>
      </c>
      <c r="U637" t="n">
        <v>0.9882909371111485</v>
      </c>
    </row>
    <row r="638">
      <c r="T638" t="n">
        <v>290</v>
      </c>
      <c r="U638" t="n">
        <v>0.5935343426469891</v>
      </c>
    </row>
    <row r="640">
      <c r="T640" t="n">
        <v>265</v>
      </c>
      <c r="U640" t="n">
        <v>0</v>
      </c>
    </row>
    <row r="641">
      <c r="T641" t="n">
        <v>265</v>
      </c>
      <c r="U641" t="n">
        <v>1.53981604821112</v>
      </c>
    </row>
    <row r="642">
      <c r="T642" t="n">
        <v>282.5</v>
      </c>
      <c r="U642" t="n">
        <v>1.53981604821112</v>
      </c>
    </row>
    <row r="643">
      <c r="T643" t="n">
        <v>282.5</v>
      </c>
      <c r="U643" t="n">
        <v>0.9882909371111485</v>
      </c>
    </row>
    <row r="645">
      <c r="T645" t="n">
        <v>171.171875</v>
      </c>
      <c r="U645" t="n">
        <v>1.423437693566097</v>
      </c>
    </row>
    <row r="646">
      <c r="T646" t="n">
        <v>171.171875</v>
      </c>
      <c r="U646" t="n">
        <v>1.58311937972288</v>
      </c>
    </row>
    <row r="647">
      <c r="T647" t="n">
        <v>273.75</v>
      </c>
      <c r="U647" t="n">
        <v>1.58311937972288</v>
      </c>
    </row>
    <row r="648">
      <c r="T648" t="n">
        <v>273.75</v>
      </c>
      <c r="U648" t="n">
        <v>1.53981604821112</v>
      </c>
    </row>
    <row r="650">
      <c r="T650" t="n">
        <v>120</v>
      </c>
      <c r="U650" t="n">
        <v>1.059810398014146</v>
      </c>
    </row>
    <row r="651">
      <c r="T651" t="n">
        <v>120</v>
      </c>
      <c r="U651" t="n">
        <v>1.806578134666541</v>
      </c>
    </row>
    <row r="652">
      <c r="T652" t="n">
        <v>222.4609375</v>
      </c>
      <c r="U652" t="n">
        <v>1.806578134666541</v>
      </c>
    </row>
    <row r="653">
      <c r="T653" t="n">
        <v>222.4609375</v>
      </c>
      <c r="U653" t="n">
        <v>1.58311937972288</v>
      </c>
    </row>
    <row r="655">
      <c r="T655" t="n">
        <v>83.75</v>
      </c>
      <c r="U655" t="n">
        <v>1.547391361709816</v>
      </c>
    </row>
    <row r="656">
      <c r="T656" t="n">
        <v>83.75</v>
      </c>
      <c r="U656" t="n">
        <v>1.905029932030227</v>
      </c>
    </row>
    <row r="657">
      <c r="T657" t="n">
        <v>171.23046875</v>
      </c>
      <c r="U657" t="n">
        <v>1.905029932030227</v>
      </c>
    </row>
    <row r="658">
      <c r="T658" t="n">
        <v>171.23046875</v>
      </c>
      <c r="U658" t="n">
        <v>1.806578134666541</v>
      </c>
    </row>
    <row r="660">
      <c r="T660" t="n">
        <v>33.125</v>
      </c>
      <c r="U660" t="n">
        <v>1.253609027311004</v>
      </c>
    </row>
    <row r="661">
      <c r="T661" t="n">
        <v>33.125</v>
      </c>
      <c r="U661" t="n">
        <v>2.327513150538233</v>
      </c>
    </row>
    <row r="662">
      <c r="T662" t="n">
        <v>127.490234375</v>
      </c>
      <c r="U662" t="n">
        <v>2.327513150538233</v>
      </c>
    </row>
    <row r="663">
      <c r="T663" t="n">
        <v>127.490234375</v>
      </c>
      <c r="U663" t="n">
        <v>1.905029932030227</v>
      </c>
    </row>
    <row r="665">
      <c r="T665" t="n">
        <v>335</v>
      </c>
      <c r="U665" t="n">
        <v>0</v>
      </c>
    </row>
    <row r="666">
      <c r="T666" t="n">
        <v>335</v>
      </c>
      <c r="U666" t="n">
        <v>0.7722224497860469</v>
      </c>
    </row>
    <row r="667">
      <c r="T667" t="n">
        <v>345</v>
      </c>
      <c r="U667" t="n">
        <v>0.7722224497860469</v>
      </c>
    </row>
    <row r="668">
      <c r="T668" t="n">
        <v>345</v>
      </c>
      <c r="U668" t="n">
        <v>0</v>
      </c>
    </row>
    <row r="670">
      <c r="T670" t="n">
        <v>325</v>
      </c>
      <c r="U670" t="n">
        <v>0</v>
      </c>
    </row>
    <row r="671">
      <c r="T671" t="n">
        <v>325</v>
      </c>
      <c r="U671" t="n">
        <v>0.9853011697707439</v>
      </c>
    </row>
    <row r="672">
      <c r="T672" t="n">
        <v>340</v>
      </c>
      <c r="U672" t="n">
        <v>0.9853011697707439</v>
      </c>
    </row>
    <row r="673">
      <c r="T673" t="n">
        <v>340</v>
      </c>
      <c r="U673" t="n">
        <v>0.7722224497860469</v>
      </c>
    </row>
    <row r="675">
      <c r="T675" t="n">
        <v>315</v>
      </c>
      <c r="U675" t="n">
        <v>0</v>
      </c>
    </row>
    <row r="676">
      <c r="T676" t="n">
        <v>315</v>
      </c>
      <c r="U676" t="n">
        <v>1.000971583488676</v>
      </c>
    </row>
    <row r="677">
      <c r="T677" t="n">
        <v>332.5</v>
      </c>
      <c r="U677" t="n">
        <v>1.000971583488676</v>
      </c>
    </row>
    <row r="678">
      <c r="T678" t="n">
        <v>332.5</v>
      </c>
      <c r="U678" t="n">
        <v>0.9853011697707439</v>
      </c>
    </row>
    <row r="680">
      <c r="T680" t="n">
        <v>365</v>
      </c>
      <c r="U680" t="n">
        <v>0</v>
      </c>
    </row>
    <row r="681">
      <c r="T681" t="n">
        <v>365</v>
      </c>
      <c r="U681" t="n">
        <v>0.7865673502907415</v>
      </c>
    </row>
    <row r="682">
      <c r="T682" t="n">
        <v>375</v>
      </c>
      <c r="U682" t="n">
        <v>0.7865673502907415</v>
      </c>
    </row>
    <row r="683">
      <c r="T683" t="n">
        <v>375</v>
      </c>
      <c r="U683" t="n">
        <v>0</v>
      </c>
    </row>
    <row r="685">
      <c r="T685" t="n">
        <v>355</v>
      </c>
      <c r="U685" t="n">
        <v>0</v>
      </c>
    </row>
    <row r="686">
      <c r="T686" t="n">
        <v>355</v>
      </c>
      <c r="U686" t="n">
        <v>1.115160185245851</v>
      </c>
    </row>
    <row r="687">
      <c r="T687" t="n">
        <v>370</v>
      </c>
      <c r="U687" t="n">
        <v>1.115160185245851</v>
      </c>
    </row>
    <row r="688">
      <c r="T688" t="n">
        <v>370</v>
      </c>
      <c r="U688" t="n">
        <v>0.7865673502907415</v>
      </c>
    </row>
    <row r="690">
      <c r="T690" t="n">
        <v>323.75</v>
      </c>
      <c r="U690" t="n">
        <v>1.000971583488676</v>
      </c>
    </row>
    <row r="691">
      <c r="T691" t="n">
        <v>323.75</v>
      </c>
      <c r="U691" t="n">
        <v>1.637435494144648</v>
      </c>
    </row>
    <row r="692">
      <c r="T692" t="n">
        <v>362.5</v>
      </c>
      <c r="U692" t="n">
        <v>1.637435494144648</v>
      </c>
    </row>
    <row r="693">
      <c r="T693" t="n">
        <v>362.5</v>
      </c>
      <c r="U693" t="n">
        <v>1.115160185245851</v>
      </c>
    </row>
    <row r="695">
      <c r="T695" t="n">
        <v>385</v>
      </c>
      <c r="U695" t="n">
        <v>0</v>
      </c>
    </row>
    <row r="696">
      <c r="T696" t="n">
        <v>385</v>
      </c>
      <c r="U696" t="n">
        <v>1.196826077167513</v>
      </c>
    </row>
    <row r="697">
      <c r="T697" t="n">
        <v>395</v>
      </c>
      <c r="U697" t="n">
        <v>1.196826077167513</v>
      </c>
    </row>
    <row r="698">
      <c r="T698" t="n">
        <v>395</v>
      </c>
      <c r="U698" t="n">
        <v>0</v>
      </c>
    </row>
    <row r="700">
      <c r="T700" t="n">
        <v>415</v>
      </c>
      <c r="U700" t="n">
        <v>0</v>
      </c>
    </row>
    <row r="701">
      <c r="T701" t="n">
        <v>415</v>
      </c>
      <c r="U701" t="n">
        <v>1.312740591900308</v>
      </c>
    </row>
    <row r="702">
      <c r="T702" t="n">
        <v>425</v>
      </c>
      <c r="U702" t="n">
        <v>1.312740591900308</v>
      </c>
    </row>
    <row r="703">
      <c r="T703" t="n">
        <v>425</v>
      </c>
      <c r="U703" t="n">
        <v>0</v>
      </c>
    </row>
    <row r="705">
      <c r="T705" t="n">
        <v>445</v>
      </c>
      <c r="U705" t="n">
        <v>0</v>
      </c>
    </row>
    <row r="706">
      <c r="T706" t="n">
        <v>445</v>
      </c>
      <c r="U706" t="n">
        <v>0.3502187566016229</v>
      </c>
    </row>
    <row r="707">
      <c r="T707" t="n">
        <v>455</v>
      </c>
      <c r="U707" t="n">
        <v>0.3502187566016229</v>
      </c>
    </row>
    <row r="708">
      <c r="T708" t="n">
        <v>455</v>
      </c>
      <c r="U708" t="n">
        <v>0</v>
      </c>
    </row>
    <row r="710">
      <c r="T710" t="n">
        <v>435</v>
      </c>
      <c r="U710" t="n">
        <v>0</v>
      </c>
    </row>
    <row r="711">
      <c r="T711" t="n">
        <v>435</v>
      </c>
      <c r="U711" t="n">
        <v>0.8349524487139106</v>
      </c>
    </row>
    <row r="712">
      <c r="T712" t="n">
        <v>450</v>
      </c>
      <c r="U712" t="n">
        <v>0.8349524487139106</v>
      </c>
    </row>
    <row r="713">
      <c r="T713" t="n">
        <v>450</v>
      </c>
      <c r="U713" t="n">
        <v>0.3502187566016229</v>
      </c>
    </row>
    <row r="715">
      <c r="T715" t="n">
        <v>485</v>
      </c>
      <c r="U715" t="n">
        <v>0</v>
      </c>
    </row>
    <row r="716">
      <c r="T716" t="n">
        <v>485</v>
      </c>
      <c r="U716" t="n">
        <v>0.5353892556967966</v>
      </c>
    </row>
    <row r="717">
      <c r="T717" t="n">
        <v>495</v>
      </c>
      <c r="U717" t="n">
        <v>0.5353892556967966</v>
      </c>
    </row>
    <row r="718">
      <c r="T718" t="n">
        <v>495</v>
      </c>
      <c r="U718" t="n">
        <v>0</v>
      </c>
    </row>
    <row r="720">
      <c r="T720" t="n">
        <v>475</v>
      </c>
      <c r="U720" t="n">
        <v>0</v>
      </c>
    </row>
    <row r="721">
      <c r="T721" t="n">
        <v>475</v>
      </c>
      <c r="U721" t="n">
        <v>0.8291731029624432</v>
      </c>
    </row>
    <row r="722">
      <c r="T722" t="n">
        <v>490</v>
      </c>
      <c r="U722" t="n">
        <v>0.8291731029624432</v>
      </c>
    </row>
    <row r="723">
      <c r="T723" t="n">
        <v>490</v>
      </c>
      <c r="U723" t="n">
        <v>0.5353892556967966</v>
      </c>
    </row>
    <row r="725">
      <c r="T725" t="n">
        <v>465</v>
      </c>
      <c r="U725" t="n">
        <v>0</v>
      </c>
    </row>
    <row r="726">
      <c r="T726" t="n">
        <v>465</v>
      </c>
      <c r="U726" t="n">
        <v>1.147836971856925</v>
      </c>
    </row>
    <row r="727">
      <c r="T727" t="n">
        <v>482.5</v>
      </c>
      <c r="U727" t="n">
        <v>1.147836971856925</v>
      </c>
    </row>
    <row r="728">
      <c r="T728" t="n">
        <v>482.5</v>
      </c>
      <c r="U728" t="n">
        <v>0.8291731029624432</v>
      </c>
    </row>
    <row r="730">
      <c r="T730" t="n">
        <v>442.5</v>
      </c>
      <c r="U730" t="n">
        <v>0.8349524487139106</v>
      </c>
    </row>
    <row r="731">
      <c r="T731" t="n">
        <v>442.5</v>
      </c>
      <c r="U731" t="n">
        <v>1.350867626565774</v>
      </c>
    </row>
    <row r="732">
      <c r="T732" t="n">
        <v>473.75</v>
      </c>
      <c r="U732" t="n">
        <v>1.350867626565774</v>
      </c>
    </row>
    <row r="733">
      <c r="T733" t="n">
        <v>473.75</v>
      </c>
      <c r="U733" t="n">
        <v>1.147836971856925</v>
      </c>
    </row>
    <row r="735">
      <c r="T735" t="n">
        <v>420</v>
      </c>
      <c r="U735" t="n">
        <v>1.312740591900308</v>
      </c>
    </row>
    <row r="736">
      <c r="T736" t="n">
        <v>420</v>
      </c>
      <c r="U736" t="n">
        <v>1.536868672955591</v>
      </c>
    </row>
    <row r="737">
      <c r="T737" t="n">
        <v>458.125</v>
      </c>
      <c r="U737" t="n">
        <v>1.536868672955591</v>
      </c>
    </row>
    <row r="738">
      <c r="T738" t="n">
        <v>458.125</v>
      </c>
      <c r="U738" t="n">
        <v>1.350867626565774</v>
      </c>
    </row>
    <row r="740">
      <c r="T740" t="n">
        <v>405</v>
      </c>
      <c r="U740" t="n">
        <v>0</v>
      </c>
    </row>
    <row r="741">
      <c r="T741" t="n">
        <v>405</v>
      </c>
      <c r="U741" t="n">
        <v>1.775487016930199</v>
      </c>
    </row>
    <row r="742">
      <c r="T742" t="n">
        <v>439.0625</v>
      </c>
      <c r="U742" t="n">
        <v>1.775487016930199</v>
      </c>
    </row>
    <row r="743">
      <c r="T743" t="n">
        <v>439.0625</v>
      </c>
      <c r="U743" t="n">
        <v>1.536868672955591</v>
      </c>
    </row>
    <row r="745">
      <c r="T745" t="n">
        <v>390</v>
      </c>
      <c r="U745" t="n">
        <v>1.196826077167513</v>
      </c>
    </row>
    <row r="746">
      <c r="T746" t="n">
        <v>390</v>
      </c>
      <c r="U746" t="n">
        <v>1.895802490945087</v>
      </c>
    </row>
    <row r="747">
      <c r="T747" t="n">
        <v>422.03125</v>
      </c>
      <c r="U747" t="n">
        <v>1.895802490945087</v>
      </c>
    </row>
    <row r="748">
      <c r="T748" t="n">
        <v>422.03125</v>
      </c>
      <c r="U748" t="n">
        <v>1.775487016930199</v>
      </c>
    </row>
    <row r="750">
      <c r="T750" t="n">
        <v>343.125</v>
      </c>
      <c r="U750" t="n">
        <v>1.637435494144648</v>
      </c>
    </row>
    <row r="751">
      <c r="T751" t="n">
        <v>343.125</v>
      </c>
      <c r="U751" t="n">
        <v>2.507014554934232</v>
      </c>
    </row>
    <row r="752">
      <c r="T752" t="n">
        <v>406.015625</v>
      </c>
      <c r="U752" t="n">
        <v>2.507014554934232</v>
      </c>
    </row>
    <row r="753">
      <c r="T753" t="n">
        <v>406.015625</v>
      </c>
      <c r="U753" t="n">
        <v>1.895802490945087</v>
      </c>
    </row>
    <row r="755">
      <c r="T755" t="n">
        <v>305</v>
      </c>
      <c r="U755" t="n">
        <v>0</v>
      </c>
    </row>
    <row r="756">
      <c r="T756" t="n">
        <v>305</v>
      </c>
      <c r="U756" t="n">
        <v>2.734778842820937</v>
      </c>
    </row>
    <row r="757">
      <c r="T757" t="n">
        <v>374.5703125</v>
      </c>
      <c r="U757" t="n">
        <v>2.734778842820937</v>
      </c>
    </row>
    <row r="758">
      <c r="T758" t="n">
        <v>374.5703125</v>
      </c>
      <c r="U758" t="n">
        <v>2.507014554934232</v>
      </c>
    </row>
    <row r="760">
      <c r="T760" t="n">
        <v>80.3076171875</v>
      </c>
      <c r="U760" t="n">
        <v>2.327513150538233</v>
      </c>
    </row>
    <row r="761">
      <c r="T761" t="n">
        <v>80.3076171875</v>
      </c>
      <c r="U761" t="n">
        <v>3.322361621271265</v>
      </c>
    </row>
    <row r="762">
      <c r="T762" t="n">
        <v>339.78515625</v>
      </c>
      <c r="U762" t="n">
        <v>3.322361621271265</v>
      </c>
    </row>
    <row r="763">
      <c r="T763" t="n">
        <v>339.78515625</v>
      </c>
      <c r="U763" t="n">
        <v>2.734778842820937</v>
      </c>
    </row>
    <row r="780">
      <c r="AA780" t="n">
        <v>25</v>
      </c>
      <c r="AB780" t="n">
        <v>0</v>
      </c>
    </row>
    <row r="781">
      <c r="AA781" t="n">
        <v>25</v>
      </c>
      <c r="AB781" t="n">
        <v>0.2058538571573481</v>
      </c>
    </row>
    <row r="782">
      <c r="AA782" t="n">
        <v>35</v>
      </c>
      <c r="AB782" t="n">
        <v>0.2058538571573481</v>
      </c>
    </row>
    <row r="783">
      <c r="AA783" t="n">
        <v>35</v>
      </c>
      <c r="AB783" t="n">
        <v>0</v>
      </c>
    </row>
    <row r="785">
      <c r="AA785" t="n">
        <v>15</v>
      </c>
      <c r="AB785" t="n">
        <v>0</v>
      </c>
    </row>
    <row r="786">
      <c r="AA786" t="n">
        <v>15</v>
      </c>
      <c r="AB786" t="n">
        <v>0.568048491366728</v>
      </c>
    </row>
    <row r="787">
      <c r="AA787" t="n">
        <v>30</v>
      </c>
      <c r="AB787" t="n">
        <v>0.568048491366728</v>
      </c>
    </row>
    <row r="788">
      <c r="AA788" t="n">
        <v>30</v>
      </c>
      <c r="AB788" t="n">
        <v>0.2058538571573481</v>
      </c>
    </row>
    <row r="790">
      <c r="AA790" t="n">
        <v>5</v>
      </c>
      <c r="AB790" t="n">
        <v>0</v>
      </c>
    </row>
    <row r="791">
      <c r="AA791" t="n">
        <v>5</v>
      </c>
      <c r="AB791" t="n">
        <v>0.8678366014845411</v>
      </c>
    </row>
    <row r="792">
      <c r="AA792" t="n">
        <v>22.5</v>
      </c>
      <c r="AB792" t="n">
        <v>0.8678366014845411</v>
      </c>
    </row>
    <row r="793">
      <c r="AA793" t="n">
        <v>22.5</v>
      </c>
      <c r="AB793" t="n">
        <v>0.568048491366728</v>
      </c>
    </row>
    <row r="795">
      <c r="AA795" t="n">
        <v>55</v>
      </c>
      <c r="AB795" t="n">
        <v>0</v>
      </c>
    </row>
    <row r="796">
      <c r="AA796" t="n">
        <v>55</v>
      </c>
      <c r="AB796" t="n">
        <v>0.7108811756963905</v>
      </c>
    </row>
    <row r="797">
      <c r="AA797" t="n">
        <v>65</v>
      </c>
      <c r="AB797" t="n">
        <v>0.7108811756963905</v>
      </c>
    </row>
    <row r="798">
      <c r="AA798" t="n">
        <v>65</v>
      </c>
      <c r="AB798" t="n">
        <v>0</v>
      </c>
    </row>
    <row r="800">
      <c r="AA800" t="n">
        <v>45</v>
      </c>
      <c r="AB800" t="n">
        <v>0</v>
      </c>
    </row>
    <row r="801">
      <c r="AA801" t="n">
        <v>45</v>
      </c>
      <c r="AB801" t="n">
        <v>1.000883350847843</v>
      </c>
    </row>
    <row r="802">
      <c r="AA802" t="n">
        <v>60</v>
      </c>
      <c r="AB802" t="n">
        <v>1.000883350847843</v>
      </c>
    </row>
    <row r="803">
      <c r="AA803" t="n">
        <v>60</v>
      </c>
      <c r="AB803" t="n">
        <v>0.7108811756963905</v>
      </c>
    </row>
    <row r="805">
      <c r="AA805" t="n">
        <v>13.75</v>
      </c>
      <c r="AB805" t="n">
        <v>0.8678366014845411</v>
      </c>
    </row>
    <row r="806">
      <c r="AA806" t="n">
        <v>13.75</v>
      </c>
      <c r="AB806" t="n">
        <v>1.072945127610308</v>
      </c>
    </row>
    <row r="807">
      <c r="AA807" t="n">
        <v>52.5</v>
      </c>
      <c r="AB807" t="n">
        <v>1.072945127610308</v>
      </c>
    </row>
    <row r="808">
      <c r="AA808" t="n">
        <v>52.5</v>
      </c>
      <c r="AB808" t="n">
        <v>1.000883350847843</v>
      </c>
    </row>
    <row r="810">
      <c r="AA810" t="n">
        <v>95</v>
      </c>
      <c r="AB810" t="n">
        <v>0</v>
      </c>
    </row>
    <row r="811">
      <c r="AA811" t="n">
        <v>95</v>
      </c>
      <c r="AB811" t="n">
        <v>0.5935343426469891</v>
      </c>
    </row>
    <row r="812">
      <c r="AA812" t="n">
        <v>105</v>
      </c>
      <c r="AB812" t="n">
        <v>0.5935343426469891</v>
      </c>
    </row>
    <row r="813">
      <c r="AA813" t="n">
        <v>105</v>
      </c>
      <c r="AB813" t="n">
        <v>0</v>
      </c>
    </row>
    <row r="815">
      <c r="AA815" t="n">
        <v>85</v>
      </c>
      <c r="AB815" t="n">
        <v>0</v>
      </c>
    </row>
    <row r="816">
      <c r="AA816" t="n">
        <v>85</v>
      </c>
      <c r="AB816" t="n">
        <v>0.9875303105958461</v>
      </c>
    </row>
    <row r="817">
      <c r="AA817" t="n">
        <v>100</v>
      </c>
      <c r="AB817" t="n">
        <v>0.9875303105958461</v>
      </c>
    </row>
    <row r="818">
      <c r="AA818" t="n">
        <v>100</v>
      </c>
      <c r="AB818" t="n">
        <v>0.5935343426469891</v>
      </c>
    </row>
    <row r="820">
      <c r="AA820" t="n">
        <v>125</v>
      </c>
      <c r="AB820" t="n">
        <v>0</v>
      </c>
    </row>
    <row r="821">
      <c r="AA821" t="n">
        <v>125</v>
      </c>
      <c r="AB821" t="n">
        <v>0.4940831878304508</v>
      </c>
    </row>
    <row r="822">
      <c r="AA822" t="n">
        <v>135</v>
      </c>
      <c r="AB822" t="n">
        <v>0.4940831878304508</v>
      </c>
    </row>
    <row r="823">
      <c r="AA823" t="n">
        <v>135</v>
      </c>
      <c r="AB823" t="n">
        <v>0</v>
      </c>
    </row>
    <row r="825">
      <c r="AA825" t="n">
        <v>115</v>
      </c>
      <c r="AB825" t="n">
        <v>0</v>
      </c>
    </row>
    <row r="826">
      <c r="AA826" t="n">
        <v>115</v>
      </c>
      <c r="AB826" t="n">
        <v>0.9795714224633992</v>
      </c>
    </row>
    <row r="827">
      <c r="AA827" t="n">
        <v>130</v>
      </c>
      <c r="AB827" t="n">
        <v>0.9795714224633992</v>
      </c>
    </row>
    <row r="828">
      <c r="AA828" t="n">
        <v>130</v>
      </c>
      <c r="AB828" t="n">
        <v>0.4940831878304508</v>
      </c>
    </row>
    <row r="830">
      <c r="AA830" t="n">
        <v>155</v>
      </c>
      <c r="AB830" t="n">
        <v>0</v>
      </c>
    </row>
    <row r="831">
      <c r="AA831" t="n">
        <v>155</v>
      </c>
      <c r="AB831" t="n">
        <v>0.7389935888687985</v>
      </c>
    </row>
    <row r="832">
      <c r="AA832" t="n">
        <v>165</v>
      </c>
      <c r="AB832" t="n">
        <v>0.7389935888687985</v>
      </c>
    </row>
    <row r="833">
      <c r="AA833" t="n">
        <v>165</v>
      </c>
      <c r="AB833" t="n">
        <v>0</v>
      </c>
    </row>
    <row r="835">
      <c r="AA835" t="n">
        <v>145</v>
      </c>
      <c r="AB835" t="n">
        <v>0</v>
      </c>
    </row>
    <row r="836">
      <c r="AA836" t="n">
        <v>145</v>
      </c>
      <c r="AB836" t="n">
        <v>0.6994396654462309</v>
      </c>
    </row>
    <row r="837">
      <c r="AA837" t="n">
        <v>160</v>
      </c>
      <c r="AB837" t="n">
        <v>0.6994396654462309</v>
      </c>
    </row>
    <row r="838">
      <c r="AA838" t="n">
        <v>160</v>
      </c>
      <c r="AB838" t="n">
        <v>0.7389935888687985</v>
      </c>
    </row>
    <row r="840">
      <c r="AA840" t="n">
        <v>205</v>
      </c>
      <c r="AB840" t="n">
        <v>0</v>
      </c>
    </row>
    <row r="841">
      <c r="AA841" t="n">
        <v>205</v>
      </c>
      <c r="AB841" t="n">
        <v>0.4287711724201596</v>
      </c>
    </row>
    <row r="842">
      <c r="AA842" t="n">
        <v>215</v>
      </c>
      <c r="AB842" t="n">
        <v>0.4287711724201596</v>
      </c>
    </row>
    <row r="843">
      <c r="AA843" t="n">
        <v>215</v>
      </c>
      <c r="AB843" t="n">
        <v>0</v>
      </c>
    </row>
    <row r="845">
      <c r="AA845" t="n">
        <v>195</v>
      </c>
      <c r="AB845" t="n">
        <v>0</v>
      </c>
    </row>
    <row r="846">
      <c r="AA846" t="n">
        <v>195</v>
      </c>
      <c r="AB846" t="n">
        <v>0.4793698664162777</v>
      </c>
    </row>
    <row r="847">
      <c r="AA847" t="n">
        <v>210</v>
      </c>
      <c r="AB847" t="n">
        <v>0.4793698664162777</v>
      </c>
    </row>
    <row r="848">
      <c r="AA848" t="n">
        <v>210</v>
      </c>
      <c r="AB848" t="n">
        <v>0.4287711724201596</v>
      </c>
    </row>
    <row r="850">
      <c r="AA850" t="n">
        <v>185</v>
      </c>
      <c r="AB850" t="n">
        <v>0</v>
      </c>
    </row>
    <row r="851">
      <c r="AA851" t="n">
        <v>185</v>
      </c>
      <c r="AB851" t="n">
        <v>0.6182406655674365</v>
      </c>
    </row>
    <row r="852">
      <c r="AA852" t="n">
        <v>202.5</v>
      </c>
      <c r="AB852" t="n">
        <v>0.6182406655674365</v>
      </c>
    </row>
    <row r="853">
      <c r="AA853" t="n">
        <v>202.5</v>
      </c>
      <c r="AB853" t="n">
        <v>0.4793698664162777</v>
      </c>
    </row>
    <row r="855">
      <c r="AA855" t="n">
        <v>175</v>
      </c>
      <c r="AB855" t="n">
        <v>0</v>
      </c>
    </row>
    <row r="856">
      <c r="AA856" t="n">
        <v>175</v>
      </c>
      <c r="AB856" t="n">
        <v>0.6844727751323987</v>
      </c>
    </row>
    <row r="857">
      <c r="AA857" t="n">
        <v>193.75</v>
      </c>
      <c r="AB857" t="n">
        <v>0.6844727751323987</v>
      </c>
    </row>
    <row r="858">
      <c r="AA858" t="n">
        <v>193.75</v>
      </c>
      <c r="AB858" t="n">
        <v>0.6182406655674365</v>
      </c>
    </row>
    <row r="860">
      <c r="AA860" t="n">
        <v>225</v>
      </c>
      <c r="AB860" t="n">
        <v>0</v>
      </c>
    </row>
    <row r="861">
      <c r="AA861" t="n">
        <v>225</v>
      </c>
      <c r="AB861" t="n">
        <v>0.7781298270915051</v>
      </c>
    </row>
    <row r="862">
      <c r="AA862" t="n">
        <v>235</v>
      </c>
      <c r="AB862" t="n">
        <v>0.7781298270915051</v>
      </c>
    </row>
    <row r="863">
      <c r="AA863" t="n">
        <v>235</v>
      </c>
      <c r="AB863" t="n">
        <v>0</v>
      </c>
    </row>
    <row r="865">
      <c r="AA865" t="n">
        <v>184.375</v>
      </c>
      <c r="AB865" t="n">
        <v>0.6844727751323987</v>
      </c>
    </row>
    <row r="866">
      <c r="AA866" t="n">
        <v>184.375</v>
      </c>
      <c r="AB866" t="n">
        <v>0.7113836863485756</v>
      </c>
    </row>
    <row r="867">
      <c r="AA867" t="n">
        <v>230</v>
      </c>
      <c r="AB867" t="n">
        <v>0.7113836863485756</v>
      </c>
    </row>
    <row r="868">
      <c r="AA868" t="n">
        <v>230</v>
      </c>
      <c r="AB868" t="n">
        <v>0.7781298270915051</v>
      </c>
    </row>
    <row r="870">
      <c r="AA870" t="n">
        <v>152.5</v>
      </c>
      <c r="AB870" t="n">
        <v>0.6994396654462309</v>
      </c>
    </row>
    <row r="871">
      <c r="AA871" t="n">
        <v>152.5</v>
      </c>
      <c r="AB871" t="n">
        <v>1.044311286748406</v>
      </c>
    </row>
    <row r="872">
      <c r="AA872" t="n">
        <v>207.1875</v>
      </c>
      <c r="AB872" t="n">
        <v>1.044311286748406</v>
      </c>
    </row>
    <row r="873">
      <c r="AA873" t="n">
        <v>207.1875</v>
      </c>
      <c r="AB873" t="n">
        <v>0.7113836863485756</v>
      </c>
    </row>
    <row r="875">
      <c r="AA875" t="n">
        <v>245</v>
      </c>
      <c r="AB875" t="n">
        <v>0</v>
      </c>
    </row>
    <row r="876">
      <c r="AA876" t="n">
        <v>245</v>
      </c>
      <c r="AB876" t="n">
        <v>1.059810398014146</v>
      </c>
    </row>
    <row r="877">
      <c r="AA877" t="n">
        <v>255</v>
      </c>
      <c r="AB877" t="n">
        <v>1.059810398014146</v>
      </c>
    </row>
    <row r="878">
      <c r="AA878" t="n">
        <v>255</v>
      </c>
      <c r="AB878" t="n">
        <v>0</v>
      </c>
    </row>
    <row r="880">
      <c r="AA880" t="n">
        <v>179.84375</v>
      </c>
      <c r="AB880" t="n">
        <v>1.044311286748406</v>
      </c>
    </row>
    <row r="881">
      <c r="AA881" t="n">
        <v>179.84375</v>
      </c>
      <c r="AB881" t="n">
        <v>1.170311943104428</v>
      </c>
    </row>
    <row r="882">
      <c r="AA882" t="n">
        <v>250</v>
      </c>
      <c r="AB882" t="n">
        <v>1.170311943104428</v>
      </c>
    </row>
    <row r="883">
      <c r="AA883" t="n">
        <v>250</v>
      </c>
      <c r="AB883" t="n">
        <v>1.059810398014146</v>
      </c>
    </row>
    <row r="885">
      <c r="AA885" t="n">
        <v>122.5</v>
      </c>
      <c r="AB885" t="n">
        <v>0.9795714224633992</v>
      </c>
    </row>
    <row r="886">
      <c r="AA886" t="n">
        <v>122.5</v>
      </c>
      <c r="AB886" t="n">
        <v>1.342766132175785</v>
      </c>
    </row>
    <row r="887">
      <c r="AA887" t="n">
        <v>214.921875</v>
      </c>
      <c r="AB887" t="n">
        <v>1.342766132175785</v>
      </c>
    </row>
    <row r="888">
      <c r="AA888" t="n">
        <v>214.921875</v>
      </c>
      <c r="AB888" t="n">
        <v>1.170311943104428</v>
      </c>
    </row>
    <row r="890">
      <c r="AA890" t="n">
        <v>92.5</v>
      </c>
      <c r="AB890" t="n">
        <v>0.9875303105958461</v>
      </c>
    </row>
    <row r="891">
      <c r="AA891" t="n">
        <v>92.5</v>
      </c>
      <c r="AB891" t="n">
        <v>1.320549457236464</v>
      </c>
    </row>
    <row r="892">
      <c r="AA892" t="n">
        <v>168.7109375</v>
      </c>
      <c r="AB892" t="n">
        <v>1.320549457236464</v>
      </c>
    </row>
    <row r="893">
      <c r="AA893" t="n">
        <v>168.7109375</v>
      </c>
      <c r="AB893" t="n">
        <v>1.342766132175785</v>
      </c>
    </row>
    <row r="895">
      <c r="AA895" t="n">
        <v>285</v>
      </c>
      <c r="AB895" t="n">
        <v>0</v>
      </c>
    </row>
    <row r="896">
      <c r="AA896" t="n">
        <v>285</v>
      </c>
      <c r="AB896" t="n">
        <v>0.7977641543085472</v>
      </c>
    </row>
    <row r="897">
      <c r="AA897" t="n">
        <v>295</v>
      </c>
      <c r="AB897" t="n">
        <v>0.7977641543085472</v>
      </c>
    </row>
    <row r="898">
      <c r="AA898" t="n">
        <v>295</v>
      </c>
      <c r="AB898" t="n">
        <v>0</v>
      </c>
    </row>
    <row r="900">
      <c r="AA900" t="n">
        <v>275</v>
      </c>
      <c r="AB900" t="n">
        <v>0</v>
      </c>
    </row>
    <row r="901">
      <c r="AA901" t="n">
        <v>275</v>
      </c>
      <c r="AB901" t="n">
        <v>1.167200230886957</v>
      </c>
    </row>
    <row r="902">
      <c r="AA902" t="n">
        <v>290</v>
      </c>
      <c r="AB902" t="n">
        <v>1.167200230886957</v>
      </c>
    </row>
    <row r="903">
      <c r="AA903" t="n">
        <v>290</v>
      </c>
      <c r="AB903" t="n">
        <v>0.7977641543085472</v>
      </c>
    </row>
    <row r="905">
      <c r="AA905" t="n">
        <v>265</v>
      </c>
      <c r="AB905" t="n">
        <v>0</v>
      </c>
    </row>
    <row r="906">
      <c r="AA906" t="n">
        <v>265</v>
      </c>
      <c r="AB906" t="n">
        <v>1.411330932679975</v>
      </c>
    </row>
    <row r="907">
      <c r="AA907" t="n">
        <v>282.5</v>
      </c>
      <c r="AB907" t="n">
        <v>1.411330932679975</v>
      </c>
    </row>
    <row r="908">
      <c r="AA908" t="n">
        <v>282.5</v>
      </c>
      <c r="AB908" t="n">
        <v>1.167200230886957</v>
      </c>
    </row>
    <row r="910">
      <c r="AA910" t="n">
        <v>130.60546875</v>
      </c>
      <c r="AB910" t="n">
        <v>1.320549457236464</v>
      </c>
    </row>
    <row r="911">
      <c r="AA911" t="n">
        <v>130.60546875</v>
      </c>
      <c r="AB911" t="n">
        <v>1.488767939316752</v>
      </c>
    </row>
    <row r="912">
      <c r="AA912" t="n">
        <v>273.75</v>
      </c>
      <c r="AB912" t="n">
        <v>1.488767939316752</v>
      </c>
    </row>
    <row r="913">
      <c r="AA913" t="n">
        <v>273.75</v>
      </c>
      <c r="AB913" t="n">
        <v>1.411330932679975</v>
      </c>
    </row>
    <row r="915">
      <c r="AA915" t="n">
        <v>75</v>
      </c>
      <c r="AB915" t="n">
        <v>0</v>
      </c>
    </row>
    <row r="916">
      <c r="AA916" t="n">
        <v>75</v>
      </c>
      <c r="AB916" t="n">
        <v>1.485368859643299</v>
      </c>
    </row>
    <row r="917">
      <c r="AA917" t="n">
        <v>202.177734375</v>
      </c>
      <c r="AB917" t="n">
        <v>1.485368859643299</v>
      </c>
    </row>
    <row r="918">
      <c r="AA918" t="n">
        <v>202.177734375</v>
      </c>
      <c r="AB918" t="n">
        <v>1.488767939316752</v>
      </c>
    </row>
    <row r="920">
      <c r="AA920" t="n">
        <v>33.125</v>
      </c>
      <c r="AB920" t="n">
        <v>1.072945127610308</v>
      </c>
    </row>
    <row r="921">
      <c r="AA921" t="n">
        <v>33.125</v>
      </c>
      <c r="AB921" t="n">
        <v>2.042732520679109</v>
      </c>
    </row>
    <row r="922">
      <c r="AA922" t="n">
        <v>138.5888671875</v>
      </c>
      <c r="AB922" t="n">
        <v>2.042732520679109</v>
      </c>
    </row>
    <row r="923">
      <c r="AA923" t="n">
        <v>138.5888671875</v>
      </c>
      <c r="AB923" t="n">
        <v>1.485368859643299</v>
      </c>
    </row>
    <row r="925">
      <c r="AA925" t="n">
        <v>335</v>
      </c>
      <c r="AB925" t="n">
        <v>0</v>
      </c>
    </row>
    <row r="926">
      <c r="AA926" t="n">
        <v>335</v>
      </c>
      <c r="AB926" t="n">
        <v>0.7722224497860469</v>
      </c>
    </row>
    <row r="927">
      <c r="AA927" t="n">
        <v>345</v>
      </c>
      <c r="AB927" t="n">
        <v>0.7722224497860469</v>
      </c>
    </row>
    <row r="928">
      <c r="AA928" t="n">
        <v>345</v>
      </c>
      <c r="AB928" t="n">
        <v>0</v>
      </c>
    </row>
    <row r="930">
      <c r="AA930" t="n">
        <v>325</v>
      </c>
      <c r="AB930" t="n">
        <v>0</v>
      </c>
    </row>
    <row r="931">
      <c r="AA931" t="n">
        <v>325</v>
      </c>
      <c r="AB931" t="n">
        <v>0.9179498182116295</v>
      </c>
    </row>
    <row r="932">
      <c r="AA932" t="n">
        <v>340</v>
      </c>
      <c r="AB932" t="n">
        <v>0.9179498182116295</v>
      </c>
    </row>
    <row r="933">
      <c r="AA933" t="n">
        <v>340</v>
      </c>
      <c r="AB933" t="n">
        <v>0.7722224497860469</v>
      </c>
    </row>
    <row r="935">
      <c r="AA935" t="n">
        <v>315</v>
      </c>
      <c r="AB935" t="n">
        <v>0</v>
      </c>
    </row>
    <row r="936">
      <c r="AA936" t="n">
        <v>315</v>
      </c>
      <c r="AB936" t="n">
        <v>0.8530621551797101</v>
      </c>
    </row>
    <row r="937">
      <c r="AA937" t="n">
        <v>332.5</v>
      </c>
      <c r="AB937" t="n">
        <v>0.8530621551797101</v>
      </c>
    </row>
    <row r="938">
      <c r="AA938" t="n">
        <v>332.5</v>
      </c>
      <c r="AB938" t="n">
        <v>0.9179498182116295</v>
      </c>
    </row>
    <row r="940">
      <c r="AA940" t="n">
        <v>365</v>
      </c>
      <c r="AB940" t="n">
        <v>0</v>
      </c>
    </row>
    <row r="941">
      <c r="AA941" t="n">
        <v>365</v>
      </c>
      <c r="AB941" t="n">
        <v>0.7865673502907415</v>
      </c>
    </row>
    <row r="942">
      <c r="AA942" t="n">
        <v>375</v>
      </c>
      <c r="AB942" t="n">
        <v>0.7865673502907415</v>
      </c>
    </row>
    <row r="943">
      <c r="AA943" t="n">
        <v>375</v>
      </c>
      <c r="AB943" t="n">
        <v>0</v>
      </c>
    </row>
    <row r="945">
      <c r="AA945" t="n">
        <v>355</v>
      </c>
      <c r="AB945" t="n">
        <v>0</v>
      </c>
    </row>
    <row r="946">
      <c r="AA946" t="n">
        <v>355</v>
      </c>
      <c r="AB946" t="n">
        <v>1.045691323317149</v>
      </c>
    </row>
    <row r="947">
      <c r="AA947" t="n">
        <v>370</v>
      </c>
      <c r="AB947" t="n">
        <v>1.045691323317149</v>
      </c>
    </row>
    <row r="948">
      <c r="AA948" t="n">
        <v>370</v>
      </c>
      <c r="AB948" t="n">
        <v>0.7865673502907415</v>
      </c>
    </row>
    <row r="950">
      <c r="AA950" t="n">
        <v>323.75</v>
      </c>
      <c r="AB950" t="n">
        <v>0.8530621551797101</v>
      </c>
    </row>
    <row r="951">
      <c r="AA951" t="n">
        <v>323.75</v>
      </c>
      <c r="AB951" t="n">
        <v>1.466026888717888</v>
      </c>
    </row>
    <row r="952">
      <c r="AA952" t="n">
        <v>362.5</v>
      </c>
      <c r="AB952" t="n">
        <v>1.466026888717888</v>
      </c>
    </row>
    <row r="953">
      <c r="AA953" t="n">
        <v>362.5</v>
      </c>
      <c r="AB953" t="n">
        <v>1.045691323317149</v>
      </c>
    </row>
    <row r="955">
      <c r="AA955" t="n">
        <v>405</v>
      </c>
      <c r="AB955" t="n">
        <v>0</v>
      </c>
    </row>
    <row r="956">
      <c r="AA956" t="n">
        <v>405</v>
      </c>
      <c r="AB956" t="n">
        <v>1.196826077167513</v>
      </c>
    </row>
    <row r="957">
      <c r="AA957" t="n">
        <v>415</v>
      </c>
      <c r="AB957" t="n">
        <v>1.196826077167513</v>
      </c>
    </row>
    <row r="958">
      <c r="AA958" t="n">
        <v>415</v>
      </c>
      <c r="AB958" t="n">
        <v>0</v>
      </c>
    </row>
    <row r="960">
      <c r="AA960" t="n">
        <v>395</v>
      </c>
      <c r="AB960" t="n">
        <v>0</v>
      </c>
    </row>
    <row r="961">
      <c r="AA961" t="n">
        <v>395</v>
      </c>
      <c r="AB961" t="n">
        <v>1.203863153931273</v>
      </c>
    </row>
    <row r="962">
      <c r="AA962" t="n">
        <v>410</v>
      </c>
      <c r="AB962" t="n">
        <v>1.203863153931273</v>
      </c>
    </row>
    <row r="963">
      <c r="AA963" t="n">
        <v>410</v>
      </c>
      <c r="AB963" t="n">
        <v>1.196826077167513</v>
      </c>
    </row>
    <row r="965">
      <c r="AA965" t="n">
        <v>445</v>
      </c>
      <c r="AB965" t="n">
        <v>0</v>
      </c>
    </row>
    <row r="966">
      <c r="AA966" t="n">
        <v>445</v>
      </c>
      <c r="AB966" t="n">
        <v>0.3502187566016229</v>
      </c>
    </row>
    <row r="967">
      <c r="AA967" t="n">
        <v>455</v>
      </c>
      <c r="AB967" t="n">
        <v>0.3502187566016229</v>
      </c>
    </row>
    <row r="968">
      <c r="AA968" t="n">
        <v>455</v>
      </c>
      <c r="AB968" t="n">
        <v>0</v>
      </c>
    </row>
    <row r="970">
      <c r="AA970" t="n">
        <v>435</v>
      </c>
      <c r="AB970" t="n">
        <v>0</v>
      </c>
    </row>
    <row r="971">
      <c r="AA971" t="n">
        <v>435</v>
      </c>
      <c r="AB971" t="n">
        <v>0.8164553331440382</v>
      </c>
    </row>
    <row r="972">
      <c r="AA972" t="n">
        <v>450</v>
      </c>
      <c r="AB972" t="n">
        <v>0.8164553331440382</v>
      </c>
    </row>
    <row r="973">
      <c r="AA973" t="n">
        <v>450</v>
      </c>
      <c r="AB973" t="n">
        <v>0.3502187566016229</v>
      </c>
    </row>
    <row r="975">
      <c r="AA975" t="n">
        <v>485</v>
      </c>
      <c r="AB975" t="n">
        <v>0</v>
      </c>
    </row>
    <row r="976">
      <c r="AA976" t="n">
        <v>485</v>
      </c>
      <c r="AB976" t="n">
        <v>0.5353892556967966</v>
      </c>
    </row>
    <row r="977">
      <c r="AA977" t="n">
        <v>495</v>
      </c>
      <c r="AB977" t="n">
        <v>0.5353892556967966</v>
      </c>
    </row>
    <row r="978">
      <c r="AA978" t="n">
        <v>495</v>
      </c>
      <c r="AB978" t="n">
        <v>0</v>
      </c>
    </row>
    <row r="980">
      <c r="AA980" t="n">
        <v>475</v>
      </c>
      <c r="AB980" t="n">
        <v>0</v>
      </c>
    </row>
    <row r="981">
      <c r="AA981" t="n">
        <v>475</v>
      </c>
      <c r="AB981" t="n">
        <v>0.8239121969161477</v>
      </c>
    </row>
    <row r="982">
      <c r="AA982" t="n">
        <v>490</v>
      </c>
      <c r="AB982" t="n">
        <v>0.8239121969161477</v>
      </c>
    </row>
    <row r="983">
      <c r="AA983" t="n">
        <v>490</v>
      </c>
      <c r="AB983" t="n">
        <v>0.5353892556967966</v>
      </c>
    </row>
    <row r="985">
      <c r="AA985" t="n">
        <v>465</v>
      </c>
      <c r="AB985" t="n">
        <v>0</v>
      </c>
    </row>
    <row r="986">
      <c r="AA986" t="n">
        <v>465</v>
      </c>
      <c r="AB986" t="n">
        <v>1.060671178313197</v>
      </c>
    </row>
    <row r="987">
      <c r="AA987" t="n">
        <v>482.5</v>
      </c>
      <c r="AB987" t="n">
        <v>1.060671178313197</v>
      </c>
    </row>
    <row r="988">
      <c r="AA988" t="n">
        <v>482.5</v>
      </c>
      <c r="AB988" t="n">
        <v>0.8239121969161477</v>
      </c>
    </row>
    <row r="990">
      <c r="AA990" t="n">
        <v>442.5</v>
      </c>
      <c r="AB990" t="n">
        <v>0.8164553331440382</v>
      </c>
    </row>
    <row r="991">
      <c r="AA991" t="n">
        <v>442.5</v>
      </c>
      <c r="AB991" t="n">
        <v>1.149451949337283</v>
      </c>
    </row>
    <row r="992">
      <c r="AA992" t="n">
        <v>473.75</v>
      </c>
      <c r="AB992" t="n">
        <v>1.149451949337283</v>
      </c>
    </row>
    <row r="993">
      <c r="AA993" t="n">
        <v>473.75</v>
      </c>
      <c r="AB993" t="n">
        <v>1.060671178313197</v>
      </c>
    </row>
    <row r="995">
      <c r="AA995" t="n">
        <v>425</v>
      </c>
      <c r="AB995" t="n">
        <v>0</v>
      </c>
    </row>
    <row r="996">
      <c r="AA996" t="n">
        <v>425</v>
      </c>
      <c r="AB996" t="n">
        <v>1.221196536541254</v>
      </c>
    </row>
    <row r="997">
      <c r="AA997" t="n">
        <v>458.125</v>
      </c>
      <c r="AB997" t="n">
        <v>1.221196536541254</v>
      </c>
    </row>
    <row r="998">
      <c r="AA998" t="n">
        <v>458.125</v>
      </c>
      <c r="AB998" t="n">
        <v>1.149451949337283</v>
      </c>
    </row>
    <row r="1000">
      <c r="AA1000" t="n">
        <v>402.5</v>
      </c>
      <c r="AB1000" t="n">
        <v>1.203863153931273</v>
      </c>
    </row>
    <row r="1001">
      <c r="AA1001" t="n">
        <v>402.5</v>
      </c>
      <c r="AB1001" t="n">
        <v>1.498981730395063</v>
      </c>
    </row>
    <row r="1002">
      <c r="AA1002" t="n">
        <v>441.5625</v>
      </c>
      <c r="AB1002" t="n">
        <v>1.498981730395063</v>
      </c>
    </row>
    <row r="1003">
      <c r="AA1003" t="n">
        <v>441.5625</v>
      </c>
      <c r="AB1003" t="n">
        <v>1.221196536541254</v>
      </c>
    </row>
    <row r="1005">
      <c r="AA1005" t="n">
        <v>385</v>
      </c>
      <c r="AB1005" t="n">
        <v>0</v>
      </c>
    </row>
    <row r="1006">
      <c r="AA1006" t="n">
        <v>385</v>
      </c>
      <c r="AB1006" t="n">
        <v>1.530348528730567</v>
      </c>
    </row>
    <row r="1007">
      <c r="AA1007" t="n">
        <v>422.03125</v>
      </c>
      <c r="AB1007" t="n">
        <v>1.530348528730567</v>
      </c>
    </row>
    <row r="1008">
      <c r="AA1008" t="n">
        <v>422.03125</v>
      </c>
      <c r="AB1008" t="n">
        <v>1.498981730395063</v>
      </c>
    </row>
    <row r="1010">
      <c r="AA1010" t="n">
        <v>343.125</v>
      </c>
      <c r="AB1010" t="n">
        <v>1.466026888717888</v>
      </c>
    </row>
    <row r="1011">
      <c r="AA1011" t="n">
        <v>343.125</v>
      </c>
      <c r="AB1011" t="n">
        <v>2.189339636440998</v>
      </c>
    </row>
    <row r="1012">
      <c r="AA1012" t="n">
        <v>403.515625</v>
      </c>
      <c r="AB1012" t="n">
        <v>2.189339636440998</v>
      </c>
    </row>
    <row r="1013">
      <c r="AA1013" t="n">
        <v>403.515625</v>
      </c>
      <c r="AB1013" t="n">
        <v>1.530348528730567</v>
      </c>
    </row>
    <row r="1015">
      <c r="AA1015" t="n">
        <v>305</v>
      </c>
      <c r="AB1015" t="n">
        <v>0</v>
      </c>
    </row>
    <row r="1016">
      <c r="AA1016" t="n">
        <v>305</v>
      </c>
      <c r="AB1016" t="n">
        <v>2.335452921793234</v>
      </c>
    </row>
    <row r="1017">
      <c r="AA1017" t="n">
        <v>373.3203125</v>
      </c>
      <c r="AB1017" t="n">
        <v>2.335452921793234</v>
      </c>
    </row>
    <row r="1018">
      <c r="AA1018" t="n">
        <v>373.3203125</v>
      </c>
      <c r="AB1018" t="n">
        <v>2.189339636440998</v>
      </c>
    </row>
    <row r="1020">
      <c r="AA1020" t="n">
        <v>85.85693359375</v>
      </c>
      <c r="AB1020" t="n">
        <v>2.042732520679109</v>
      </c>
    </row>
    <row r="1021">
      <c r="AA1021" t="n">
        <v>85.85693359375</v>
      </c>
      <c r="AB1021" t="n">
        <v>2.785940886929445</v>
      </c>
    </row>
    <row r="1022">
      <c r="AA1022" t="n">
        <v>339.16015625</v>
      </c>
      <c r="AB1022" t="n">
        <v>2.785940886929445</v>
      </c>
    </row>
    <row r="1023">
      <c r="AA1023" t="n">
        <v>339.16015625</v>
      </c>
      <c r="AB1023" t="n">
        <v>2.335452921793234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2026-03-21T08:54:05Z</dcterms:created>
  <dcterms:modified xmlns:dcterms="http://purl.org/dc/terms/" xmlns:xsi="http://www.w3.org/2001/XMLSchema-instance" xsi:type="dcterms:W3CDTF">2026-03-21T08:54:05Z</dcterms:modified>
</cp:coreProperties>
</file>